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12F78AB2-0AE2-4F23-A120-A7478BC7966C}" xr6:coauthVersionLast="47" xr6:coauthVersionMax="47" xr10:uidLastSave="{00000000-0000-0000-0000-000000000000}"/>
  <bookViews>
    <workbookView xWindow="5925" yWindow="478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<sst xmlns="http://schemas.openxmlformats.org/spreadsheetml/2006/main" count="9578" uniqueCount="1907">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</sst>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23" activePane="bottomLeft" state="frozen"/>
      <selection pane="bottomLeft" activeCell="A39" sqref="A39:XFD39"/>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313</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178</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49</v>
      </c>
      <c r="J257" s="5" t="s">
        <v>78</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c r="E345" s="5"/>
      <c r="F345" s="5"/>
      <c r="G345" s="5" t="s">
        <v>57</v>
      </c>
      <c r="H345" s="5" t="s">
        <v>318</v>
      </c>
      <c r="I345" s="5"/>
      <c r="J345" s="5"/>
      <c r="K345" s="5"/>
      <c r="L345" s="5"/>
      <c r="M345" s="5"/>
      <c r="N345" s="5" t="s">
        <v>66</v>
      </c>
      <c r="O345" s="5"/>
      <c r="P345" s="6">
        <f t="shared" si="12"/>
        <v>2</v>
      </c>
      <c r="Q345" s="6" t="str">
        <f t="shared" si="11"/>
        <v>No</v>
      </c>
      <c r="R345" s="5" t="s">
        <v>51</v>
      </c>
      <c r="S345" s="5"/>
      <c r="T345" s="5"/>
      <c r="U345" s="5" t="s">
        <v>318</v>
      </c>
      <c r="V345" s="5" t="s">
        <v>57</v>
      </c>
      <c r="W345" s="5" t="s">
        <v>319</v>
      </c>
      <c r="X345" s="5" t="s">
        <v>320</v>
      </c>
      <c r="Y345" s="5"/>
    </row>
    <row r="346" spans="1:25" x14ac:dyDescent="0.25">
      <c r="A346" s="5" t="s">
        <v>1113</v>
      </c>
      <c r="B346" s="5"/>
      <c r="C346" s="5" t="s">
        <v>43</v>
      </c>
      <c r="D346" s="5" t="s">
        <v>44</v>
      </c>
      <c r="E346" s="5"/>
      <c r="F346" s="5"/>
      <c r="G346" s="5" t="s">
        <v>57</v>
      </c>
      <c r="H346" s="5" t="s">
        <v>58</v>
      </c>
      <c r="I346" s="5" t="s">
        <v>192</v>
      </c>
      <c r="J346" s="5"/>
      <c r="K346" s="5" t="s">
        <v>192</v>
      </c>
      <c r="L346" s="5"/>
      <c r="M346" s="5"/>
      <c r="N346" s="5" t="s">
        <v>50</v>
      </c>
      <c r="O346" s="5"/>
      <c r="P346" s="6">
        <f t="shared" si="12"/>
        <v>4</v>
      </c>
      <c r="Q346" s="6" t="str">
        <f t="shared" si="11"/>
        <v>No</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c r="F349" s="5"/>
      <c r="G349" s="5" t="s">
        <v>47</v>
      </c>
      <c r="H349" s="5" t="s">
        <v>58</v>
      </c>
      <c r="I349" s="5" t="s">
        <v>71</v>
      </c>
      <c r="J349" s="5"/>
      <c r="K349" s="5" t="s">
        <v>71</v>
      </c>
      <c r="L349" s="5"/>
      <c r="M349" s="5"/>
      <c r="N349" s="5" t="s">
        <v>50</v>
      </c>
      <c r="O349" s="5"/>
      <c r="P349" s="6">
        <f t="shared" si="12"/>
        <v>4</v>
      </c>
      <c r="Q349" s="6" t="str">
        <f t="shared" si="11"/>
        <v>No</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c r="G361" s="5" t="s">
        <v>57</v>
      </c>
      <c r="H361" s="5" t="s">
        <v>662</v>
      </c>
      <c r="I361" s="5" t="s">
        <v>78</v>
      </c>
      <c r="J361" s="5" t="s">
        <v>71</v>
      </c>
      <c r="K361" s="5" t="s">
        <v>1126</v>
      </c>
      <c r="L361" s="5"/>
      <c r="M361" s="5"/>
      <c r="N361" s="5" t="s">
        <v>50</v>
      </c>
      <c r="O361" s="5"/>
      <c r="P361" s="6">
        <f t="shared" si="12"/>
        <v>5</v>
      </c>
      <c r="Q361" s="6" t="str">
        <f t="shared" si="11"/>
        <v>No</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c r="H485" s="5" t="s">
        <v>313</v>
      </c>
      <c r="I485" s="5" t="s">
        <v>178</v>
      </c>
      <c r="J485" s="5"/>
      <c r="K485" s="5" t="s">
        <v>178</v>
      </c>
      <c r="L485" s="5"/>
      <c r="M485" s="5"/>
      <c r="N485" s="5" t="s">
        <v>66</v>
      </c>
      <c r="O485" s="5"/>
      <c r="P485" s="6">
        <f t="shared" si="16"/>
        <v>5</v>
      </c>
      <c r="Q485" s="6" t="str">
        <f t="shared" si="15"/>
        <v>No</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57</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c r="I575" s="5"/>
      <c r="J575" s="5"/>
      <c r="K575" s="5"/>
      <c r="L575" s="5"/>
      <c r="M575" s="5"/>
      <c r="N575" s="5" t="s">
        <v>50</v>
      </c>
      <c r="O575" s="5"/>
      <c r="P575" s="6">
        <f t="shared" si="18"/>
        <v>4</v>
      </c>
      <c r="Q575" s="6" t="str">
        <f t="shared" si="17"/>
        <v>No</v>
      </c>
      <c r="R575" s="5" t="s">
        <v>51</v>
      </c>
      <c r="S575" s="5"/>
      <c r="T575" s="5"/>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c r="F581" s="5"/>
      <c r="G581" s="5"/>
      <c r="H581" s="5" t="s">
        <v>83</v>
      </c>
      <c r="I581" s="5" t="s">
        <v>59</v>
      </c>
      <c r="J581" s="5" t="s">
        <v>193</v>
      </c>
      <c r="K581" s="5" t="s">
        <v>1648</v>
      </c>
      <c r="L581" s="5"/>
      <c r="M581" s="5"/>
      <c r="N581" s="5" t="s">
        <v>50</v>
      </c>
      <c r="O581" s="5"/>
      <c r="P581" s="6">
        <f t="shared" si="18"/>
        <v>3</v>
      </c>
      <c r="Q581" s="6" t="str">
        <f t="shared" si="19"/>
        <v>No</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c r="F587" s="5" t="s">
        <v>107</v>
      </c>
      <c r="G587" s="5" t="s">
        <v>47</v>
      </c>
      <c r="H587" s="5" t="s">
        <v>1131</v>
      </c>
      <c r="I587" s="5" t="s">
        <v>78</v>
      </c>
      <c r="J587" s="5"/>
      <c r="K587" s="5" t="s">
        <v>78</v>
      </c>
      <c r="L587" s="5"/>
      <c r="M587" s="5"/>
      <c r="N587" s="5" t="s">
        <v>50</v>
      </c>
      <c r="O587" s="5"/>
      <c r="P587" s="6">
        <f t="shared" si="18"/>
        <v>5</v>
      </c>
      <c r="Q587" s="6" t="str">
        <f t="shared" si="19"/>
        <v>No</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70</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c r="F591" s="5" t="s">
        <v>107</v>
      </c>
      <c r="G591" s="5" t="s">
        <v>47</v>
      </c>
      <c r="H591" s="5" t="s">
        <v>313</v>
      </c>
      <c r="I591" s="5" t="s">
        <v>91</v>
      </c>
      <c r="J591" s="5"/>
      <c r="K591" s="5" t="s">
        <v>91</v>
      </c>
      <c r="L591" s="5"/>
      <c r="M591" s="5"/>
      <c r="N591" s="5" t="s">
        <v>50</v>
      </c>
      <c r="O591" s="5"/>
      <c r="P591" s="6">
        <f t="shared" si="18"/>
        <v>5</v>
      </c>
      <c r="Q591" s="6" t="str">
        <f t="shared" si="19"/>
        <v>No</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333</v>
      </c>
      <c r="F2" s="9">
        <f>IF(COUNTA(Roster!A2:A705)=0,0,E2/COUNTA(Roster!A2:A705))</f>
        <v>0.56060606060606055</v>
      </c>
    </row>
    <row r="3" spans="1:6" x14ac:dyDescent="0.25">
      <c r="A3" s="7">
        <v>2</v>
      </c>
      <c r="B3" s="7" t="s">
        <v>21</v>
      </c>
      <c r="C3" s="7" t="s">
        <v>1687</v>
      </c>
      <c r="D3" s="7" t="s">
        <v>1688</v>
      </c>
      <c r="E3" s="8">
        <f>COUNTA(Roster!E2:E705)</f>
        <v>260</v>
      </c>
      <c r="F3" s="9">
        <f>IF(COUNTA(Roster!A2:A705)=0,0,E3/COUNTA(Roster!A2:A705))</f>
        <v>0.43771043771043772</v>
      </c>
    </row>
    <row r="4" spans="1:6" x14ac:dyDescent="0.25">
      <c r="A4" s="7">
        <v>3</v>
      </c>
      <c r="B4" s="7" t="s">
        <v>22</v>
      </c>
      <c r="C4" s="7" t="s">
        <v>1689</v>
      </c>
      <c r="D4" s="7" t="s">
        <v>1690</v>
      </c>
      <c r="E4" s="8">
        <f>COUNTA(Roster!F2:F705)</f>
        <v>257</v>
      </c>
      <c r="F4" s="9">
        <f>IF(COUNTA(Roster!A2:A705)=0,0,E4/COUNTA(Roster!A2:A705))</f>
        <v>0.43265993265993263</v>
      </c>
    </row>
    <row r="5" spans="1:6" x14ac:dyDescent="0.25">
      <c r="A5" s="7">
        <v>4</v>
      </c>
      <c r="B5" s="7" t="s">
        <v>1691</v>
      </c>
      <c r="C5" s="7" t="s">
        <v>1692</v>
      </c>
      <c r="D5" s="7" t="s">
        <v>1693</v>
      </c>
      <c r="E5" s="8">
        <f>COUNTA(Roster!G2:G705)</f>
        <v>335</v>
      </c>
      <c r="F5" s="9">
        <f>IF(COUNTA(Roster!A2:A705)=0,0,E5/COUNTA(Roster!A2:A705))</f>
        <v>0.56397306397306401</v>
      </c>
    </row>
    <row r="6" spans="1:6" x14ac:dyDescent="0.25">
      <c r="A6" s="7">
        <v>5</v>
      </c>
      <c r="B6" s="7" t="s">
        <v>1694</v>
      </c>
      <c r="C6" s="7" t="s">
        <v>1695</v>
      </c>
      <c r="D6" s="7" t="s">
        <v>1696</v>
      </c>
      <c r="E6" s="8">
        <f>COUNTA(Roster!H2:H705)</f>
        <v>461</v>
      </c>
      <c r="F6" s="9">
        <f>IF(COUNTA(Roster!A2:A705)=0,0,E6/COUNTA(Roster!A2:A705))</f>
        <v>0.77609427609427606</v>
      </c>
    </row>
    <row r="7" spans="1:6" ht="25.5" x14ac:dyDescent="0.25">
      <c r="A7" s="7">
        <v>6</v>
      </c>
      <c r="B7" s="7" t="s">
        <v>1697</v>
      </c>
      <c r="C7" s="7" t="s">
        <v>1698</v>
      </c>
      <c r="D7" s="7" t="s">
        <v>1699</v>
      </c>
      <c r="E7" s="8">
        <f>COUNTA(Roster!I2:I705)</f>
        <v>328</v>
      </c>
      <c r="F7" s="9">
        <f>IF(COUNTA(Roster!A2:A705)=0,0,E7/COUNTA(Roster!A2:A705))</f>
        <v>0.55218855218855223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7.926829268292683E-2</v>
      </c>
    </row>
    <row r="3" spans="1:4" x14ac:dyDescent="0.25">
      <c r="A3" s="6" t="s">
        <v>91</v>
      </c>
      <c r="B3" s="6" t="s">
        <v>1705</v>
      </c>
      <c r="C3" s="6">
        <f>COUNTIF(Roster!$I$2:$I$705,A3)</f>
        <v>42</v>
      </c>
      <c r="D3" s="10">
        <f t="shared" si="0"/>
        <v>0.12804878048780488</v>
      </c>
    </row>
    <row r="4" spans="1:4" x14ac:dyDescent="0.25">
      <c r="A4" s="6" t="s">
        <v>72</v>
      </c>
      <c r="B4" s="6" t="s">
        <v>1706</v>
      </c>
      <c r="C4" s="6">
        <f>COUNTIF(Roster!$I$2:$I$705,A4)</f>
        <v>30</v>
      </c>
      <c r="D4" s="10">
        <f t="shared" si="0"/>
        <v>9.1463414634146339E-2</v>
      </c>
    </row>
    <row r="5" spans="1:4" x14ac:dyDescent="0.25">
      <c r="A5" s="6" t="s">
        <v>59</v>
      </c>
      <c r="B5" s="6" t="s">
        <v>1707</v>
      </c>
      <c r="C5" s="6">
        <f>COUNTIF(Roster!$I$2:$I$705,A5)</f>
        <v>22</v>
      </c>
      <c r="D5" s="10">
        <f t="shared" si="0"/>
        <v>6.7073170731707321E-2</v>
      </c>
    </row>
    <row r="6" spans="1:4" x14ac:dyDescent="0.25">
      <c r="A6" s="6" t="s">
        <v>192</v>
      </c>
      <c r="B6" s="6" t="s">
        <v>1708</v>
      </c>
      <c r="C6" s="6">
        <f>COUNTIF(Roster!$I$2:$I$705,A6)</f>
        <v>38</v>
      </c>
      <c r="D6" s="10">
        <f t="shared" si="0"/>
        <v>0.11585365853658537</v>
      </c>
    </row>
    <row r="7" spans="1:4" x14ac:dyDescent="0.25">
      <c r="A7" s="6" t="s">
        <v>123</v>
      </c>
      <c r="B7" s="6" t="s">
        <v>1709</v>
      </c>
      <c r="C7" s="6">
        <f>COUNTIF(Roster!$I$2:$I$705,A7)</f>
        <v>45</v>
      </c>
      <c r="D7" s="10">
        <f t="shared" si="0"/>
        <v>0.13719512195121952</v>
      </c>
    </row>
    <row r="8" spans="1:4" x14ac:dyDescent="0.25">
      <c r="A8" s="6" t="s">
        <v>119</v>
      </c>
      <c r="B8" s="6" t="s">
        <v>1710</v>
      </c>
      <c r="C8" s="6">
        <f>COUNTIF(Roster!$I$2:$I$705,A8)</f>
        <v>35</v>
      </c>
      <c r="D8" s="10">
        <f t="shared" si="0"/>
        <v>0.10670731707317073</v>
      </c>
    </row>
    <row r="9" spans="1:4" x14ac:dyDescent="0.25">
      <c r="A9" s="6" t="s">
        <v>49</v>
      </c>
      <c r="B9" s="6" t="s">
        <v>1711</v>
      </c>
      <c r="C9" s="6">
        <f>COUNTIF(Roster!$I$2:$I$705,A9)</f>
        <v>34</v>
      </c>
      <c r="D9" s="10">
        <f t="shared" si="0"/>
        <v>0.10365853658536585</v>
      </c>
    </row>
    <row r="10" spans="1:4" x14ac:dyDescent="0.25">
      <c r="A10" s="6" t="s">
        <v>78</v>
      </c>
      <c r="B10" s="6" t="s">
        <v>1712</v>
      </c>
      <c r="C10" s="6">
        <f>COUNTIF(Roster!$I$2:$I$705,A10)</f>
        <v>23</v>
      </c>
      <c r="D10" s="10">
        <f t="shared" si="0"/>
        <v>7.0121951219512202E-2</v>
      </c>
    </row>
    <row r="11" spans="1:4" x14ac:dyDescent="0.25">
      <c r="A11" s="6" t="s">
        <v>178</v>
      </c>
      <c r="B11" s="6" t="s">
        <v>1713</v>
      </c>
      <c r="C11" s="6">
        <f>COUNTIF(Roster!$I$2:$I$705,A11)</f>
        <v>12</v>
      </c>
      <c r="D11" s="10">
        <f t="shared" si="0"/>
        <v>3.6585365853658534E-2</v>
      </c>
    </row>
    <row r="12" spans="1:4" x14ac:dyDescent="0.25">
      <c r="A12" s="6" t="s">
        <v>133</v>
      </c>
      <c r="B12" s="6" t="s">
        <v>1714</v>
      </c>
      <c r="C12" s="6">
        <f>COUNTIF(Roster!$I$2:$I$705,A12)</f>
        <v>12</v>
      </c>
      <c r="D12" s="10">
        <f t="shared" si="0"/>
        <v>3.6585365853658534E-2</v>
      </c>
    </row>
    <row r="13" spans="1:4" x14ac:dyDescent="0.25">
      <c r="A13" s="6" t="s">
        <v>193</v>
      </c>
      <c r="B13" s="6" t="s">
        <v>1715</v>
      </c>
      <c r="C13" s="6">
        <f>COUNTIF(Roster!$I$2:$I$705,A13)</f>
        <v>9</v>
      </c>
      <c r="D13" s="10">
        <f t="shared" si="0"/>
        <v>2.7439024390243903E-2</v>
      </c>
    </row>
    <row r="14" spans="1:4" x14ac:dyDescent="0.25">
      <c r="A14" s="11" t="s">
        <v>1716</v>
      </c>
      <c r="C14" s="11">
        <f>SUM(C2:C13)</f>
        <v>328</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156</v>
      </c>
      <c r="C11" s="8" t="s">
        <v>1738</v>
      </c>
    </row>
    <row r="12" spans="1:3" x14ac:dyDescent="0.25">
      <c r="A12" s="8" t="s">
        <v>1740</v>
      </c>
      <c r="B12" s="9">
        <f>IF(B5=0,0,B11/B5)</f>
        <v>1.04</v>
      </c>
      <c r="C12" s="8" t="s">
        <v>1738</v>
      </c>
    </row>
    <row r="13" spans="1:3" x14ac:dyDescent="0.25">
      <c r="A13" s="8" t="s">
        <v>1741</v>
      </c>
      <c r="B13" s="13">
        <f>IFERROR(AVERAGE(Roster!P2:P705),0)</f>
        <v>3.3232323232323231</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2026-10-21T02:06:47Z</dcterms:modified>
  <dc:language>en-US</dc:language>
</cp:coreProperties>
</file>