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03749663-F347-48FA-BD38-598517332492}" xr6:coauthVersionLast="47" xr6:coauthVersionMax="47" xr10:uidLastSave="{00000000-0000-0000-0000-000000000000}"/>
  <bookViews>
    <workbookView xWindow="5910" yWindow="53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<sst xmlns="http://schemas.openxmlformats.org/spreadsheetml/2006/main" count="10532" uniqueCount="1970">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</sst>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topLeftCell="J1" zoomScale="130" zoomScaleNormal="130" workbookViewId="0">
      <pane ySplit="1" topLeftCell="A357" activePane="bottomLeft" state="frozen"/>
      <selection pane="bottomLeft" activeCell="O361" sqref="O361"/>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1930</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1931</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1931</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1931</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1845</v>
      </c>
      <c r="H5" s="5" t="s">
        <v>63</v>
      </c>
      <c r="I5" s="5" t="s">
        <v>71</v>
      </c>
      <c r="J5" s="5" t="s">
        <v>72</v>
      </c>
      <c r="K5" s="18" t="s">
        <v>1931</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1845</v>
      </c>
      <c r="H6" s="5" t="s">
        <v>77</v>
      </c>
      <c r="I6" s="5" t="s">
        <v>72</v>
      </c>
      <c r="J6" s="5" t="s">
        <v>78</v>
      </c>
      <c r="K6" s="18" t="s">
        <v>1931</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1931</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1931</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1931</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1845</v>
      </c>
      <c r="H10" s="5" t="s">
        <v>77</v>
      </c>
      <c r="I10" s="5" t="s">
        <v>71</v>
      </c>
      <c r="J10" s="5"/>
      <c r="K10" s="18" t="s">
        <v>1931</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1931</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1931</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1931</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1931</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1845</v>
      </c>
      <c r="H15" s="5" t="s">
        <v>132</v>
      </c>
      <c r="I15" s="5" t="s">
        <v>133</v>
      </c>
      <c r="J15" s="5" t="s">
        <v>119</v>
      </c>
      <c r="K15" s="18" t="s">
        <v>1931</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1931</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1931</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1845</v>
      </c>
      <c r="H18" s="5" t="s">
        <v>77</v>
      </c>
      <c r="I18" s="5" t="s">
        <v>91</v>
      </c>
      <c r="J18" s="5" t="s">
        <v>78</v>
      </c>
      <c r="K18" s="18" t="s">
        <v>1931</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1931</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1931</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1931</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1931</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1931</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1931</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1931</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1931</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1931</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1931</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1931</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1845</v>
      </c>
      <c r="H30" s="5" t="s">
        <v>191</v>
      </c>
      <c r="I30" s="5" t="s">
        <v>192</v>
      </c>
      <c r="J30" s="5" t="s">
        <v>193</v>
      </c>
      <c r="K30" s="18" t="s">
        <v>1931</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1931</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1931</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1931</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1931</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1845</v>
      </c>
      <c r="H35" s="5" t="s">
        <v>1159</v>
      </c>
      <c r="I35" s="5" t="s">
        <v>71</v>
      </c>
      <c r="J35" s="5" t="s">
        <v>91</v>
      </c>
      <c r="K35" s="18" t="s">
        <v>1931</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1901</v>
      </c>
      <c r="B36" s="5"/>
      <c r="C36" s="5" t="s">
        <v>128</v>
      </c>
      <c r="D36" s="5" t="s">
        <v>44</v>
      </c>
      <c r="E36" s="5" t="s">
        <v>45</v>
      </c>
      <c r="F36" s="5" t="s">
        <v>46</v>
      </c>
      <c r="G36" s="5" t="s">
        <v>57</v>
      </c>
      <c r="H36" s="5" t="s">
        <v>1902</v>
      </c>
      <c r="I36" s="5" t="s">
        <v>178</v>
      </c>
      <c r="J36" s="5" t="s">
        <v>72</v>
      </c>
      <c r="K36" s="18" t="s">
        <v>1931</v>
      </c>
      <c r="L36" s="6">
        <f t="shared" si="2"/>
        <v>6</v>
      </c>
      <c r="M36" s="6" t="str">
        <f t="shared" si="1"/>
        <v>Yes</v>
      </c>
      <c r="N36" s="5"/>
      <c r="O36" s="5" t="s">
        <v>1903</v>
      </c>
      <c r="P36" s="5" t="s">
        <v>128</v>
      </c>
      <c r="Q36" s="5" t="s">
        <v>1904</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1845</v>
      </c>
      <c r="H37" s="5" t="s">
        <v>63</v>
      </c>
      <c r="I37" s="5" t="s">
        <v>91</v>
      </c>
      <c r="J37" s="5"/>
      <c r="K37" s="18" t="s">
        <v>1931</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1931</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c r="H39" s="5" t="s">
        <v>90</v>
      </c>
      <c r="I39" s="5" t="s">
        <v>192</v>
      </c>
      <c r="J39" s="5" t="s">
        <v>133</v>
      </c>
      <c r="K39" s="18" t="s">
        <v>1931</v>
      </c>
      <c r="L39" s="6">
        <f t="shared" si="2"/>
        <v>5</v>
      </c>
      <c r="M39" s="6" t="str">
        <f t="shared" si="1"/>
        <v>No</v>
      </c>
      <c r="N39" s="5"/>
      <c r="O39" s="5"/>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1931</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1931</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1931</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1931</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1931</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1931</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1931</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1931</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1931</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1931</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1931</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1931</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1931</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1931</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1931</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1890</v>
      </c>
      <c r="I55" s="5" t="s">
        <v>123</v>
      </c>
      <c r="J55" s="5" t="s">
        <v>287</v>
      </c>
      <c r="K55" s="18" t="s">
        <v>1931</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1159</v>
      </c>
      <c r="I56" s="5" t="s">
        <v>193</v>
      </c>
      <c r="J56" s="5"/>
      <c r="K56" s="18" t="s">
        <v>1931</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1931</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1931</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1931</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1931</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1905</v>
      </c>
      <c r="B61" s="5"/>
      <c r="C61" s="5" t="s">
        <v>128</v>
      </c>
      <c r="D61" s="5" t="s">
        <v>44</v>
      </c>
      <c r="E61" s="5" t="s">
        <v>45</v>
      </c>
      <c r="F61" s="5" t="s">
        <v>107</v>
      </c>
      <c r="G61" s="5" t="s">
        <v>57</v>
      </c>
      <c r="H61" s="5" t="s">
        <v>1906</v>
      </c>
      <c r="I61" s="5" t="s">
        <v>49</v>
      </c>
      <c r="J61" s="5"/>
      <c r="K61" s="18" t="s">
        <v>1931</v>
      </c>
      <c r="L61" s="6">
        <f t="shared" si="2"/>
        <v>6</v>
      </c>
      <c r="M61" s="6" t="str">
        <f t="shared" si="1"/>
        <v>Yes</v>
      </c>
      <c r="N61" s="5"/>
      <c r="O61" s="5" t="s">
        <v>1907</v>
      </c>
      <c r="P61" s="5" t="s">
        <v>128</v>
      </c>
      <c r="Q61" s="5">
        <v>4.5</v>
      </c>
      <c r="R61" s="5"/>
      <c r="S61" s="5"/>
      <c r="T61" s="5"/>
      <c r="U61" s="5" t="s">
        <v>66</v>
      </c>
      <c r="V61" s="5"/>
      <c r="W61" s="5" t="s">
        <v>51</v>
      </c>
      <c r="X61" s="5" t="s">
        <v>1908</v>
      </c>
      <c r="Y61" s="5" t="s">
        <v>57</v>
      </c>
      <c r="Z61" s="5" t="s">
        <v>167</v>
      </c>
    </row>
    <row r="62" spans="1:26" x14ac:dyDescent="0.25">
      <c r="A62" s="5" t="s">
        <v>307</v>
      </c>
      <c r="B62" s="5"/>
      <c r="C62" s="5" t="s">
        <v>70</v>
      </c>
      <c r="D62" s="5"/>
      <c r="E62" s="5" t="s">
        <v>252</v>
      </c>
      <c r="F62" s="5"/>
      <c r="G62" s="5" t="s">
        <v>57</v>
      </c>
      <c r="H62" s="5"/>
      <c r="I62" s="5"/>
      <c r="J62" s="5"/>
      <c r="K62" s="18" t="s">
        <v>1931</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1881</v>
      </c>
      <c r="I63" s="5" t="s">
        <v>123</v>
      </c>
      <c r="J63" s="5"/>
      <c r="K63" s="18" t="s">
        <v>1931</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1931</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1857</v>
      </c>
      <c r="I65" s="5" t="s">
        <v>78</v>
      </c>
      <c r="J65" s="5" t="s">
        <v>178</v>
      </c>
      <c r="K65" s="18" t="s">
        <v>1931</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1931</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1931</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1931</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1931</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1931</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1931</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1931</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1931</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1931</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1931</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1931</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1931</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1931</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1931</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1931</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1931</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1931</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1931</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1931</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1931</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1931</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1931</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1856</v>
      </c>
      <c r="I88" s="5" t="s">
        <v>192</v>
      </c>
      <c r="J88" s="5"/>
      <c r="K88" s="18" t="s">
        <v>1931</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1860</v>
      </c>
      <c r="I89" s="5" t="s">
        <v>91</v>
      </c>
      <c r="J89" s="5" t="s">
        <v>72</v>
      </c>
      <c r="K89" s="18" t="s">
        <v>1931</v>
      </c>
      <c r="L89" s="6">
        <f t="shared" si="4"/>
        <v>6</v>
      </c>
      <c r="M89" s="6" t="str">
        <f t="shared" si="3"/>
        <v>Yes</v>
      </c>
      <c r="N89" s="5" t="s">
        <v>1877</v>
      </c>
      <c r="O89" s="5" t="s">
        <v>1878</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1931</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1931</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1931</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1931</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1931</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1845</v>
      </c>
      <c r="H95" s="5" t="s">
        <v>77</v>
      </c>
      <c r="I95" s="5"/>
      <c r="J95" s="5"/>
      <c r="K95" s="18" t="s">
        <v>1931</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1931</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1931</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1931</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1931</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1931</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1931</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1931</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1931</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1931</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1932</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1931</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1931</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1931</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1931</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1931</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1856</v>
      </c>
      <c r="I111" s="5" t="s">
        <v>78</v>
      </c>
      <c r="J111" s="5"/>
      <c r="K111" s="18" t="s">
        <v>1931</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1931</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1931</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1931</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1931</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1928</v>
      </c>
      <c r="B116" s="5"/>
      <c r="C116" s="5" t="s">
        <v>128</v>
      </c>
      <c r="D116" s="5" t="s">
        <v>44</v>
      </c>
      <c r="E116" s="5" t="s">
        <v>45</v>
      </c>
      <c r="F116" s="5" t="s">
        <v>107</v>
      </c>
      <c r="G116" s="5" t="s">
        <v>57</v>
      </c>
      <c r="H116" s="5" t="s">
        <v>63</v>
      </c>
      <c r="I116" s="5" t="s">
        <v>59</v>
      </c>
      <c r="J116" s="5" t="s">
        <v>1924</v>
      </c>
      <c r="K116" s="18" t="s">
        <v>1931</v>
      </c>
      <c r="L116" s="6">
        <f t="shared" si="4"/>
        <v>6</v>
      </c>
      <c r="M116" s="6" t="str">
        <f t="shared" si="3"/>
        <v>Yes</v>
      </c>
      <c r="N116" s="5"/>
      <c r="O116" s="5" t="s">
        <v>1929</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1931</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1931</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1931</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1845</v>
      </c>
      <c r="H120" s="5" t="s">
        <v>493</v>
      </c>
      <c r="I120" s="5" t="s">
        <v>71</v>
      </c>
      <c r="J120" s="5" t="s">
        <v>1884</v>
      </c>
      <c r="K120" s="18" t="s">
        <v>1931</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1923</v>
      </c>
      <c r="B121" s="5"/>
      <c r="C121" s="5" t="s">
        <v>128</v>
      </c>
      <c r="D121" s="5" t="s">
        <v>44</v>
      </c>
      <c r="E121" s="5" t="s">
        <v>45</v>
      </c>
      <c r="F121" s="5" t="s">
        <v>46</v>
      </c>
      <c r="G121" s="5" t="s">
        <v>47</v>
      </c>
      <c r="H121" s="17" t="s">
        <v>1902</v>
      </c>
      <c r="I121" s="5" t="s">
        <v>123</v>
      </c>
      <c r="J121" s="5" t="s">
        <v>1924</v>
      </c>
      <c r="K121" s="18" t="s">
        <v>1882</v>
      </c>
      <c r="L121" s="6">
        <f t="shared" si="4"/>
        <v>6</v>
      </c>
      <c r="M121" s="6" t="str">
        <f t="shared" si="3"/>
        <v>Yes</v>
      </c>
      <c r="N121" s="5" t="s">
        <v>1926</v>
      </c>
      <c r="O121" s="5" t="s">
        <v>1925</v>
      </c>
      <c r="P121" s="5" t="s">
        <v>128</v>
      </c>
      <c r="Q121" s="5" t="s">
        <v>1927</v>
      </c>
      <c r="R121" s="5"/>
      <c r="S121" s="5"/>
      <c r="T121" s="5"/>
      <c r="U121" s="5" t="s">
        <v>50</v>
      </c>
      <c r="V121" s="5"/>
      <c r="W121" s="5" t="s">
        <v>51</v>
      </c>
      <c r="X121" s="5" t="s">
        <v>1882</v>
      </c>
      <c r="Y121" s="5"/>
      <c r="Z121" s="5" t="s">
        <v>219</v>
      </c>
    </row>
    <row r="122" spans="1:26" x14ac:dyDescent="0.25">
      <c r="A122" s="5" t="s">
        <v>495</v>
      </c>
      <c r="B122" s="5"/>
      <c r="C122" s="5" t="s">
        <v>43</v>
      </c>
      <c r="D122" s="5" t="s">
        <v>44</v>
      </c>
      <c r="E122" s="5" t="s">
        <v>45</v>
      </c>
      <c r="F122" s="5" t="s">
        <v>107</v>
      </c>
      <c r="G122" s="5" t="s">
        <v>47</v>
      </c>
      <c r="H122" s="17" t="s">
        <v>1916</v>
      </c>
      <c r="I122" s="5" t="s">
        <v>91</v>
      </c>
      <c r="J122" s="5" t="s">
        <v>49</v>
      </c>
      <c r="K122" s="18" t="s">
        <v>1931</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1931</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1931</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1931</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1845</v>
      </c>
      <c r="H126" s="5" t="s">
        <v>1127</v>
      </c>
      <c r="I126" s="5" t="s">
        <v>91</v>
      </c>
      <c r="J126" s="5" t="s">
        <v>49</v>
      </c>
      <c r="K126" s="18" t="s">
        <v>1931</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1931</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1845</v>
      </c>
      <c r="H128" s="5" t="s">
        <v>83</v>
      </c>
      <c r="I128" s="5" t="s">
        <v>91</v>
      </c>
      <c r="J128" s="5"/>
      <c r="K128" s="18" t="s">
        <v>1931</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1931</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1863</v>
      </c>
      <c r="B130" s="5"/>
      <c r="C130" s="5" t="s">
        <v>43</v>
      </c>
      <c r="D130" s="5" t="s">
        <v>44</v>
      </c>
      <c r="E130" s="5" t="s">
        <v>45</v>
      </c>
      <c r="F130" s="5" t="s">
        <v>46</v>
      </c>
      <c r="G130" s="5" t="s">
        <v>57</v>
      </c>
      <c r="H130" s="5" t="s">
        <v>58</v>
      </c>
      <c r="I130" s="5" t="s">
        <v>123</v>
      </c>
      <c r="J130" s="5"/>
      <c r="K130" s="18" t="s">
        <v>1931</v>
      </c>
      <c r="L130" s="6">
        <f t="shared" si="4"/>
        <v>6</v>
      </c>
      <c r="M130" s="6" t="str">
        <f t="shared" ref="M130:M193" si="5">IF(A130="","",IF(AND(L130=6,UPPER(S130)&lt;&gt;"Y",C130&lt;&gt;""),"Yes","No"))</f>
        <v>Yes</v>
      </c>
      <c r="N130" s="5" t="s">
        <v>1867</v>
      </c>
      <c r="O130" s="5" t="s">
        <v>1864</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1915</v>
      </c>
      <c r="K131" s="18" t="s">
        <v>1931</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1931</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1830</v>
      </c>
      <c r="I133" s="5" t="s">
        <v>192</v>
      </c>
      <c r="J133" s="5"/>
      <c r="K133" s="18" t="s">
        <v>1931</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1931</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1931</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1845</v>
      </c>
      <c r="H136" s="17" t="s">
        <v>58</v>
      </c>
      <c r="I136" s="5"/>
      <c r="J136" s="5"/>
      <c r="K136" s="18" t="s">
        <v>1931</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1931</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1931</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1931</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1931</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1931</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1931</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1931</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1931</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1931</v>
      </c>
      <c r="L145" s="6">
        <f t="shared" si="4"/>
        <v>6</v>
      </c>
      <c r="M145" s="6" t="str">
        <f t="shared" si="5"/>
        <v>Yes</v>
      </c>
      <c r="N145" s="5" t="s">
        <v>573</v>
      </c>
      <c r="O145" s="17" t="s">
        <v>1917</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1931</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1931</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1931</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1931</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1845</v>
      </c>
      <c r="H150" s="5" t="s">
        <v>77</v>
      </c>
      <c r="I150" s="5" t="s">
        <v>71</v>
      </c>
      <c r="J150" s="5" t="s">
        <v>91</v>
      </c>
      <c r="K150" s="18" t="s">
        <v>1931</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1952</v>
      </c>
      <c r="K151" s="18" t="s">
        <v>1931</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1931</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1931</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1931</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1931</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1931</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1931</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1931</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1918</v>
      </c>
      <c r="B159" s="5"/>
      <c r="C159" s="5" t="s">
        <v>128</v>
      </c>
      <c r="D159" s="5" t="s">
        <v>244</v>
      </c>
      <c r="E159" s="5" t="s">
        <v>331</v>
      </c>
      <c r="F159" s="5" t="s">
        <v>46</v>
      </c>
      <c r="G159" s="5" t="s">
        <v>57</v>
      </c>
      <c r="H159" s="5" t="s">
        <v>1919</v>
      </c>
      <c r="I159" s="5" t="s">
        <v>192</v>
      </c>
      <c r="J159" s="5" t="s">
        <v>59</v>
      </c>
      <c r="K159" s="18" t="s">
        <v>1931</v>
      </c>
      <c r="L159" s="6">
        <f t="shared" si="6"/>
        <v>6</v>
      </c>
      <c r="M159" s="6" t="str">
        <f t="shared" si="5"/>
        <v>Yes</v>
      </c>
      <c r="N159" s="5"/>
      <c r="O159" s="5" t="s">
        <v>1920</v>
      </c>
      <c r="P159" s="5" t="s">
        <v>128</v>
      </c>
      <c r="Q159" s="5" t="s">
        <v>1921</v>
      </c>
      <c r="R159" s="5"/>
      <c r="S159" s="5"/>
      <c r="T159" s="5"/>
      <c r="U159" s="5" t="s">
        <v>110</v>
      </c>
      <c r="V159" s="5" t="s">
        <v>225</v>
      </c>
      <c r="W159" s="5" t="s">
        <v>112</v>
      </c>
      <c r="X159" s="5" t="s">
        <v>1919</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1931</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1931</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1931</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1931</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1931</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1931</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1931</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1931</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1931</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1931</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1931</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1931</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1851</v>
      </c>
      <c r="I172" s="5" t="s">
        <v>119</v>
      </c>
      <c r="J172" s="5" t="s">
        <v>71</v>
      </c>
      <c r="K172" s="18" t="s">
        <v>1931</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1931</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1931</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1931</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1931</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1931</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1931</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1931</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1931</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1931</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1931</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1931</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1931</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1931</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1931</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1931</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1859</v>
      </c>
      <c r="I188" s="5" t="s">
        <v>78</v>
      </c>
      <c r="J188" s="5" t="s">
        <v>689</v>
      </c>
      <c r="K188" s="18" t="s">
        <v>1937</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1931</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1931</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1931</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1931</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1931</v>
      </c>
      <c r="L193" s="6">
        <f t="shared" si="6"/>
        <v>6</v>
      </c>
      <c r="M193" s="6" t="str">
        <f t="shared" si="5"/>
        <v>Yes</v>
      </c>
      <c r="N193" s="5" t="s">
        <v>708</v>
      </c>
      <c r="O193" s="5" t="s">
        <v>709</v>
      </c>
      <c r="P193" s="5" t="s">
        <v>43</v>
      </c>
      <c r="Q193" s="5" t="s">
        <v>675</v>
      </c>
      <c r="R193" s="5" t="s">
        <v>705</v>
      </c>
      <c r="S193" s="5" t="s">
        <v>1844</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1931</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1931</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1854</v>
      </c>
      <c r="K196" s="18" t="s">
        <v>1931</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1856</v>
      </c>
      <c r="I197" s="5"/>
      <c r="J197" s="5"/>
      <c r="K197" s="18" t="s">
        <v>1931</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1931</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1931</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1931</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1845</v>
      </c>
      <c r="H201" s="5" t="s">
        <v>58</v>
      </c>
      <c r="I201" s="5" t="s">
        <v>133</v>
      </c>
      <c r="J201" s="5" t="s">
        <v>78</v>
      </c>
      <c r="K201" s="18" t="s">
        <v>1931</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1931</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1931</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1931</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1931</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1931</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1931</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1931</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1931</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1931</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1931</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1931</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1881</v>
      </c>
      <c r="I213" s="5" t="s">
        <v>133</v>
      </c>
      <c r="J213" s="5" t="s">
        <v>1889</v>
      </c>
      <c r="K213" s="18" t="s">
        <v>1931</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1931</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1860</v>
      </c>
      <c r="I215" s="5" t="s">
        <v>72</v>
      </c>
      <c r="J215" s="5" t="s">
        <v>765</v>
      </c>
      <c r="K215" s="18" t="s">
        <v>1931</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1931</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1845</v>
      </c>
      <c r="H217" s="5" t="s">
        <v>772</v>
      </c>
      <c r="I217" s="5" t="s">
        <v>72</v>
      </c>
      <c r="J217" s="5" t="s">
        <v>49</v>
      </c>
      <c r="K217" s="18" t="s">
        <v>1931</v>
      </c>
      <c r="L217" s="6">
        <f t="shared" si="8"/>
        <v>6</v>
      </c>
      <c r="M217" s="6" t="str">
        <f t="shared" si="7"/>
        <v>Yes</v>
      </c>
      <c r="N217" s="5"/>
      <c r="O217" s="5" t="s">
        <v>1953</v>
      </c>
      <c r="P217" s="5"/>
      <c r="Q217" s="5"/>
      <c r="R217" s="5"/>
      <c r="S217" s="5"/>
      <c r="T217" s="5"/>
      <c r="U217" s="5" t="s">
        <v>50</v>
      </c>
      <c r="V217" s="5"/>
      <c r="W217" s="5" t="s">
        <v>51</v>
      </c>
      <c r="X217" s="5" t="s">
        <v>772</v>
      </c>
      <c r="Y217" s="5"/>
      <c r="Z217" s="5" t="s">
        <v>189</v>
      </c>
    </row>
    <row r="218" spans="1:26" x14ac:dyDescent="0.25">
      <c r="A218" s="5" t="s">
        <v>1941</v>
      </c>
      <c r="B218" s="5"/>
      <c r="C218" s="5" t="s">
        <v>43</v>
      </c>
      <c r="D218" s="5" t="s">
        <v>44</v>
      </c>
      <c r="E218" s="5" t="s">
        <v>45</v>
      </c>
      <c r="F218" s="5" t="s">
        <v>107</v>
      </c>
      <c r="G218" s="5" t="s">
        <v>47</v>
      </c>
      <c r="H218" s="5" t="s">
        <v>1942</v>
      </c>
      <c r="I218" s="5" t="s">
        <v>192</v>
      </c>
      <c r="J218" s="5" t="s">
        <v>1946</v>
      </c>
      <c r="K218" s="18" t="s">
        <v>1943</v>
      </c>
      <c r="L218" s="6">
        <f t="shared" si="8"/>
        <v>6</v>
      </c>
      <c r="M218" s="6" t="str">
        <f t="shared" si="7"/>
        <v>Yes</v>
      </c>
      <c r="N218" s="5" t="s">
        <v>1944</v>
      </c>
      <c r="O218" s="5" t="s">
        <v>1945</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1881</v>
      </c>
      <c r="I219" s="5" t="s">
        <v>91</v>
      </c>
      <c r="J219" s="5" t="s">
        <v>78</v>
      </c>
      <c r="K219" s="18" t="s">
        <v>1931</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1931</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1931</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1845</v>
      </c>
      <c r="H222" s="5" t="s">
        <v>83</v>
      </c>
      <c r="I222" s="5" t="s">
        <v>78</v>
      </c>
      <c r="J222" s="5"/>
      <c r="K222" s="18" t="s">
        <v>1932</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1931</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1931</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1931</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1931</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1931</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1856</v>
      </c>
      <c r="I228" s="5" t="s">
        <v>91</v>
      </c>
      <c r="J228" s="5" t="s">
        <v>797</v>
      </c>
      <c r="K228" s="18" t="s">
        <v>1931</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1931</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1845</v>
      </c>
      <c r="H230" s="5" t="s">
        <v>332</v>
      </c>
      <c r="I230" s="5" t="s">
        <v>91</v>
      </c>
      <c r="J230" s="5"/>
      <c r="K230" s="18" t="s">
        <v>1931</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1931</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1931</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1931</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1931</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1931</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1931</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1896</v>
      </c>
      <c r="I237" s="5" t="s">
        <v>192</v>
      </c>
      <c r="J237" s="5"/>
      <c r="K237" s="18" t="s">
        <v>1931</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1931</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1931</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1845</v>
      </c>
      <c r="H240" s="5" t="s">
        <v>132</v>
      </c>
      <c r="I240" s="5" t="s">
        <v>78</v>
      </c>
      <c r="J240" s="5"/>
      <c r="K240" s="18" t="s">
        <v>1931</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1931</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1931</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1931</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1931</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1939</v>
      </c>
      <c r="B245" s="5"/>
      <c r="C245" s="5" t="s">
        <v>128</v>
      </c>
      <c r="D245" s="5" t="s">
        <v>244</v>
      </c>
      <c r="E245" s="5" t="s">
        <v>45</v>
      </c>
      <c r="F245" s="5" t="s">
        <v>46</v>
      </c>
      <c r="G245" s="5" t="s">
        <v>47</v>
      </c>
      <c r="H245" s="5" t="s">
        <v>63</v>
      </c>
      <c r="I245" s="5" t="s">
        <v>119</v>
      </c>
      <c r="J245" s="5" t="s">
        <v>78</v>
      </c>
      <c r="K245" s="18" t="s">
        <v>1937</v>
      </c>
      <c r="L245" s="6">
        <f t="shared" si="8"/>
        <v>6</v>
      </c>
      <c r="M245" s="6" t="str">
        <f t="shared" si="7"/>
        <v>Yes</v>
      </c>
      <c r="N245" s="5"/>
      <c r="O245" s="5" t="s">
        <v>1940</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1879</v>
      </c>
      <c r="I246" s="5" t="s">
        <v>78</v>
      </c>
      <c r="J246" s="5" t="s">
        <v>71</v>
      </c>
      <c r="K246" s="18" t="s">
        <v>1931</v>
      </c>
      <c r="L246" s="6">
        <f t="shared" si="8"/>
        <v>6</v>
      </c>
      <c r="M246" s="6" t="str">
        <f t="shared" si="7"/>
        <v>Yes</v>
      </c>
      <c r="N246" s="5"/>
      <c r="O246" s="5" t="s">
        <v>1880</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1931</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1931</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1931</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1845</v>
      </c>
      <c r="H250" s="5" t="s">
        <v>77</v>
      </c>
      <c r="I250" s="5" t="s">
        <v>78</v>
      </c>
      <c r="J250" s="5" t="s">
        <v>72</v>
      </c>
      <c r="K250" s="18" t="s">
        <v>1932</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1931</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1931</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1931</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1931</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1931</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1931</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1931</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1931</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1931</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1931</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1931</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1933</v>
      </c>
      <c r="B262" s="5"/>
      <c r="C262" s="5" t="s">
        <v>128</v>
      </c>
      <c r="D262" s="5" t="s">
        <v>44</v>
      </c>
      <c r="E262" s="5" t="s">
        <v>45</v>
      </c>
      <c r="F262" s="5" t="s">
        <v>46</v>
      </c>
      <c r="G262" s="5" t="s">
        <v>57</v>
      </c>
      <c r="H262" s="5" t="s">
        <v>1934</v>
      </c>
      <c r="I262" s="5" t="s">
        <v>193</v>
      </c>
      <c r="J262" s="5" t="s">
        <v>78</v>
      </c>
      <c r="K262" s="18" t="s">
        <v>1935</v>
      </c>
      <c r="L262" s="6">
        <f t="shared" si="8"/>
        <v>6</v>
      </c>
      <c r="M262" s="6" t="str">
        <f t="shared" si="9"/>
        <v>Yes</v>
      </c>
      <c r="N262" s="5"/>
      <c r="O262" s="5" t="s">
        <v>1936</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1931</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1931</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1931</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1931</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1931</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1931</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1931</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1931</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1931</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1935</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1931</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1931</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1931</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1931</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1931</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1931</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1931</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1931</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1931</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1931</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1856</v>
      </c>
      <c r="I283" s="5" t="s">
        <v>123</v>
      </c>
      <c r="J283" s="5"/>
      <c r="K283" s="18" t="s">
        <v>1931</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1931</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1931</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1931</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1931</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1931</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1931</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1931</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1931</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1931</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1931</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1931</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1931</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1931</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1931</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1931</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1931</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1845</v>
      </c>
      <c r="H300" s="5" t="s">
        <v>96</v>
      </c>
      <c r="I300" s="5" t="s">
        <v>91</v>
      </c>
      <c r="J300" s="5" t="s">
        <v>72</v>
      </c>
      <c r="K300" s="18" t="s">
        <v>1931</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1931</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1931</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1931</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1857</v>
      </c>
      <c r="I304" s="5" t="s">
        <v>119</v>
      </c>
      <c r="J304" s="5" t="s">
        <v>765</v>
      </c>
      <c r="K304" s="18" t="s">
        <v>1931</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1931</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1931</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1931</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1931</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1839</v>
      </c>
      <c r="I309" s="5" t="s">
        <v>123</v>
      </c>
      <c r="K309" s="18" t="s">
        <v>1931</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1655</v>
      </c>
      <c r="K310" s="18" t="s">
        <v>1931</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1931</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1931</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1931</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1931</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1931</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1931</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1931</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1931</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1931</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1931</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1931</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1931</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1865</v>
      </c>
      <c r="B323" s="5" t="s">
        <v>1866</v>
      </c>
      <c r="C323" s="5" t="s">
        <v>128</v>
      </c>
      <c r="D323" s="5" t="s">
        <v>76</v>
      </c>
      <c r="E323" s="5" t="s">
        <v>45</v>
      </c>
      <c r="F323" s="5" t="s">
        <v>107</v>
      </c>
      <c r="G323" s="5" t="s">
        <v>57</v>
      </c>
      <c r="H323" s="5" t="s">
        <v>1860</v>
      </c>
      <c r="I323" s="5" t="s">
        <v>123</v>
      </c>
      <c r="J323" s="5" t="s">
        <v>1868</v>
      </c>
      <c r="K323" s="18" t="s">
        <v>1931</v>
      </c>
      <c r="L323" s="6">
        <f t="shared" si="10"/>
        <v>6</v>
      </c>
      <c r="M323" s="6" t="str">
        <f t="shared" si="11"/>
        <v>Yes</v>
      </c>
      <c r="N323" s="5" t="s">
        <v>1869</v>
      </c>
      <c r="O323" s="5" t="s">
        <v>1870</v>
      </c>
      <c r="P323" s="5" t="s">
        <v>128</v>
      </c>
      <c r="Q323" s="5" t="s">
        <v>1871</v>
      </c>
      <c r="R323" s="5"/>
      <c r="S323" s="5"/>
      <c r="T323" s="5"/>
      <c r="U323" s="5" t="s">
        <v>66</v>
      </c>
      <c r="V323" s="5"/>
      <c r="W323" s="5" t="s">
        <v>51</v>
      </c>
      <c r="X323" s="5" t="s">
        <v>1860</v>
      </c>
      <c r="Y323" s="5"/>
      <c r="Z323" s="5" t="s">
        <v>88</v>
      </c>
    </row>
    <row r="324" spans="1:26" x14ac:dyDescent="0.25">
      <c r="A324" s="5" t="s">
        <v>1033</v>
      </c>
      <c r="B324" s="5"/>
      <c r="C324" s="5" t="s">
        <v>128</v>
      </c>
      <c r="D324" s="5" t="s">
        <v>44</v>
      </c>
      <c r="E324" s="5" t="s">
        <v>45</v>
      </c>
      <c r="F324" s="5" t="s">
        <v>46</v>
      </c>
      <c r="G324" s="5" t="s">
        <v>57</v>
      </c>
      <c r="H324" s="5" t="s">
        <v>1159</v>
      </c>
      <c r="I324" s="5" t="s">
        <v>72</v>
      </c>
      <c r="J324" s="5" t="s">
        <v>59</v>
      </c>
      <c r="K324" s="18" t="s">
        <v>1931</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1909</v>
      </c>
      <c r="B325" s="5"/>
      <c r="C325" s="5" t="s">
        <v>128</v>
      </c>
      <c r="D325" s="5" t="s">
        <v>44</v>
      </c>
      <c r="E325" s="5" t="s">
        <v>45</v>
      </c>
      <c r="F325" s="5" t="s">
        <v>107</v>
      </c>
      <c r="G325" s="5" t="s">
        <v>57</v>
      </c>
      <c r="H325" s="5" t="s">
        <v>1159</v>
      </c>
      <c r="I325" s="5" t="s">
        <v>192</v>
      </c>
      <c r="J325" s="5" t="s">
        <v>1911</v>
      </c>
      <c r="K325" s="5" t="s">
        <v>1882</v>
      </c>
      <c r="L325" s="6">
        <f t="shared" si="10"/>
        <v>6</v>
      </c>
      <c r="M325" s="6" t="str">
        <f t="shared" si="11"/>
        <v>Yes</v>
      </c>
      <c r="N325" s="5" t="s">
        <v>1910</v>
      </c>
      <c r="O325" s="5" t="s">
        <v>1912</v>
      </c>
      <c r="P325" s="5" t="s">
        <v>128</v>
      </c>
      <c r="Q325" s="5" t="s">
        <v>1914</v>
      </c>
      <c r="R325" s="5"/>
      <c r="S325" s="5"/>
      <c r="T325" s="5"/>
      <c r="U325" s="5" t="s">
        <v>66</v>
      </c>
      <c r="V325" s="5"/>
      <c r="W325" s="5" t="s">
        <v>51</v>
      </c>
      <c r="X325" s="5" t="s">
        <v>1913</v>
      </c>
      <c r="Y325" s="5" t="s">
        <v>57</v>
      </c>
      <c r="Z325" s="5"/>
    </row>
    <row r="326" spans="1:26" x14ac:dyDescent="0.25">
      <c r="A326" s="5" t="s">
        <v>1036</v>
      </c>
      <c r="B326" s="5"/>
      <c r="C326" s="5" t="s">
        <v>70</v>
      </c>
      <c r="D326" s="5" t="s">
        <v>44</v>
      </c>
      <c r="E326" s="5"/>
      <c r="F326" s="5"/>
      <c r="G326" s="5"/>
      <c r="H326" s="5"/>
      <c r="I326" s="5"/>
      <c r="J326" s="5"/>
      <c r="K326" s="18" t="s">
        <v>1931</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1931</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1931</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1931</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1931</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1931</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1931</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1931</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1931</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1931</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1934</v>
      </c>
      <c r="I336" s="5" t="s">
        <v>49</v>
      </c>
      <c r="J336" s="5" t="s">
        <v>78</v>
      </c>
      <c r="K336" s="18" t="s">
        <v>1937</v>
      </c>
      <c r="L336" s="6">
        <f t="shared" si="10"/>
        <v>6</v>
      </c>
      <c r="M336" s="6" t="str">
        <f t="shared" si="11"/>
        <v>Yes</v>
      </c>
      <c r="N336" s="5"/>
      <c r="O336" s="5" t="s">
        <v>1938</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1931</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1931</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1931</v>
      </c>
      <c r="L339" s="6">
        <f t="shared" ref="L339:L402" si="12">IF(A339="","",COUNTA(D339:F339)+COUNTA(G339:G339)+COUNTA(H339:H339)+COUNTA(I339:I339))</f>
        <v>4</v>
      </c>
      <c r="M339" s="6" t="str">
        <f t="shared" si="11"/>
        <v>No</v>
      </c>
      <c r="N339" s="5" t="s">
        <v>1951</v>
      </c>
      <c r="O339" s="5" t="s">
        <v>1069</v>
      </c>
      <c r="P339" s="5" t="s">
        <v>43</v>
      </c>
      <c r="Q339" s="5"/>
      <c r="R339" s="5"/>
      <c r="S339" s="5"/>
      <c r="T339" s="5"/>
      <c r="U339" s="5" t="s">
        <v>50</v>
      </c>
      <c r="V339" s="5"/>
      <c r="W339" s="5" t="s">
        <v>51</v>
      </c>
      <c r="X339" s="5" t="s">
        <v>63</v>
      </c>
      <c r="Y339" s="5"/>
      <c r="Z339" s="5" t="s">
        <v>1070</v>
      </c>
    </row>
    <row r="340" spans="1:26" x14ac:dyDescent="0.25">
      <c r="A340" s="5" t="s">
        <v>1949</v>
      </c>
      <c r="B340" s="5"/>
      <c r="C340" s="5" t="s">
        <v>128</v>
      </c>
      <c r="D340" s="5" t="s">
        <v>44</v>
      </c>
      <c r="E340" s="5" t="s">
        <v>45</v>
      </c>
      <c r="F340" s="5" t="s">
        <v>107</v>
      </c>
      <c r="G340" s="5" t="s">
        <v>57</v>
      </c>
      <c r="H340" s="5" t="s">
        <v>1934</v>
      </c>
      <c r="I340" s="5" t="s">
        <v>133</v>
      </c>
      <c r="J340" s="5" t="s">
        <v>157</v>
      </c>
      <c r="K340" s="18" t="s">
        <v>1943</v>
      </c>
      <c r="L340" s="6">
        <f t="shared" si="12"/>
        <v>6</v>
      </c>
      <c r="M340" s="6" t="str">
        <f t="shared" si="11"/>
        <v>Yes</v>
      </c>
      <c r="N340" s="5"/>
      <c r="O340" s="5" t="s">
        <v>1950</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1845</v>
      </c>
      <c r="H341" s="5" t="s">
        <v>96</v>
      </c>
      <c r="I341" s="5" t="s">
        <v>59</v>
      </c>
      <c r="J341" s="5" t="s">
        <v>72</v>
      </c>
      <c r="K341" s="18" t="s">
        <v>1931</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1931</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1931</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1931</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1931</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1931</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1931</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1931</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1931</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1931</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1931</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1855</v>
      </c>
      <c r="C352" s="5" t="s">
        <v>128</v>
      </c>
      <c r="D352" s="5" t="s">
        <v>44</v>
      </c>
      <c r="E352" s="5" t="s">
        <v>45</v>
      </c>
      <c r="F352" s="5" t="s">
        <v>107</v>
      </c>
      <c r="G352" s="5" t="s">
        <v>57</v>
      </c>
      <c r="H352" s="5" t="s">
        <v>1159</v>
      </c>
      <c r="I352" s="5" t="s">
        <v>192</v>
      </c>
      <c r="J352" s="5" t="s">
        <v>133</v>
      </c>
      <c r="K352" s="18" t="s">
        <v>1931</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1931</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1858</v>
      </c>
      <c r="I354" s="5" t="s">
        <v>91</v>
      </c>
      <c r="J354" s="5" t="s">
        <v>49</v>
      </c>
      <c r="K354" s="18" t="s">
        <v>1931</v>
      </c>
      <c r="L354" s="6">
        <f t="shared" si="12"/>
        <v>6</v>
      </c>
      <c r="M354" s="6" t="str">
        <f t="shared" si="11"/>
        <v>Yes</v>
      </c>
      <c r="N354" s="5" t="s">
        <v>1888</v>
      </c>
      <c r="O354" s="5" t="s">
        <v>1887</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1931</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1931</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1931</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1932</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1931</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1931</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1931</v>
      </c>
      <c r="L361" s="6">
        <f t="shared" si="12"/>
        <v>6</v>
      </c>
      <c r="M361" s="6" t="str">
        <f t="shared" si="11"/>
        <v>Yes</v>
      </c>
      <c r="N361" s="5"/>
      <c r="O361" s="5" t="s">
        <v>1969</v>
      </c>
      <c r="P361" s="5" t="s">
        <v>43</v>
      </c>
      <c r="Q361" s="5"/>
      <c r="R361" s="5" t="s">
        <v>1119</v>
      </c>
      <c r="S361" s="5"/>
      <c r="T361" s="5"/>
      <c r="U361" s="5" t="s">
        <v>50</v>
      </c>
      <c r="V361" s="5"/>
      <c r="W361" s="5" t="s">
        <v>51</v>
      </c>
      <c r="X361" s="5" t="s">
        <v>316</v>
      </c>
      <c r="Y361" s="5"/>
      <c r="Z361" s="5" t="s">
        <v>94</v>
      </c>
    </row>
    <row r="362" spans="1:26" x14ac:dyDescent="0.25">
      <c r="A362" s="5" t="s">
        <v>1120</v>
      </c>
      <c r="B362" s="5"/>
      <c r="C362" s="5" t="s">
        <v>43</v>
      </c>
      <c r="D362" s="5"/>
      <c r="E362" s="5"/>
      <c r="F362" s="5"/>
      <c r="G362" s="5" t="s">
        <v>47</v>
      </c>
      <c r="H362" s="5"/>
      <c r="I362" s="5"/>
      <c r="J362" s="5"/>
      <c r="K362" s="18" t="s">
        <v>1931</v>
      </c>
      <c r="L362" s="6">
        <f t="shared" si="12"/>
        <v>1</v>
      </c>
      <c r="M362" s="6" t="str">
        <f t="shared" si="11"/>
        <v>No</v>
      </c>
      <c r="N362" s="5"/>
      <c r="O362" s="5"/>
      <c r="P362" s="5" t="s">
        <v>43</v>
      </c>
      <c r="Q362" s="5"/>
      <c r="R362" s="5"/>
      <c r="S362" s="5"/>
      <c r="T362" s="5"/>
      <c r="U362" s="5" t="s">
        <v>66</v>
      </c>
      <c r="V362" s="5"/>
      <c r="W362" s="5" t="s">
        <v>51</v>
      </c>
      <c r="X362" s="5"/>
      <c r="Y362" s="5" t="s">
        <v>1121</v>
      </c>
      <c r="Z362" s="5"/>
    </row>
    <row r="363" spans="1:26" x14ac:dyDescent="0.25">
      <c r="A363" s="5" t="s">
        <v>1122</v>
      </c>
      <c r="B363" s="5"/>
      <c r="C363" s="5" t="s">
        <v>43</v>
      </c>
      <c r="D363" s="5" t="s">
        <v>44</v>
      </c>
      <c r="E363" s="5" t="s">
        <v>45</v>
      </c>
      <c r="F363" s="5" t="s">
        <v>46</v>
      </c>
      <c r="G363" s="5" t="s">
        <v>47</v>
      </c>
      <c r="H363" s="5" t="s">
        <v>1123</v>
      </c>
      <c r="I363" s="5" t="s">
        <v>178</v>
      </c>
      <c r="J363" s="5"/>
      <c r="K363" s="18" t="s">
        <v>1931</v>
      </c>
      <c r="L363" s="6">
        <f t="shared" si="12"/>
        <v>6</v>
      </c>
      <c r="M363" s="6" t="str">
        <f t="shared" si="11"/>
        <v>Yes</v>
      </c>
      <c r="N363" s="5"/>
      <c r="O363" s="5" t="s">
        <v>1125</v>
      </c>
      <c r="P363" s="5" t="s">
        <v>43</v>
      </c>
      <c r="Q363" s="5" t="s">
        <v>675</v>
      </c>
      <c r="R363" s="5" t="s">
        <v>1124</v>
      </c>
      <c r="S363" s="5"/>
      <c r="T363" s="5"/>
      <c r="U363" s="5" t="s">
        <v>50</v>
      </c>
      <c r="V363" s="5"/>
      <c r="W363" s="5" t="s">
        <v>51</v>
      </c>
      <c r="X363" s="5" t="s">
        <v>1123</v>
      </c>
      <c r="Y363" s="5"/>
      <c r="Z363" s="5" t="s">
        <v>101</v>
      </c>
    </row>
    <row r="364" spans="1:26" x14ac:dyDescent="0.25">
      <c r="A364" s="5" t="s">
        <v>1126</v>
      </c>
      <c r="B364" s="5"/>
      <c r="C364" s="5"/>
      <c r="D364" s="5"/>
      <c r="E364" s="5"/>
      <c r="F364" s="5"/>
      <c r="G364" s="5"/>
      <c r="H364" s="5" t="s">
        <v>1127</v>
      </c>
      <c r="I364" s="5"/>
      <c r="J364" s="5"/>
      <c r="K364" s="18" t="s">
        <v>1931</v>
      </c>
      <c r="L364" s="6">
        <f t="shared" si="12"/>
        <v>1</v>
      </c>
      <c r="M364" s="6" t="str">
        <f t="shared" si="11"/>
        <v>No</v>
      </c>
      <c r="N364" s="5"/>
      <c r="O364" s="5"/>
      <c r="P364" s="5"/>
      <c r="Q364" s="5"/>
      <c r="R364" s="5"/>
      <c r="S364" s="5"/>
      <c r="T364" s="5"/>
      <c r="U364" s="5" t="s">
        <v>66</v>
      </c>
      <c r="V364" s="5"/>
      <c r="W364" s="5" t="s">
        <v>51</v>
      </c>
      <c r="X364" s="5" t="s">
        <v>1127</v>
      </c>
      <c r="Y364" s="5"/>
      <c r="Z364" s="5"/>
    </row>
    <row r="365" spans="1:26" x14ac:dyDescent="0.25">
      <c r="A365" s="5" t="s">
        <v>1128</v>
      </c>
      <c r="B365" s="5"/>
      <c r="C365" s="5" t="s">
        <v>43</v>
      </c>
      <c r="D365" s="5" t="s">
        <v>76</v>
      </c>
      <c r="E365" s="5" t="s">
        <v>45</v>
      </c>
      <c r="F365" s="5" t="s">
        <v>46</v>
      </c>
      <c r="G365" s="5" t="s">
        <v>47</v>
      </c>
      <c r="H365" s="5" t="s">
        <v>77</v>
      </c>
      <c r="I365" s="5" t="s">
        <v>119</v>
      </c>
      <c r="J365" s="5" t="s">
        <v>765</v>
      </c>
      <c r="K365" s="18" t="s">
        <v>1931</v>
      </c>
      <c r="L365" s="6">
        <f t="shared" si="12"/>
        <v>6</v>
      </c>
      <c r="M365" s="6" t="str">
        <f t="shared" si="11"/>
        <v>Yes</v>
      </c>
      <c r="N365" s="5"/>
      <c r="O365" s="5" t="s">
        <v>1130</v>
      </c>
      <c r="P365" s="5" t="s">
        <v>43</v>
      </c>
      <c r="Q365" s="5" t="s">
        <v>421</v>
      </c>
      <c r="R365" s="5" t="s">
        <v>1129</v>
      </c>
      <c r="S365" s="5"/>
      <c r="T365" s="5"/>
      <c r="U365" s="5" t="s">
        <v>50</v>
      </c>
      <c r="V365" s="5"/>
      <c r="W365" s="5" t="s">
        <v>51</v>
      </c>
      <c r="X365" s="5" t="s">
        <v>77</v>
      </c>
      <c r="Y365" s="5"/>
      <c r="Z365" s="5" t="s">
        <v>94</v>
      </c>
    </row>
    <row r="366" spans="1:26" x14ac:dyDescent="0.25">
      <c r="A366" s="5" t="s">
        <v>1132</v>
      </c>
      <c r="B366" s="5"/>
      <c r="C366" s="5" t="s">
        <v>128</v>
      </c>
      <c r="D366" s="5"/>
      <c r="E366" s="5"/>
      <c r="F366" s="5"/>
      <c r="G366" s="5" t="s">
        <v>57</v>
      </c>
      <c r="H366" s="5"/>
      <c r="I366" s="5"/>
      <c r="J366" s="5"/>
      <c r="K366" s="18" t="s">
        <v>1931</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1133</v>
      </c>
      <c r="B367" s="5"/>
      <c r="C367" s="5" t="s">
        <v>43</v>
      </c>
      <c r="D367" s="5" t="s">
        <v>76</v>
      </c>
      <c r="E367" s="5" t="s">
        <v>45</v>
      </c>
      <c r="F367" s="5" t="s">
        <v>107</v>
      </c>
      <c r="G367" s="5" t="s">
        <v>57</v>
      </c>
      <c r="H367" s="5" t="s">
        <v>772</v>
      </c>
      <c r="I367" s="5" t="s">
        <v>91</v>
      </c>
      <c r="J367" s="5" t="s">
        <v>71</v>
      </c>
      <c r="K367" s="18" t="s">
        <v>1931</v>
      </c>
      <c r="L367" s="6">
        <f t="shared" si="12"/>
        <v>6</v>
      </c>
      <c r="M367" s="6" t="str">
        <f t="shared" si="11"/>
        <v>Yes</v>
      </c>
      <c r="N367" s="5"/>
      <c r="O367" s="5" t="s">
        <v>1134</v>
      </c>
      <c r="P367" s="5" t="s">
        <v>43</v>
      </c>
      <c r="Q367" s="5" t="s">
        <v>726</v>
      </c>
      <c r="R367" s="5" t="s">
        <v>91</v>
      </c>
      <c r="S367" s="5"/>
      <c r="T367" s="5"/>
      <c r="U367" s="5" t="s">
        <v>50</v>
      </c>
      <c r="V367" s="5"/>
      <c r="W367" s="5" t="s">
        <v>51</v>
      </c>
      <c r="X367" s="5" t="s">
        <v>594</v>
      </c>
      <c r="Y367" s="5" t="s">
        <v>57</v>
      </c>
      <c r="Z367" s="5" t="s">
        <v>352</v>
      </c>
    </row>
    <row r="368" spans="1:26" x14ac:dyDescent="0.25">
      <c r="A368" s="5" t="s">
        <v>1135</v>
      </c>
      <c r="B368" s="5"/>
      <c r="C368" s="5"/>
      <c r="D368" s="5"/>
      <c r="E368" s="5"/>
      <c r="F368" s="5"/>
      <c r="G368" s="5"/>
      <c r="H368" s="5" t="s">
        <v>58</v>
      </c>
      <c r="I368" s="5"/>
      <c r="J368" s="5"/>
      <c r="K368" s="18" t="s">
        <v>1931</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1136</v>
      </c>
      <c r="B369" s="5"/>
      <c r="C369" s="5"/>
      <c r="D369" s="5"/>
      <c r="E369" s="5"/>
      <c r="F369" s="5"/>
      <c r="G369" s="5"/>
      <c r="H369" s="5" t="s">
        <v>58</v>
      </c>
      <c r="I369" s="5"/>
      <c r="J369" s="5"/>
      <c r="K369" s="18" t="s">
        <v>1931</v>
      </c>
      <c r="L369" s="6">
        <f t="shared" si="12"/>
        <v>1</v>
      </c>
      <c r="M369" s="6" t="str">
        <f t="shared" si="11"/>
        <v>No</v>
      </c>
      <c r="N369" s="5"/>
      <c r="O369" s="5" t="s">
        <v>1137</v>
      </c>
      <c r="P369" s="5" t="s">
        <v>105</v>
      </c>
      <c r="Q369" s="5"/>
      <c r="R369" s="5"/>
      <c r="S369" s="5"/>
      <c r="T369" s="5"/>
      <c r="U369" s="5" t="s">
        <v>66</v>
      </c>
      <c r="V369" s="5" t="s">
        <v>103</v>
      </c>
      <c r="W369" s="5" t="s">
        <v>51</v>
      </c>
      <c r="X369" s="5" t="s">
        <v>63</v>
      </c>
      <c r="Y369" s="5"/>
      <c r="Z369" s="5"/>
    </row>
    <row r="370" spans="1:26" x14ac:dyDescent="0.25">
      <c r="A370" s="5" t="s">
        <v>1138</v>
      </c>
      <c r="B370" s="5"/>
      <c r="C370" s="5" t="s">
        <v>43</v>
      </c>
      <c r="D370" s="5" t="s">
        <v>44</v>
      </c>
      <c r="E370" s="5" t="s">
        <v>331</v>
      </c>
      <c r="F370" s="5" t="s">
        <v>46</v>
      </c>
      <c r="G370" s="5" t="s">
        <v>57</v>
      </c>
      <c r="H370" s="5" t="s">
        <v>662</v>
      </c>
      <c r="I370" s="5" t="s">
        <v>78</v>
      </c>
      <c r="J370" s="5" t="s">
        <v>71</v>
      </c>
      <c r="K370" s="18" t="s">
        <v>1931</v>
      </c>
      <c r="L370" s="6">
        <f t="shared" si="12"/>
        <v>6</v>
      </c>
      <c r="M370" s="6" t="str">
        <f t="shared" si="11"/>
        <v>Yes</v>
      </c>
      <c r="N370" s="5"/>
      <c r="O370" s="5" t="s">
        <v>1139</v>
      </c>
      <c r="P370" s="5" t="s">
        <v>43</v>
      </c>
      <c r="Q370" s="5" t="s">
        <v>675</v>
      </c>
      <c r="R370" s="5" t="s">
        <v>1119</v>
      </c>
      <c r="S370" s="5"/>
      <c r="T370" s="5"/>
      <c r="U370" s="5" t="s">
        <v>50</v>
      </c>
      <c r="V370" s="5"/>
      <c r="W370" s="5" t="s">
        <v>51</v>
      </c>
      <c r="X370" s="5" t="s">
        <v>662</v>
      </c>
      <c r="Y370" s="5"/>
      <c r="Z370" s="5" t="s">
        <v>1140</v>
      </c>
    </row>
    <row r="371" spans="1:26" x14ac:dyDescent="0.25">
      <c r="A371" s="5" t="s">
        <v>1131</v>
      </c>
      <c r="B371" s="5"/>
      <c r="C371" s="5" t="s">
        <v>70</v>
      </c>
      <c r="D371" s="5" t="s">
        <v>76</v>
      </c>
      <c r="E371" s="5"/>
      <c r="F371" s="5"/>
      <c r="G371" s="5"/>
      <c r="H371" s="5"/>
      <c r="I371" s="5"/>
      <c r="J371" s="5"/>
      <c r="K371" s="18" t="s">
        <v>1931</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1141</v>
      </c>
      <c r="B372" s="5"/>
      <c r="C372" s="5" t="s">
        <v>43</v>
      </c>
      <c r="D372" s="5" t="s">
        <v>44</v>
      </c>
      <c r="E372" s="5" t="s">
        <v>45</v>
      </c>
      <c r="F372" s="5" t="s">
        <v>46</v>
      </c>
      <c r="G372" s="5" t="s">
        <v>47</v>
      </c>
      <c r="H372" s="5" t="s">
        <v>313</v>
      </c>
      <c r="I372" s="5" t="s">
        <v>193</v>
      </c>
      <c r="J372" s="5" t="s">
        <v>192</v>
      </c>
      <c r="K372" s="18" t="s">
        <v>1931</v>
      </c>
      <c r="L372" s="6">
        <f t="shared" si="12"/>
        <v>6</v>
      </c>
      <c r="M372" s="6" t="str">
        <f t="shared" si="11"/>
        <v>Yes</v>
      </c>
      <c r="N372" s="5"/>
      <c r="O372" s="5" t="s">
        <v>1143</v>
      </c>
      <c r="P372" s="5" t="s">
        <v>43</v>
      </c>
      <c r="Q372" s="5"/>
      <c r="R372" s="5" t="s">
        <v>1142</v>
      </c>
      <c r="S372" s="5"/>
      <c r="T372" s="5"/>
      <c r="U372" s="5" t="s">
        <v>50</v>
      </c>
      <c r="V372" s="5"/>
      <c r="W372" s="5" t="s">
        <v>51</v>
      </c>
      <c r="X372" s="5" t="s">
        <v>316</v>
      </c>
      <c r="Y372" s="5" t="s">
        <v>47</v>
      </c>
      <c r="Z372" s="5" t="s">
        <v>591</v>
      </c>
    </row>
    <row r="373" spans="1:26" x14ac:dyDescent="0.25">
      <c r="A373" s="5" t="s">
        <v>1144</v>
      </c>
      <c r="B373" s="5"/>
      <c r="C373" s="5"/>
      <c r="D373" s="5"/>
      <c r="E373" s="5"/>
      <c r="F373" s="5"/>
      <c r="G373" s="5"/>
      <c r="H373" s="5" t="s">
        <v>96</v>
      </c>
      <c r="I373" s="5"/>
      <c r="J373" s="5"/>
      <c r="K373" s="18" t="s">
        <v>1931</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1145</v>
      </c>
      <c r="B374" s="5"/>
      <c r="C374" s="5" t="s">
        <v>43</v>
      </c>
      <c r="D374" s="5" t="s">
        <v>44</v>
      </c>
      <c r="E374" s="5" t="s">
        <v>45</v>
      </c>
      <c r="F374" s="5" t="s">
        <v>107</v>
      </c>
      <c r="G374" s="5" t="s">
        <v>47</v>
      </c>
      <c r="H374" s="5" t="s">
        <v>515</v>
      </c>
      <c r="I374" s="5" t="s">
        <v>59</v>
      </c>
      <c r="J374" s="5" t="s">
        <v>193</v>
      </c>
      <c r="K374" s="18" t="s">
        <v>1931</v>
      </c>
      <c r="L374" s="6">
        <f t="shared" si="12"/>
        <v>6</v>
      </c>
      <c r="M374" s="6" t="str">
        <f t="shared" si="11"/>
        <v>Yes</v>
      </c>
      <c r="N374" s="5" t="s">
        <v>1149</v>
      </c>
      <c r="O374" s="5" t="s">
        <v>1150</v>
      </c>
      <c r="P374" s="5" t="s">
        <v>43</v>
      </c>
      <c r="Q374" s="5" t="s">
        <v>675</v>
      </c>
      <c r="R374" s="5" t="s">
        <v>1147</v>
      </c>
      <c r="S374" s="5" t="s">
        <v>1844</v>
      </c>
      <c r="T374" s="5"/>
      <c r="U374" s="5" t="s">
        <v>110</v>
      </c>
      <c r="V374" s="5" t="s">
        <v>1148</v>
      </c>
      <c r="W374" s="5" t="s">
        <v>112</v>
      </c>
      <c r="X374" s="5" t="s">
        <v>519</v>
      </c>
      <c r="Y374" s="5"/>
      <c r="Z374" s="5" t="s">
        <v>101</v>
      </c>
    </row>
    <row r="375" spans="1:26" x14ac:dyDescent="0.25">
      <c r="A375" s="5" t="s">
        <v>1151</v>
      </c>
      <c r="B375" s="5"/>
      <c r="C375" s="5" t="s">
        <v>43</v>
      </c>
      <c r="D375" s="5" t="s">
        <v>44</v>
      </c>
      <c r="E375" s="5"/>
      <c r="F375" s="5"/>
      <c r="G375" s="5" t="s">
        <v>47</v>
      </c>
      <c r="H375" s="5" t="s">
        <v>313</v>
      </c>
      <c r="I375" s="5" t="s">
        <v>59</v>
      </c>
      <c r="J375" s="5"/>
      <c r="K375" s="18" t="s">
        <v>1931</v>
      </c>
      <c r="L375" s="6">
        <f t="shared" si="12"/>
        <v>4</v>
      </c>
      <c r="M375" s="6" t="str">
        <f t="shared" si="11"/>
        <v>No</v>
      </c>
      <c r="N375" s="5"/>
      <c r="O375" s="5" t="s">
        <v>1152</v>
      </c>
      <c r="P375" s="5" t="s">
        <v>43</v>
      </c>
      <c r="Q375" s="5"/>
      <c r="R375" s="5" t="s">
        <v>59</v>
      </c>
      <c r="S375" s="5"/>
      <c r="T375" s="5"/>
      <c r="U375" s="5" t="s">
        <v>50</v>
      </c>
      <c r="V375" s="5"/>
      <c r="W375" s="5" t="s">
        <v>51</v>
      </c>
      <c r="X375" s="5" t="s">
        <v>316</v>
      </c>
      <c r="Y375" s="5"/>
      <c r="Z375" s="5" t="s">
        <v>237</v>
      </c>
    </row>
    <row r="376" spans="1:26" x14ac:dyDescent="0.25">
      <c r="A376" s="5" t="s">
        <v>1153</v>
      </c>
      <c r="B376" s="5"/>
      <c r="C376" s="5" t="s">
        <v>70</v>
      </c>
      <c r="D376" s="5" t="s">
        <v>44</v>
      </c>
      <c r="E376" s="5"/>
      <c r="F376" s="5"/>
      <c r="G376" s="5"/>
      <c r="H376" s="5" t="s">
        <v>313</v>
      </c>
      <c r="I376" s="5" t="s">
        <v>91</v>
      </c>
      <c r="J376" s="5" t="s">
        <v>193</v>
      </c>
      <c r="K376" s="18" t="s">
        <v>1931</v>
      </c>
      <c r="L376" s="6">
        <f t="shared" si="12"/>
        <v>3</v>
      </c>
      <c r="M376" s="6" t="str">
        <f t="shared" si="11"/>
        <v>No</v>
      </c>
      <c r="N376" s="5" t="s">
        <v>138</v>
      </c>
      <c r="O376" s="5"/>
      <c r="P376" s="5"/>
      <c r="Q376" s="5"/>
      <c r="R376" s="5" t="s">
        <v>1154</v>
      </c>
      <c r="S376" s="5"/>
      <c r="T376" s="5"/>
      <c r="U376" s="5" t="s">
        <v>124</v>
      </c>
      <c r="V376" s="5"/>
      <c r="W376" s="5" t="s">
        <v>125</v>
      </c>
      <c r="X376" s="5" t="s">
        <v>313</v>
      </c>
      <c r="Y376" s="5"/>
      <c r="Z376" s="5" t="s">
        <v>155</v>
      </c>
    </row>
    <row r="377" spans="1:26" x14ac:dyDescent="0.25">
      <c r="A377" s="5" t="s">
        <v>1155</v>
      </c>
      <c r="B377" s="5"/>
      <c r="C377" s="5" t="s">
        <v>43</v>
      </c>
      <c r="D377" s="5" t="s">
        <v>44</v>
      </c>
      <c r="E377" s="5" t="s">
        <v>45</v>
      </c>
      <c r="F377" s="5" t="s">
        <v>46</v>
      </c>
      <c r="G377" s="5" t="s">
        <v>57</v>
      </c>
      <c r="H377" s="5" t="s">
        <v>58</v>
      </c>
      <c r="I377" s="5" t="s">
        <v>192</v>
      </c>
      <c r="J377" s="5"/>
      <c r="K377" s="18" t="s">
        <v>1931</v>
      </c>
      <c r="L377" s="6">
        <f t="shared" si="12"/>
        <v>6</v>
      </c>
      <c r="M377" s="6" t="str">
        <f t="shared" si="11"/>
        <v>Yes</v>
      </c>
      <c r="N377" s="5" t="s">
        <v>1157</v>
      </c>
      <c r="O377" s="5" t="s">
        <v>1158</v>
      </c>
      <c r="P377" s="5" t="s">
        <v>43</v>
      </c>
      <c r="Q377" s="5" t="s">
        <v>830</v>
      </c>
      <c r="R377" s="5" t="s">
        <v>192</v>
      </c>
      <c r="S377" s="5"/>
      <c r="T377" s="5"/>
      <c r="U377" s="5" t="s">
        <v>50</v>
      </c>
      <c r="V377" s="5" t="s">
        <v>1156</v>
      </c>
      <c r="W377" s="5" t="s">
        <v>51</v>
      </c>
      <c r="X377" s="5" t="s">
        <v>63</v>
      </c>
      <c r="Y377" s="5" t="s">
        <v>1159</v>
      </c>
      <c r="Z377" s="5" t="s">
        <v>219</v>
      </c>
    </row>
    <row r="378" spans="1:26" x14ac:dyDescent="0.25">
      <c r="A378" s="5" t="s">
        <v>1160</v>
      </c>
      <c r="B378" s="5"/>
      <c r="C378" s="5" t="s">
        <v>70</v>
      </c>
      <c r="D378" s="5" t="s">
        <v>76</v>
      </c>
      <c r="E378" s="5"/>
      <c r="F378" s="5"/>
      <c r="G378" s="5"/>
      <c r="H378" s="5" t="s">
        <v>77</v>
      </c>
      <c r="I378" s="5" t="s">
        <v>193</v>
      </c>
      <c r="J378" s="5" t="s">
        <v>91</v>
      </c>
      <c r="K378" s="18" t="s">
        <v>1931</v>
      </c>
      <c r="L378" s="6">
        <f t="shared" si="12"/>
        <v>3</v>
      </c>
      <c r="M378" s="6" t="str">
        <f t="shared" si="11"/>
        <v>No</v>
      </c>
      <c r="N378" s="5"/>
      <c r="O378" s="5" t="s">
        <v>1162</v>
      </c>
      <c r="P378" s="5"/>
      <c r="Q378" s="5"/>
      <c r="R378" s="5" t="s">
        <v>1161</v>
      </c>
      <c r="S378" s="5"/>
      <c r="T378" s="5"/>
      <c r="U378" s="5" t="s">
        <v>50</v>
      </c>
      <c r="V378" s="5"/>
      <c r="W378" s="5" t="s">
        <v>51</v>
      </c>
      <c r="X378" s="5" t="s">
        <v>77</v>
      </c>
      <c r="Y378" s="5"/>
      <c r="Z378" s="5" t="s">
        <v>428</v>
      </c>
    </row>
    <row r="379" spans="1:26" x14ac:dyDescent="0.25">
      <c r="A379" s="5" t="s">
        <v>1163</v>
      </c>
      <c r="B379" s="5"/>
      <c r="C379" s="5" t="s">
        <v>70</v>
      </c>
      <c r="D379" s="5" t="s">
        <v>76</v>
      </c>
      <c r="E379" s="5"/>
      <c r="F379" s="5"/>
      <c r="G379" s="5"/>
      <c r="H379" s="5" t="s">
        <v>58</v>
      </c>
      <c r="I379" s="5"/>
      <c r="J379" s="5"/>
      <c r="K379" s="18" t="s">
        <v>1931</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1164</v>
      </c>
      <c r="B380" s="5"/>
      <c r="C380" s="5" t="s">
        <v>70</v>
      </c>
      <c r="D380" s="5" t="s">
        <v>44</v>
      </c>
      <c r="E380" s="5"/>
      <c r="F380" s="5"/>
      <c r="G380" s="5"/>
      <c r="H380" s="5" t="s">
        <v>90</v>
      </c>
      <c r="I380" s="5"/>
      <c r="J380" s="5"/>
      <c r="K380" s="18" t="s">
        <v>1931</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1165</v>
      </c>
      <c r="B381" s="5" t="s">
        <v>1166</v>
      </c>
      <c r="C381" s="5" t="s">
        <v>43</v>
      </c>
      <c r="D381" s="5"/>
      <c r="E381" s="5"/>
      <c r="F381" s="5"/>
      <c r="G381" s="5"/>
      <c r="H381" s="5" t="s">
        <v>902</v>
      </c>
      <c r="I381" s="5" t="s">
        <v>133</v>
      </c>
      <c r="J381" s="5"/>
      <c r="K381" s="18" t="s">
        <v>1931</v>
      </c>
      <c r="L381" s="6">
        <f t="shared" si="12"/>
        <v>2</v>
      </c>
      <c r="M381" s="6" t="str">
        <f t="shared" si="11"/>
        <v>No</v>
      </c>
      <c r="N381" s="5"/>
      <c r="O381" s="5" t="s">
        <v>1167</v>
      </c>
      <c r="P381" s="5" t="s">
        <v>43</v>
      </c>
      <c r="Q381" s="5"/>
      <c r="R381" s="5" t="s">
        <v>133</v>
      </c>
      <c r="S381" s="5"/>
      <c r="T381" s="5"/>
      <c r="U381" s="5" t="s">
        <v>50</v>
      </c>
      <c r="V381" s="5"/>
      <c r="W381" s="5" t="s">
        <v>51</v>
      </c>
      <c r="X381" s="5" t="s">
        <v>903</v>
      </c>
      <c r="Y381" s="5"/>
      <c r="Z381" s="5" t="s">
        <v>587</v>
      </c>
    </row>
    <row r="382" spans="1:26" x14ac:dyDescent="0.25">
      <c r="A382" s="5" t="s">
        <v>1171</v>
      </c>
      <c r="B382" s="5"/>
      <c r="C382" s="5" t="s">
        <v>128</v>
      </c>
      <c r="D382" s="5"/>
      <c r="E382" s="5"/>
      <c r="F382" s="5"/>
      <c r="G382" s="5" t="s">
        <v>57</v>
      </c>
      <c r="H382" s="5"/>
      <c r="I382" s="5" t="s">
        <v>91</v>
      </c>
      <c r="J382" s="5"/>
      <c r="K382" s="18" t="s">
        <v>1931</v>
      </c>
      <c r="L382" s="6">
        <f t="shared" si="12"/>
        <v>2</v>
      </c>
      <c r="M382" s="6" t="str">
        <f t="shared" si="11"/>
        <v>No</v>
      </c>
      <c r="N382" s="5"/>
      <c r="O382" s="5" t="s">
        <v>1172</v>
      </c>
      <c r="P382" s="5" t="s">
        <v>128</v>
      </c>
      <c r="Q382" s="5" t="s">
        <v>293</v>
      </c>
      <c r="R382" s="5" t="s">
        <v>91</v>
      </c>
      <c r="S382" s="5"/>
      <c r="T382" s="5"/>
      <c r="U382" s="5" t="s">
        <v>66</v>
      </c>
      <c r="V382" s="5"/>
      <c r="W382" s="5" t="s">
        <v>51</v>
      </c>
      <c r="X382" s="5"/>
      <c r="Y382" s="5" t="s">
        <v>57</v>
      </c>
      <c r="Z382" s="5"/>
    </row>
    <row r="383" spans="1:26" x14ac:dyDescent="0.25">
      <c r="A383" s="5" t="s">
        <v>1173</v>
      </c>
      <c r="B383" s="5"/>
      <c r="C383" s="5" t="s">
        <v>43</v>
      </c>
      <c r="D383" s="5" t="s">
        <v>76</v>
      </c>
      <c r="E383" s="5" t="s">
        <v>45</v>
      </c>
      <c r="F383" s="5" t="s">
        <v>46</v>
      </c>
      <c r="G383" s="5" t="s">
        <v>57</v>
      </c>
      <c r="H383" s="5" t="s">
        <v>1894</v>
      </c>
      <c r="I383" s="5" t="s">
        <v>49</v>
      </c>
      <c r="J383" s="5"/>
      <c r="K383" s="18" t="s">
        <v>1931</v>
      </c>
      <c r="L383" s="6">
        <f t="shared" si="12"/>
        <v>6</v>
      </c>
      <c r="M383" s="6" t="str">
        <f t="shared" si="11"/>
        <v>Yes</v>
      </c>
      <c r="N383" s="5"/>
      <c r="O383" s="5"/>
      <c r="P383" s="5" t="s">
        <v>105</v>
      </c>
      <c r="Q383" s="5"/>
      <c r="R383" s="5"/>
      <c r="S383" s="5"/>
      <c r="T383" s="5"/>
      <c r="U383" s="5" t="s">
        <v>66</v>
      </c>
      <c r="V383" s="5" t="s">
        <v>1174</v>
      </c>
      <c r="W383" s="5" t="s">
        <v>51</v>
      </c>
      <c r="X383" s="5"/>
      <c r="Y383" s="5"/>
      <c r="Z383" s="5"/>
    </row>
    <row r="384" spans="1:26" x14ac:dyDescent="0.25">
      <c r="A384" s="5" t="s">
        <v>1175</v>
      </c>
      <c r="B384" s="5"/>
      <c r="C384" s="5" t="s">
        <v>43</v>
      </c>
      <c r="D384" s="5" t="s">
        <v>44</v>
      </c>
      <c r="E384" s="5" t="s">
        <v>331</v>
      </c>
      <c r="F384" s="5" t="s">
        <v>107</v>
      </c>
      <c r="G384" s="5" t="s">
        <v>47</v>
      </c>
      <c r="H384" s="5" t="s">
        <v>313</v>
      </c>
      <c r="I384" s="5" t="s">
        <v>193</v>
      </c>
      <c r="J384" s="5" t="s">
        <v>91</v>
      </c>
      <c r="K384" s="18" t="s">
        <v>1931</v>
      </c>
      <c r="L384" s="6">
        <f t="shared" si="12"/>
        <v>6</v>
      </c>
      <c r="M384" s="6" t="str">
        <f t="shared" si="11"/>
        <v>Yes</v>
      </c>
      <c r="N384" s="5"/>
      <c r="O384" s="5" t="s">
        <v>1176</v>
      </c>
      <c r="P384" s="5" t="s">
        <v>43</v>
      </c>
      <c r="Q384" s="5"/>
      <c r="R384" s="5" t="s">
        <v>1161</v>
      </c>
      <c r="S384" s="5"/>
      <c r="T384" s="5"/>
      <c r="U384" s="5" t="s">
        <v>50</v>
      </c>
      <c r="V384" s="5"/>
      <c r="W384" s="5" t="s">
        <v>51</v>
      </c>
      <c r="X384" s="5" t="s">
        <v>316</v>
      </c>
      <c r="Y384" s="5"/>
      <c r="Z384" s="5" t="s">
        <v>1177</v>
      </c>
    </row>
    <row r="385" spans="1:26" x14ac:dyDescent="0.25">
      <c r="A385" s="5" t="s">
        <v>1178</v>
      </c>
      <c r="B385" s="5"/>
      <c r="C385" s="5" t="s">
        <v>43</v>
      </c>
      <c r="D385" s="5"/>
      <c r="E385" s="5" t="s">
        <v>45</v>
      </c>
      <c r="F385" s="5" t="s">
        <v>46</v>
      </c>
      <c r="G385" s="5" t="s">
        <v>47</v>
      </c>
      <c r="H385" s="5"/>
      <c r="I385" s="5"/>
      <c r="J385" s="5"/>
      <c r="K385" s="18" t="s">
        <v>1931</v>
      </c>
      <c r="L385" s="6">
        <f t="shared" si="12"/>
        <v>3</v>
      </c>
      <c r="M385" s="6" t="str">
        <f t="shared" si="11"/>
        <v>No</v>
      </c>
      <c r="N385" s="5" t="s">
        <v>1179</v>
      </c>
      <c r="O385" s="5"/>
      <c r="P385" s="5" t="s">
        <v>43</v>
      </c>
      <c r="Q385" s="5" t="s">
        <v>68</v>
      </c>
      <c r="R385" s="5"/>
      <c r="S385" s="5"/>
      <c r="T385" s="5"/>
      <c r="U385" s="5" t="s">
        <v>66</v>
      </c>
      <c r="V385" s="5"/>
      <c r="W385" s="5" t="s">
        <v>51</v>
      </c>
      <c r="X385" s="5"/>
      <c r="Y385" s="5" t="s">
        <v>67</v>
      </c>
      <c r="Z385" s="5" t="s">
        <v>392</v>
      </c>
    </row>
    <row r="386" spans="1:26" x14ac:dyDescent="0.25">
      <c r="A386" s="5" t="s">
        <v>1180</v>
      </c>
      <c r="B386" s="5"/>
      <c r="C386" s="5"/>
      <c r="D386" s="5"/>
      <c r="E386" s="5" t="s">
        <v>45</v>
      </c>
      <c r="F386" s="5" t="s">
        <v>46</v>
      </c>
      <c r="G386" s="5"/>
      <c r="H386" s="5"/>
      <c r="I386" s="5" t="s">
        <v>91</v>
      </c>
      <c r="J386" s="5" t="s">
        <v>123</v>
      </c>
      <c r="K386" s="18" t="s">
        <v>1931</v>
      </c>
      <c r="L386" s="6">
        <f t="shared" si="12"/>
        <v>3</v>
      </c>
      <c r="M386" s="6" t="str">
        <f t="shared" ref="M386:M449" si="13">IF(A386="","",IF(AND(L386=6,UPPER(S386)&lt;&gt;"Y",C386&lt;&gt;""),"Yes","No"))</f>
        <v>No</v>
      </c>
      <c r="N386" s="5" t="s">
        <v>1182</v>
      </c>
      <c r="O386" s="5" t="s">
        <v>1183</v>
      </c>
      <c r="P386" s="5"/>
      <c r="Q386" s="5"/>
      <c r="R386" s="5" t="s">
        <v>1181</v>
      </c>
      <c r="S386" s="5"/>
      <c r="T386" s="5"/>
      <c r="U386" s="5" t="s">
        <v>66</v>
      </c>
      <c r="V386" s="5"/>
      <c r="W386" s="5" t="s">
        <v>51</v>
      </c>
      <c r="X386" s="5"/>
      <c r="Y386" s="5"/>
      <c r="Z386" s="5" t="s">
        <v>392</v>
      </c>
    </row>
    <row r="387" spans="1:26" x14ac:dyDescent="0.25">
      <c r="A387" s="5" t="s">
        <v>1184</v>
      </c>
      <c r="B387" s="5"/>
      <c r="C387" s="5" t="s">
        <v>43</v>
      </c>
      <c r="D387" s="5" t="s">
        <v>44</v>
      </c>
      <c r="E387" s="5" t="s">
        <v>45</v>
      </c>
      <c r="F387" s="5" t="s">
        <v>46</v>
      </c>
      <c r="G387" s="5" t="s">
        <v>57</v>
      </c>
      <c r="H387" s="5" t="s">
        <v>214</v>
      </c>
      <c r="I387" s="5" t="s">
        <v>178</v>
      </c>
      <c r="J387" s="5" t="s">
        <v>193</v>
      </c>
      <c r="K387" s="18" t="s">
        <v>1931</v>
      </c>
      <c r="L387" s="6">
        <f t="shared" si="12"/>
        <v>6</v>
      </c>
      <c r="M387" s="6" t="str">
        <f t="shared" si="13"/>
        <v>Yes</v>
      </c>
      <c r="N387" s="5" t="s">
        <v>1184</v>
      </c>
      <c r="O387" s="5" t="s">
        <v>1186</v>
      </c>
      <c r="P387" s="5" t="s">
        <v>43</v>
      </c>
      <c r="Q387" s="5"/>
      <c r="R387" s="5" t="s">
        <v>1185</v>
      </c>
      <c r="S387" s="5"/>
      <c r="T387" s="5"/>
      <c r="U387" s="5" t="s">
        <v>50</v>
      </c>
      <c r="V387" s="5"/>
      <c r="W387" s="5" t="s">
        <v>51</v>
      </c>
      <c r="X387" s="5" t="s">
        <v>214</v>
      </c>
      <c r="Y387" s="5"/>
      <c r="Z387" s="5" t="s">
        <v>487</v>
      </c>
    </row>
    <row r="388" spans="1:26" x14ac:dyDescent="0.25">
      <c r="A388" s="5" t="s">
        <v>1187</v>
      </c>
      <c r="B388" s="5"/>
      <c r="C388" s="5" t="s">
        <v>43</v>
      </c>
      <c r="D388" s="5"/>
      <c r="E388" s="5"/>
      <c r="F388" s="5"/>
      <c r="G388" s="5"/>
      <c r="H388" s="5" t="s">
        <v>902</v>
      </c>
      <c r="I388" s="5"/>
      <c r="J388" s="5"/>
      <c r="K388" s="18" t="s">
        <v>1931</v>
      </c>
      <c r="L388" s="6">
        <f t="shared" si="12"/>
        <v>1</v>
      </c>
      <c r="M388" s="6" t="str">
        <f t="shared" si="13"/>
        <v>No</v>
      </c>
      <c r="N388" s="5"/>
      <c r="O388" s="5" t="s">
        <v>1188</v>
      </c>
      <c r="P388" s="5" t="s">
        <v>43</v>
      </c>
      <c r="Q388" s="5"/>
      <c r="R388" s="5"/>
      <c r="S388" s="5"/>
      <c r="T388" s="5"/>
      <c r="U388" s="5" t="s">
        <v>66</v>
      </c>
      <c r="V388" s="5"/>
      <c r="W388" s="5" t="s">
        <v>51</v>
      </c>
      <c r="X388" s="5" t="s">
        <v>903</v>
      </c>
      <c r="Y388" s="5"/>
      <c r="Z388" s="5"/>
    </row>
    <row r="389" spans="1:26" x14ac:dyDescent="0.25">
      <c r="A389" s="5" t="s">
        <v>1189</v>
      </c>
      <c r="B389" s="5"/>
      <c r="C389" s="5" t="s">
        <v>43</v>
      </c>
      <c r="D389" s="5" t="s">
        <v>44</v>
      </c>
      <c r="E389" s="5" t="s">
        <v>45</v>
      </c>
      <c r="F389" s="5" t="s">
        <v>46</v>
      </c>
      <c r="G389" s="5" t="s">
        <v>47</v>
      </c>
      <c r="H389" s="5" t="s">
        <v>207</v>
      </c>
      <c r="I389" s="5" t="s">
        <v>71</v>
      </c>
      <c r="J389" s="5" t="s">
        <v>192</v>
      </c>
      <c r="K389" s="18" t="s">
        <v>1931</v>
      </c>
      <c r="L389" s="6">
        <f t="shared" si="12"/>
        <v>6</v>
      </c>
      <c r="M389" s="6" t="str">
        <f t="shared" si="13"/>
        <v>Yes</v>
      </c>
      <c r="N389" s="5"/>
      <c r="O389" s="5" t="s">
        <v>1190</v>
      </c>
      <c r="P389" s="5" t="s">
        <v>43</v>
      </c>
      <c r="Q389" s="5" t="s">
        <v>1031</v>
      </c>
      <c r="R389" s="5" t="s">
        <v>71</v>
      </c>
      <c r="S389" s="5"/>
      <c r="T389" s="5"/>
      <c r="U389" s="5" t="s">
        <v>50</v>
      </c>
      <c r="V389" s="5"/>
      <c r="W389" s="5" t="s">
        <v>51</v>
      </c>
      <c r="X389" s="5" t="s">
        <v>211</v>
      </c>
      <c r="Y389" s="5" t="s">
        <v>1112</v>
      </c>
      <c r="Z389" s="5" t="s">
        <v>352</v>
      </c>
    </row>
    <row r="390" spans="1:26" x14ac:dyDescent="0.25">
      <c r="A390" s="5" t="s">
        <v>1191</v>
      </c>
      <c r="B390" s="5"/>
      <c r="C390" s="5" t="s">
        <v>43</v>
      </c>
      <c r="D390" s="5" t="s">
        <v>44</v>
      </c>
      <c r="E390" s="5" t="s">
        <v>45</v>
      </c>
      <c r="F390" s="5" t="s">
        <v>107</v>
      </c>
      <c r="G390" s="5" t="s">
        <v>47</v>
      </c>
      <c r="H390" s="5" t="s">
        <v>96</v>
      </c>
      <c r="I390" s="5" t="s">
        <v>133</v>
      </c>
      <c r="J390" s="5"/>
      <c r="K390" s="18" t="s">
        <v>1931</v>
      </c>
      <c r="L390" s="6">
        <f t="shared" si="12"/>
        <v>6</v>
      </c>
      <c r="M390" s="6" t="str">
        <f t="shared" si="13"/>
        <v>Yes</v>
      </c>
      <c r="N390" s="5"/>
      <c r="O390" s="5" t="s">
        <v>1192</v>
      </c>
      <c r="P390" s="5" t="s">
        <v>43</v>
      </c>
      <c r="Q390" s="5" t="s">
        <v>68</v>
      </c>
      <c r="R390" s="5" t="s">
        <v>133</v>
      </c>
      <c r="S390" s="5"/>
      <c r="T390" s="5"/>
      <c r="U390" s="5" t="s">
        <v>66</v>
      </c>
      <c r="V390" s="5"/>
      <c r="W390" s="5" t="s">
        <v>51</v>
      </c>
      <c r="X390" s="5" t="s">
        <v>99</v>
      </c>
      <c r="Y390" s="5" t="s">
        <v>181</v>
      </c>
      <c r="Z390" s="5" t="s">
        <v>1193</v>
      </c>
    </row>
    <row r="391" spans="1:26" x14ac:dyDescent="0.25">
      <c r="A391" s="5" t="s">
        <v>1194</v>
      </c>
      <c r="B391" s="5"/>
      <c r="C391" s="5" t="s">
        <v>43</v>
      </c>
      <c r="D391" s="5" t="s">
        <v>44</v>
      </c>
      <c r="E391" s="5" t="s">
        <v>45</v>
      </c>
      <c r="F391" s="5" t="s">
        <v>46</v>
      </c>
      <c r="G391" s="5" t="s">
        <v>57</v>
      </c>
      <c r="H391" s="5" t="s">
        <v>48</v>
      </c>
      <c r="I391" s="5" t="s">
        <v>193</v>
      </c>
      <c r="J391" s="5"/>
      <c r="K391" s="18" t="s">
        <v>1931</v>
      </c>
      <c r="L391" s="6">
        <f t="shared" si="12"/>
        <v>6</v>
      </c>
      <c r="M391" s="6" t="str">
        <f t="shared" si="13"/>
        <v>Yes</v>
      </c>
      <c r="N391" s="5"/>
      <c r="O391" s="5" t="s">
        <v>1195</v>
      </c>
      <c r="P391" s="5" t="s">
        <v>43</v>
      </c>
      <c r="Q391" s="5"/>
      <c r="R391" s="5" t="s">
        <v>193</v>
      </c>
      <c r="S391" s="5"/>
      <c r="T391" s="5"/>
      <c r="U391" s="5" t="s">
        <v>50</v>
      </c>
      <c r="V391" s="5"/>
      <c r="W391" s="5" t="s">
        <v>51</v>
      </c>
      <c r="X391" s="5" t="s">
        <v>48</v>
      </c>
      <c r="Y391" s="5"/>
      <c r="Z391" s="5" t="s">
        <v>136</v>
      </c>
    </row>
    <row r="392" spans="1:26" x14ac:dyDescent="0.25">
      <c r="A392" s="5" t="s">
        <v>1196</v>
      </c>
      <c r="B392" s="5"/>
      <c r="C392" s="5"/>
      <c r="D392" s="5"/>
      <c r="E392" s="5"/>
      <c r="F392" s="5"/>
      <c r="G392" s="5"/>
      <c r="H392" s="5" t="s">
        <v>645</v>
      </c>
      <c r="I392" s="5"/>
      <c r="J392" s="5"/>
      <c r="K392" s="18" t="s">
        <v>1931</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1197</v>
      </c>
      <c r="B393" s="5"/>
      <c r="C393" s="5" t="s">
        <v>70</v>
      </c>
      <c r="D393" s="5" t="s">
        <v>44</v>
      </c>
      <c r="E393" s="5"/>
      <c r="F393" s="5"/>
      <c r="G393" s="5" t="s">
        <v>47</v>
      </c>
      <c r="H393" s="5" t="s">
        <v>313</v>
      </c>
      <c r="I393" s="5" t="s">
        <v>72</v>
      </c>
      <c r="J393" s="5"/>
      <c r="K393" s="18" t="s">
        <v>1931</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1198</v>
      </c>
      <c r="B394" s="5"/>
      <c r="C394" s="5"/>
      <c r="D394" s="5"/>
      <c r="E394" s="5"/>
      <c r="F394" s="5"/>
      <c r="G394" s="5"/>
      <c r="H394" s="5" t="s">
        <v>58</v>
      </c>
      <c r="I394" s="5"/>
      <c r="J394" s="5"/>
      <c r="K394" s="18" t="s">
        <v>1931</v>
      </c>
      <c r="L394" s="6">
        <f t="shared" si="12"/>
        <v>1</v>
      </c>
      <c r="M394" s="6" t="str">
        <f t="shared" si="13"/>
        <v>No</v>
      </c>
      <c r="N394" s="5"/>
      <c r="O394" s="5" t="s">
        <v>1199</v>
      </c>
      <c r="P394" s="5" t="s">
        <v>105</v>
      </c>
      <c r="Q394" s="5"/>
      <c r="R394" s="5"/>
      <c r="S394" s="5"/>
      <c r="T394" s="5"/>
      <c r="U394" s="5" t="s">
        <v>66</v>
      </c>
      <c r="V394" s="5" t="s">
        <v>103</v>
      </c>
      <c r="W394" s="5" t="s">
        <v>51</v>
      </c>
      <c r="X394" s="5" t="s">
        <v>63</v>
      </c>
      <c r="Y394" s="5"/>
      <c r="Z394" s="5"/>
    </row>
    <row r="395" spans="1:26" x14ac:dyDescent="0.25">
      <c r="A395" s="5" t="s">
        <v>1200</v>
      </c>
      <c r="B395" s="5" t="s">
        <v>1895</v>
      </c>
      <c r="C395" s="5" t="s">
        <v>43</v>
      </c>
      <c r="D395" s="5" t="s">
        <v>44</v>
      </c>
      <c r="E395" s="5" t="s">
        <v>45</v>
      </c>
      <c r="F395" s="5" t="s">
        <v>107</v>
      </c>
      <c r="G395" s="5" t="s">
        <v>57</v>
      </c>
      <c r="H395" s="5" t="s">
        <v>63</v>
      </c>
      <c r="I395" s="5" t="s">
        <v>78</v>
      </c>
      <c r="J395" s="5"/>
      <c r="K395" s="18" t="s">
        <v>1931</v>
      </c>
      <c r="L395" s="6">
        <f t="shared" si="12"/>
        <v>6</v>
      </c>
      <c r="M395" s="6" t="str">
        <f t="shared" si="13"/>
        <v>Yes</v>
      </c>
      <c r="N395" s="5" t="s">
        <v>1202</v>
      </c>
      <c r="O395" s="5" t="s">
        <v>1203</v>
      </c>
      <c r="P395" s="5" t="s">
        <v>43</v>
      </c>
      <c r="Q395" s="5" t="s">
        <v>87</v>
      </c>
      <c r="R395" s="5" t="s">
        <v>1201</v>
      </c>
      <c r="S395" s="5"/>
      <c r="T395" s="5"/>
      <c r="U395" s="5" t="s">
        <v>110</v>
      </c>
      <c r="V395" s="5"/>
      <c r="W395" s="5" t="s">
        <v>112</v>
      </c>
      <c r="X395" s="5" t="s">
        <v>322</v>
      </c>
      <c r="Y395" s="5" t="s">
        <v>57</v>
      </c>
      <c r="Z395" s="5" t="s">
        <v>55</v>
      </c>
    </row>
    <row r="396" spans="1:26" x14ac:dyDescent="0.25">
      <c r="A396" s="5" t="s">
        <v>1204</v>
      </c>
      <c r="B396" s="5"/>
      <c r="C396" s="5" t="s">
        <v>43</v>
      </c>
      <c r="D396" s="5" t="s">
        <v>44</v>
      </c>
      <c r="E396" s="5" t="s">
        <v>45</v>
      </c>
      <c r="F396" s="5" t="s">
        <v>107</v>
      </c>
      <c r="G396" s="5" t="s">
        <v>57</v>
      </c>
      <c r="H396" s="5" t="s">
        <v>1859</v>
      </c>
      <c r="I396" s="5" t="s">
        <v>192</v>
      </c>
      <c r="J396" s="5"/>
      <c r="K396" s="18" t="s">
        <v>1931</v>
      </c>
      <c r="L396" s="6">
        <f t="shared" si="12"/>
        <v>6</v>
      </c>
      <c r="M396" s="6" t="str">
        <f t="shared" si="13"/>
        <v>Yes</v>
      </c>
      <c r="N396" s="5" t="s">
        <v>1205</v>
      </c>
      <c r="O396" s="5" t="s">
        <v>1206</v>
      </c>
      <c r="P396" s="5" t="s">
        <v>43</v>
      </c>
      <c r="Q396" s="5" t="s">
        <v>222</v>
      </c>
      <c r="R396" s="5" t="s">
        <v>516</v>
      </c>
      <c r="S396" s="5"/>
      <c r="T396" s="5"/>
      <c r="U396" s="5" t="s">
        <v>50</v>
      </c>
      <c r="V396" s="5"/>
      <c r="W396" s="5" t="s">
        <v>51</v>
      </c>
      <c r="X396" s="5" t="s">
        <v>63</v>
      </c>
      <c r="Y396" s="5"/>
      <c r="Z396" s="5" t="s">
        <v>1207</v>
      </c>
    </row>
    <row r="397" spans="1:26" x14ac:dyDescent="0.25">
      <c r="A397" s="5" t="s">
        <v>1208</v>
      </c>
      <c r="B397" s="5"/>
      <c r="C397" s="5" t="s">
        <v>43</v>
      </c>
      <c r="D397" s="5"/>
      <c r="E397" s="5"/>
      <c r="F397" s="5"/>
      <c r="G397" s="5" t="s">
        <v>47</v>
      </c>
      <c r="H397" s="5"/>
      <c r="I397" s="5" t="s">
        <v>123</v>
      </c>
      <c r="J397" s="5"/>
      <c r="K397" s="18" t="s">
        <v>1931</v>
      </c>
      <c r="L397" s="6">
        <f t="shared" si="12"/>
        <v>2</v>
      </c>
      <c r="M397" s="6" t="str">
        <f t="shared" si="13"/>
        <v>No</v>
      </c>
      <c r="N397" s="5"/>
      <c r="O397" s="5" t="s">
        <v>1209</v>
      </c>
      <c r="P397" s="5" t="s">
        <v>43</v>
      </c>
      <c r="Q397" s="5"/>
      <c r="R397" s="5" t="s">
        <v>123</v>
      </c>
      <c r="S397" s="5"/>
      <c r="T397" s="5"/>
      <c r="U397" s="5" t="s">
        <v>66</v>
      </c>
      <c r="V397" s="5"/>
      <c r="W397" s="5" t="s">
        <v>51</v>
      </c>
      <c r="X397" s="5"/>
      <c r="Y397" s="5" t="s">
        <v>1210</v>
      </c>
      <c r="Z397" s="5"/>
    </row>
    <row r="398" spans="1:26" x14ac:dyDescent="0.25">
      <c r="A398" s="5" t="s">
        <v>1211</v>
      </c>
      <c r="B398" s="5"/>
      <c r="C398" s="5" t="s">
        <v>70</v>
      </c>
      <c r="D398" s="5" t="s">
        <v>44</v>
      </c>
      <c r="E398" s="5"/>
      <c r="F398" s="5"/>
      <c r="G398" s="5"/>
      <c r="H398" s="5" t="s">
        <v>90</v>
      </c>
      <c r="I398" s="5"/>
      <c r="J398" s="5"/>
      <c r="K398" s="18" t="s">
        <v>1931</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1212</v>
      </c>
      <c r="B399" s="5"/>
      <c r="C399" s="5" t="s">
        <v>43</v>
      </c>
      <c r="D399" s="5"/>
      <c r="E399" s="5" t="s">
        <v>45</v>
      </c>
      <c r="F399" s="5" t="s">
        <v>107</v>
      </c>
      <c r="G399" s="5" t="s">
        <v>47</v>
      </c>
      <c r="H399" s="5"/>
      <c r="I399" s="5"/>
      <c r="J399" s="5"/>
      <c r="K399" s="18" t="s">
        <v>1931</v>
      </c>
      <c r="L399" s="6">
        <f t="shared" si="12"/>
        <v>3</v>
      </c>
      <c r="M399" s="6" t="str">
        <f t="shared" si="13"/>
        <v>No</v>
      </c>
      <c r="N399" s="5" t="s">
        <v>1213</v>
      </c>
      <c r="O399" s="5"/>
      <c r="P399" s="5" t="s">
        <v>43</v>
      </c>
      <c r="Q399" s="5" t="s">
        <v>68</v>
      </c>
      <c r="R399" s="5"/>
      <c r="S399" s="5"/>
      <c r="T399" s="5"/>
      <c r="U399" s="5" t="s">
        <v>66</v>
      </c>
      <c r="V399" s="5"/>
      <c r="W399" s="5" t="s">
        <v>51</v>
      </c>
      <c r="X399" s="5"/>
      <c r="Y399" s="5" t="s">
        <v>67</v>
      </c>
      <c r="Z399" s="5" t="s">
        <v>392</v>
      </c>
    </row>
    <row r="400" spans="1:26" x14ac:dyDescent="0.25">
      <c r="A400" s="5" t="s">
        <v>1214</v>
      </c>
      <c r="B400" s="5"/>
      <c r="C400" s="5" t="s">
        <v>43</v>
      </c>
      <c r="D400" s="5" t="s">
        <v>76</v>
      </c>
      <c r="E400" s="5"/>
      <c r="F400" s="5"/>
      <c r="G400" s="5" t="s">
        <v>47</v>
      </c>
      <c r="H400" s="5" t="s">
        <v>149</v>
      </c>
      <c r="I400" s="5"/>
      <c r="J400" s="5"/>
      <c r="K400" s="18" t="s">
        <v>1931</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1215</v>
      </c>
      <c r="B401" s="5"/>
      <c r="C401" s="5" t="s">
        <v>43</v>
      </c>
      <c r="D401" s="5" t="s">
        <v>44</v>
      </c>
      <c r="E401" s="5" t="s">
        <v>45</v>
      </c>
      <c r="F401" s="5" t="s">
        <v>46</v>
      </c>
      <c r="G401" s="5" t="s">
        <v>47</v>
      </c>
      <c r="H401" s="5" t="s">
        <v>902</v>
      </c>
      <c r="I401" s="5" t="s">
        <v>59</v>
      </c>
      <c r="J401" s="5"/>
      <c r="K401" s="18" t="s">
        <v>1931</v>
      </c>
      <c r="L401" s="6">
        <f t="shared" si="12"/>
        <v>6</v>
      </c>
      <c r="M401" s="6" t="str">
        <f t="shared" si="13"/>
        <v>Yes</v>
      </c>
      <c r="N401" s="5" t="s">
        <v>1216</v>
      </c>
      <c r="O401" s="5" t="s">
        <v>1217</v>
      </c>
      <c r="P401" s="5" t="s">
        <v>43</v>
      </c>
      <c r="Q401" s="5"/>
      <c r="R401" s="5" t="s">
        <v>59</v>
      </c>
      <c r="S401" s="5"/>
      <c r="T401" s="5"/>
      <c r="U401" s="5" t="s">
        <v>50</v>
      </c>
      <c r="V401" s="5"/>
      <c r="W401" s="5" t="s">
        <v>51</v>
      </c>
      <c r="X401" s="5" t="s">
        <v>903</v>
      </c>
      <c r="Y401" s="5"/>
      <c r="Z401" s="5" t="s">
        <v>55</v>
      </c>
    </row>
    <row r="402" spans="1:26" x14ac:dyDescent="0.25">
      <c r="A402" s="5" t="s">
        <v>1218</v>
      </c>
      <c r="B402" s="5"/>
      <c r="C402" s="5"/>
      <c r="D402" s="5"/>
      <c r="E402" s="5"/>
      <c r="F402" s="5" t="s">
        <v>107</v>
      </c>
      <c r="G402" s="5"/>
      <c r="H402" s="5" t="s">
        <v>58</v>
      </c>
      <c r="I402" s="5"/>
      <c r="J402" s="5"/>
      <c r="K402" s="18" t="s">
        <v>1931</v>
      </c>
      <c r="L402" s="6">
        <f t="shared" si="12"/>
        <v>2</v>
      </c>
      <c r="M402" s="6" t="str">
        <f t="shared" si="13"/>
        <v>No</v>
      </c>
      <c r="N402" s="5"/>
      <c r="O402" s="5" t="s">
        <v>1219</v>
      </c>
      <c r="P402" s="5" t="s">
        <v>105</v>
      </c>
      <c r="Q402" s="5"/>
      <c r="R402" s="5"/>
      <c r="S402" s="5"/>
      <c r="T402" s="5"/>
      <c r="U402" s="5" t="s">
        <v>66</v>
      </c>
      <c r="V402" s="5" t="s">
        <v>103</v>
      </c>
      <c r="W402" s="5" t="s">
        <v>51</v>
      </c>
      <c r="X402" s="5" t="s">
        <v>63</v>
      </c>
      <c r="Y402" s="5"/>
      <c r="Z402" s="5" t="s">
        <v>583</v>
      </c>
    </row>
    <row r="403" spans="1:26" x14ac:dyDescent="0.25">
      <c r="A403" s="5" t="s">
        <v>1220</v>
      </c>
      <c r="B403" s="5" t="s">
        <v>850</v>
      </c>
      <c r="C403" s="5" t="s">
        <v>43</v>
      </c>
      <c r="D403" s="5" t="s">
        <v>44</v>
      </c>
      <c r="E403" s="5"/>
      <c r="F403" s="5"/>
      <c r="G403" s="5" t="s">
        <v>57</v>
      </c>
      <c r="H403" s="5" t="s">
        <v>58</v>
      </c>
      <c r="I403" s="5"/>
      <c r="J403" s="5"/>
      <c r="K403" s="18" t="s">
        <v>1931</v>
      </c>
      <c r="L403" s="6">
        <f t="shared" ref="L403:L466" si="14">IF(A403="","",COUNTA(D403:F403)+COUNTA(G403:G403)+COUNTA(H403:H403)+COUNTA(I403:I403))</f>
        <v>3</v>
      </c>
      <c r="M403" s="6" t="str">
        <f t="shared" si="13"/>
        <v>No</v>
      </c>
      <c r="N403" s="5"/>
      <c r="O403" s="5" t="s">
        <v>1221</v>
      </c>
      <c r="P403" s="5" t="s">
        <v>43</v>
      </c>
      <c r="Q403" s="5"/>
      <c r="R403" s="5"/>
      <c r="S403" s="5"/>
      <c r="T403" s="5"/>
      <c r="U403" s="5" t="s">
        <v>50</v>
      </c>
      <c r="V403" s="5"/>
      <c r="W403" s="5" t="s">
        <v>51</v>
      </c>
      <c r="X403" s="5" t="s">
        <v>63</v>
      </c>
      <c r="Y403" s="5" t="s">
        <v>57</v>
      </c>
      <c r="Z403" s="5" t="s">
        <v>136</v>
      </c>
    </row>
    <row r="404" spans="1:26" x14ac:dyDescent="0.25">
      <c r="A404" s="5" t="s">
        <v>1222</v>
      </c>
      <c r="B404" s="5"/>
      <c r="C404" s="5" t="s">
        <v>43</v>
      </c>
      <c r="D404" s="5" t="s">
        <v>44</v>
      </c>
      <c r="E404" s="5"/>
      <c r="F404" s="5"/>
      <c r="G404" s="5"/>
      <c r="H404" s="5"/>
      <c r="I404" s="5"/>
      <c r="J404" s="5"/>
      <c r="K404" s="18" t="s">
        <v>1931</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1225</v>
      </c>
      <c r="B405" s="5"/>
      <c r="C405" s="5" t="s">
        <v>43</v>
      </c>
      <c r="D405" s="5" t="s">
        <v>44</v>
      </c>
      <c r="E405" s="5" t="s">
        <v>45</v>
      </c>
      <c r="F405" s="5" t="s">
        <v>46</v>
      </c>
      <c r="G405" s="5" t="s">
        <v>47</v>
      </c>
      <c r="H405" s="5" t="s">
        <v>205</v>
      </c>
      <c r="I405" s="5" t="s">
        <v>91</v>
      </c>
      <c r="J405" s="5" t="s">
        <v>71</v>
      </c>
      <c r="K405" s="18" t="s">
        <v>1931</v>
      </c>
      <c r="L405" s="6">
        <f t="shared" si="14"/>
        <v>6</v>
      </c>
      <c r="M405" s="6" t="str">
        <f t="shared" si="13"/>
        <v>Yes</v>
      </c>
      <c r="N405" s="5"/>
      <c r="O405" s="5" t="s">
        <v>1223</v>
      </c>
      <c r="P405" s="5" t="s">
        <v>43</v>
      </c>
      <c r="Q405" s="5"/>
      <c r="R405" s="5" t="s">
        <v>59</v>
      </c>
      <c r="S405" s="5"/>
      <c r="T405" s="5"/>
      <c r="U405" s="5" t="s">
        <v>124</v>
      </c>
      <c r="V405" s="5"/>
      <c r="W405" s="5" t="s">
        <v>125</v>
      </c>
      <c r="X405" s="5" t="s">
        <v>205</v>
      </c>
      <c r="Y405" s="5" t="s">
        <v>1224</v>
      </c>
      <c r="Z405" s="5" t="s">
        <v>285</v>
      </c>
    </row>
    <row r="406" spans="1:26" x14ac:dyDescent="0.25">
      <c r="A406" s="5" t="s">
        <v>1226</v>
      </c>
      <c r="B406" s="5"/>
      <c r="C406" s="5" t="s">
        <v>43</v>
      </c>
      <c r="D406" s="5"/>
      <c r="E406" s="5"/>
      <c r="F406" s="5"/>
      <c r="G406" s="5" t="s">
        <v>47</v>
      </c>
      <c r="H406" s="5"/>
      <c r="I406" s="5"/>
      <c r="J406" s="5"/>
      <c r="K406" s="18" t="s">
        <v>1931</v>
      </c>
      <c r="L406" s="6">
        <f t="shared" si="14"/>
        <v>1</v>
      </c>
      <c r="M406" s="6" t="str">
        <f t="shared" si="13"/>
        <v>No</v>
      </c>
      <c r="N406" s="5"/>
      <c r="O406" s="5" t="s">
        <v>1227</v>
      </c>
      <c r="P406" s="5" t="s">
        <v>43</v>
      </c>
      <c r="Q406" s="5"/>
      <c r="R406" s="5"/>
      <c r="S406" s="5"/>
      <c r="T406" s="5"/>
      <c r="U406" s="5" t="s">
        <v>66</v>
      </c>
      <c r="V406" s="5"/>
      <c r="W406" s="5" t="s">
        <v>51</v>
      </c>
      <c r="X406" s="5"/>
      <c r="Y406" s="5" t="s">
        <v>1228</v>
      </c>
      <c r="Z406" s="5"/>
    </row>
    <row r="407" spans="1:26" x14ac:dyDescent="0.25">
      <c r="A407" s="5" t="s">
        <v>1229</v>
      </c>
      <c r="B407" s="5"/>
      <c r="C407" s="5"/>
      <c r="D407" s="5"/>
      <c r="E407" s="5"/>
      <c r="F407" s="5"/>
      <c r="G407" s="5"/>
      <c r="H407" s="5"/>
      <c r="I407" s="5"/>
      <c r="J407" s="5"/>
      <c r="K407" s="18" t="s">
        <v>1931</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1280</v>
      </c>
      <c r="B408" s="5"/>
      <c r="C408" s="5" t="s">
        <v>70</v>
      </c>
      <c r="D408" s="5" t="s">
        <v>44</v>
      </c>
      <c r="E408" s="5"/>
      <c r="F408" s="5"/>
      <c r="G408" s="5" t="s">
        <v>47</v>
      </c>
      <c r="H408" s="5"/>
      <c r="I408" s="5"/>
      <c r="J408" s="5"/>
      <c r="K408" s="18" t="s">
        <v>1931</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1230</v>
      </c>
      <c r="B409" s="5"/>
      <c r="C409" s="5" t="s">
        <v>70</v>
      </c>
      <c r="D409" s="5"/>
      <c r="E409" s="5"/>
      <c r="F409" s="5"/>
      <c r="G409" s="5" t="s">
        <v>47</v>
      </c>
      <c r="H409" s="5"/>
      <c r="I409" s="5"/>
      <c r="J409" s="5"/>
      <c r="K409" s="18" t="s">
        <v>1931</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1231</v>
      </c>
      <c r="B410" s="5"/>
      <c r="C410" s="5"/>
      <c r="D410" s="5"/>
      <c r="E410" s="5"/>
      <c r="F410" s="5"/>
      <c r="G410" s="5"/>
      <c r="H410" s="5" t="s">
        <v>77</v>
      </c>
      <c r="I410" s="5"/>
      <c r="J410" s="5"/>
      <c r="K410" s="18" t="s">
        <v>1931</v>
      </c>
      <c r="L410" s="6">
        <f t="shared" si="14"/>
        <v>1</v>
      </c>
      <c r="M410" s="6" t="str">
        <f t="shared" si="13"/>
        <v>No</v>
      </c>
      <c r="N410" s="5"/>
      <c r="O410" s="5" t="s">
        <v>1232</v>
      </c>
      <c r="P410" s="5" t="s">
        <v>105</v>
      </c>
      <c r="Q410" s="5"/>
      <c r="R410" s="5"/>
      <c r="S410" s="5"/>
      <c r="T410" s="5"/>
      <c r="U410" s="5" t="s">
        <v>66</v>
      </c>
      <c r="V410" s="5" t="s">
        <v>103</v>
      </c>
      <c r="W410" s="5" t="s">
        <v>51</v>
      </c>
      <c r="X410" s="5" t="s">
        <v>77</v>
      </c>
      <c r="Y410" s="5"/>
      <c r="Z410" s="5"/>
    </row>
    <row r="411" spans="1:26" x14ac:dyDescent="0.25">
      <c r="A411" s="5" t="s">
        <v>1233</v>
      </c>
      <c r="B411" s="5"/>
      <c r="C411" s="5"/>
      <c r="D411" s="5"/>
      <c r="E411" s="5"/>
      <c r="F411" s="5"/>
      <c r="G411" s="5"/>
      <c r="H411" s="5"/>
      <c r="I411" s="5"/>
      <c r="J411" s="5"/>
      <c r="K411" s="18" t="s">
        <v>1931</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1234</v>
      </c>
      <c r="B412" s="5"/>
      <c r="C412" s="5" t="s">
        <v>70</v>
      </c>
      <c r="D412" s="5" t="s">
        <v>76</v>
      </c>
      <c r="E412" s="5" t="s">
        <v>331</v>
      </c>
      <c r="F412" s="5"/>
      <c r="G412" s="5"/>
      <c r="H412" s="5" t="s">
        <v>77</v>
      </c>
      <c r="I412" s="5"/>
      <c r="J412" s="5"/>
      <c r="K412" s="18" t="s">
        <v>1931</v>
      </c>
      <c r="L412" s="6">
        <f t="shared" si="14"/>
        <v>3</v>
      </c>
      <c r="M412" s="6" t="str">
        <f t="shared" si="13"/>
        <v>No</v>
      </c>
      <c r="N412" s="5"/>
      <c r="O412" s="5"/>
      <c r="P412" s="5"/>
      <c r="Q412" s="5"/>
      <c r="R412" s="5"/>
      <c r="S412" s="5"/>
      <c r="T412" s="5"/>
      <c r="U412" s="5" t="s">
        <v>50</v>
      </c>
      <c r="V412" s="5"/>
      <c r="W412" s="5" t="s">
        <v>51</v>
      </c>
      <c r="X412" s="5"/>
      <c r="Y412" s="5"/>
      <c r="Z412" s="5" t="s">
        <v>1235</v>
      </c>
    </row>
    <row r="413" spans="1:26" x14ac:dyDescent="0.25">
      <c r="A413" s="5" t="s">
        <v>1236</v>
      </c>
      <c r="B413" s="5"/>
      <c r="C413" s="5"/>
      <c r="D413" s="5"/>
      <c r="E413" s="5" t="s">
        <v>45</v>
      </c>
      <c r="F413" s="5" t="s">
        <v>46</v>
      </c>
      <c r="G413" s="5" t="s">
        <v>57</v>
      </c>
      <c r="H413" s="5" t="s">
        <v>58</v>
      </c>
      <c r="I413" s="5"/>
      <c r="J413" s="5"/>
      <c r="K413" s="18" t="s">
        <v>1931</v>
      </c>
      <c r="L413" s="6">
        <f t="shared" si="14"/>
        <v>4</v>
      </c>
      <c r="M413" s="6" t="str">
        <f t="shared" si="13"/>
        <v>No</v>
      </c>
      <c r="N413" s="5" t="s">
        <v>1237</v>
      </c>
      <c r="O413" s="5" t="s">
        <v>1238</v>
      </c>
      <c r="P413" s="5" t="s">
        <v>105</v>
      </c>
      <c r="Q413" s="5"/>
      <c r="R413" s="5"/>
      <c r="S413" s="5"/>
      <c r="T413" s="5"/>
      <c r="U413" s="5" t="s">
        <v>66</v>
      </c>
      <c r="V413" s="5" t="s">
        <v>103</v>
      </c>
      <c r="W413" s="5" t="s">
        <v>51</v>
      </c>
      <c r="X413" s="5" t="s">
        <v>63</v>
      </c>
      <c r="Y413" s="5" t="s">
        <v>57</v>
      </c>
      <c r="Z413" s="5" t="s">
        <v>392</v>
      </c>
    </row>
    <row r="414" spans="1:26" x14ac:dyDescent="0.25">
      <c r="A414" s="5" t="s">
        <v>1872</v>
      </c>
      <c r="B414" s="5"/>
      <c r="C414" s="5" t="s">
        <v>128</v>
      </c>
      <c r="D414" s="5" t="s">
        <v>76</v>
      </c>
      <c r="E414" s="5" t="s">
        <v>45</v>
      </c>
      <c r="F414" s="5" t="s">
        <v>46</v>
      </c>
      <c r="G414" s="5" t="s">
        <v>57</v>
      </c>
      <c r="H414" s="5" t="s">
        <v>1860</v>
      </c>
      <c r="I414" s="5" t="s">
        <v>119</v>
      </c>
      <c r="J414" s="5" t="s">
        <v>1873</v>
      </c>
      <c r="K414" s="18" t="s">
        <v>1882</v>
      </c>
      <c r="L414" s="6">
        <f t="shared" si="14"/>
        <v>6</v>
      </c>
      <c r="M414" s="6" t="str">
        <f t="shared" si="13"/>
        <v>Yes</v>
      </c>
      <c r="N414" s="5" t="s">
        <v>1875</v>
      </c>
      <c r="O414" s="5" t="s">
        <v>1874</v>
      </c>
      <c r="P414" s="5" t="s">
        <v>43</v>
      </c>
      <c r="Q414" s="5"/>
      <c r="R414" s="5"/>
      <c r="S414" s="5"/>
      <c r="T414" s="5"/>
      <c r="U414" s="5" t="s">
        <v>50</v>
      </c>
      <c r="V414" s="5"/>
      <c r="W414" s="5" t="s">
        <v>51</v>
      </c>
      <c r="X414" s="5" t="s">
        <v>77</v>
      </c>
      <c r="Y414" s="5"/>
      <c r="Z414" s="5" t="s">
        <v>136</v>
      </c>
    </row>
    <row r="415" spans="1:26" x14ac:dyDescent="0.25">
      <c r="A415" s="5" t="s">
        <v>1239</v>
      </c>
      <c r="B415" s="5"/>
      <c r="C415" s="5" t="s">
        <v>43</v>
      </c>
      <c r="D415" s="5" t="s">
        <v>76</v>
      </c>
      <c r="E415" s="5"/>
      <c r="F415" s="5"/>
      <c r="G415" s="5"/>
      <c r="H415" s="5" t="s">
        <v>77</v>
      </c>
      <c r="I415" s="5"/>
      <c r="J415" s="5"/>
      <c r="K415" s="18" t="s">
        <v>1931</v>
      </c>
      <c r="L415" s="6">
        <f t="shared" si="14"/>
        <v>2</v>
      </c>
      <c r="M415" s="6" t="str">
        <f t="shared" si="13"/>
        <v>No</v>
      </c>
      <c r="N415" s="5"/>
      <c r="O415" s="5" t="s">
        <v>1240</v>
      </c>
      <c r="P415" s="5" t="s">
        <v>43</v>
      </c>
      <c r="Q415" s="5"/>
      <c r="R415" s="5"/>
      <c r="S415" s="5"/>
      <c r="T415" s="5"/>
      <c r="U415" s="5" t="s">
        <v>50</v>
      </c>
      <c r="V415" s="5"/>
      <c r="W415" s="5" t="s">
        <v>51</v>
      </c>
      <c r="X415" s="5" t="s">
        <v>77</v>
      </c>
      <c r="Y415" s="5"/>
      <c r="Z415" s="5" t="s">
        <v>136</v>
      </c>
    </row>
    <row r="416" spans="1:26" x14ac:dyDescent="0.25">
      <c r="A416" s="5" t="s">
        <v>1241</v>
      </c>
      <c r="B416" s="5"/>
      <c r="C416" s="5"/>
      <c r="D416" s="5"/>
      <c r="E416" s="5"/>
      <c r="F416" s="5"/>
      <c r="G416" s="5"/>
      <c r="H416" s="5" t="s">
        <v>259</v>
      </c>
      <c r="I416" s="5" t="s">
        <v>133</v>
      </c>
      <c r="J416" s="5"/>
      <c r="K416" s="18" t="s">
        <v>1931</v>
      </c>
      <c r="L416" s="6">
        <f t="shared" si="14"/>
        <v>2</v>
      </c>
      <c r="M416" s="6" t="str">
        <f t="shared" si="13"/>
        <v>No</v>
      </c>
      <c r="N416" s="5"/>
      <c r="O416" s="5" t="s">
        <v>1242</v>
      </c>
      <c r="P416" s="5" t="s">
        <v>166</v>
      </c>
      <c r="Q416" s="5"/>
      <c r="R416" s="5" t="s">
        <v>133</v>
      </c>
      <c r="S416" s="5"/>
      <c r="T416" s="5"/>
      <c r="U416" s="5" t="s">
        <v>66</v>
      </c>
      <c r="V416" s="5" t="s">
        <v>163</v>
      </c>
      <c r="W416" s="5" t="s">
        <v>51</v>
      </c>
      <c r="X416" s="5" t="s">
        <v>261</v>
      </c>
      <c r="Y416" s="5"/>
      <c r="Z416" s="5"/>
    </row>
    <row r="417" spans="1:26" x14ac:dyDescent="0.25">
      <c r="A417" s="5" t="s">
        <v>1243</v>
      </c>
      <c r="B417" s="5"/>
      <c r="C417" s="5" t="s">
        <v>43</v>
      </c>
      <c r="D417" s="5" t="s">
        <v>76</v>
      </c>
      <c r="E417" s="5"/>
      <c r="F417" s="5"/>
      <c r="G417" s="5" t="s">
        <v>47</v>
      </c>
      <c r="H417" s="5" t="s">
        <v>58</v>
      </c>
      <c r="I417" s="5" t="s">
        <v>192</v>
      </c>
      <c r="J417" s="5"/>
      <c r="K417" s="18" t="s">
        <v>1931</v>
      </c>
      <c r="L417" s="6">
        <f t="shared" si="14"/>
        <v>4</v>
      </c>
      <c r="M417" s="6" t="str">
        <f t="shared" si="13"/>
        <v>No</v>
      </c>
      <c r="N417" s="5"/>
      <c r="O417" s="5" t="s">
        <v>1245</v>
      </c>
      <c r="P417" s="5" t="s">
        <v>43</v>
      </c>
      <c r="Q417" s="5"/>
      <c r="R417" s="5" t="s">
        <v>192</v>
      </c>
      <c r="S417" s="5"/>
      <c r="T417" s="5"/>
      <c r="U417" s="5" t="s">
        <v>50</v>
      </c>
      <c r="V417" s="5" t="s">
        <v>1244</v>
      </c>
      <c r="W417" s="5" t="s">
        <v>51</v>
      </c>
      <c r="X417" s="5" t="s">
        <v>63</v>
      </c>
      <c r="Y417" s="5" t="s">
        <v>1246</v>
      </c>
      <c r="Z417" s="5" t="s">
        <v>136</v>
      </c>
    </row>
    <row r="418" spans="1:26" x14ac:dyDescent="0.25">
      <c r="A418" s="5" t="s">
        <v>1247</v>
      </c>
      <c r="B418" s="5" t="s">
        <v>1248</v>
      </c>
      <c r="C418" s="5"/>
      <c r="D418" s="5"/>
      <c r="E418" s="5"/>
      <c r="F418" s="5"/>
      <c r="G418" s="5"/>
      <c r="H418" s="5" t="s">
        <v>915</v>
      </c>
      <c r="I418" s="5"/>
      <c r="J418" s="5"/>
      <c r="K418" s="18" t="s">
        <v>1931</v>
      </c>
      <c r="L418" s="6">
        <f t="shared" si="14"/>
        <v>1</v>
      </c>
      <c r="M418" s="6" t="str">
        <f t="shared" si="13"/>
        <v>No</v>
      </c>
      <c r="N418" s="5"/>
      <c r="O418" s="5" t="s">
        <v>1249</v>
      </c>
      <c r="P418" s="5" t="s">
        <v>105</v>
      </c>
      <c r="Q418" s="5"/>
      <c r="R418" s="5"/>
      <c r="S418" s="5"/>
      <c r="T418" s="5"/>
      <c r="U418" s="5" t="s">
        <v>66</v>
      </c>
      <c r="V418" s="5" t="s">
        <v>103</v>
      </c>
      <c r="W418" s="5" t="s">
        <v>51</v>
      </c>
      <c r="X418" s="5" t="s">
        <v>915</v>
      </c>
      <c r="Y418" s="5"/>
      <c r="Z418" s="5"/>
    </row>
    <row r="419" spans="1:26" x14ac:dyDescent="0.25">
      <c r="A419" s="5" t="s">
        <v>1250</v>
      </c>
      <c r="B419" s="5"/>
      <c r="C419" s="5"/>
      <c r="D419" s="5"/>
      <c r="E419" s="5"/>
      <c r="F419" s="5"/>
      <c r="G419" s="5"/>
      <c r="H419" s="5" t="s">
        <v>259</v>
      </c>
      <c r="I419" s="5" t="s">
        <v>59</v>
      </c>
      <c r="J419" s="5"/>
      <c r="K419" s="18" t="s">
        <v>1931</v>
      </c>
      <c r="L419" s="6">
        <f t="shared" si="14"/>
        <v>2</v>
      </c>
      <c r="M419" s="6" t="str">
        <f t="shared" si="13"/>
        <v>No</v>
      </c>
      <c r="N419" s="5"/>
      <c r="O419" s="5" t="s">
        <v>1251</v>
      </c>
      <c r="P419" s="5" t="s">
        <v>166</v>
      </c>
      <c r="Q419" s="5"/>
      <c r="R419" s="5" t="s">
        <v>59</v>
      </c>
      <c r="S419" s="5"/>
      <c r="T419" s="5"/>
      <c r="U419" s="5" t="s">
        <v>66</v>
      </c>
      <c r="V419" s="5" t="s">
        <v>163</v>
      </c>
      <c r="W419" s="5" t="s">
        <v>51</v>
      </c>
      <c r="X419" s="5" t="s">
        <v>261</v>
      </c>
      <c r="Y419" s="5"/>
      <c r="Z419" s="5"/>
    </row>
    <row r="420" spans="1:26" x14ac:dyDescent="0.25">
      <c r="A420" s="5" t="s">
        <v>1252</v>
      </c>
      <c r="B420" s="5"/>
      <c r="C420" s="5" t="s">
        <v>43</v>
      </c>
      <c r="D420" s="5"/>
      <c r="E420" s="5"/>
      <c r="F420" s="5"/>
      <c r="G420" s="5" t="s">
        <v>47</v>
      </c>
      <c r="H420" s="5"/>
      <c r="I420" s="5"/>
      <c r="J420" s="5"/>
      <c r="K420" s="18" t="s">
        <v>1931</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1253</v>
      </c>
      <c r="B421" s="5"/>
      <c r="C421" s="5"/>
      <c r="D421" s="5"/>
      <c r="E421" s="5"/>
      <c r="F421" s="5"/>
      <c r="G421" s="5"/>
      <c r="H421" s="5" t="s">
        <v>259</v>
      </c>
      <c r="I421" s="5"/>
      <c r="J421" s="5"/>
      <c r="K421" s="18" t="s">
        <v>1931</v>
      </c>
      <c r="L421" s="6">
        <f t="shared" si="14"/>
        <v>1</v>
      </c>
      <c r="M421" s="6" t="str">
        <f t="shared" si="13"/>
        <v>No</v>
      </c>
      <c r="N421" s="5"/>
      <c r="O421" s="5" t="s">
        <v>1254</v>
      </c>
      <c r="P421" s="5" t="s">
        <v>166</v>
      </c>
      <c r="Q421" s="5"/>
      <c r="R421" s="5"/>
      <c r="S421" s="5"/>
      <c r="T421" s="5"/>
      <c r="U421" s="5" t="s">
        <v>66</v>
      </c>
      <c r="V421" s="5" t="s">
        <v>163</v>
      </c>
      <c r="W421" s="5" t="s">
        <v>51</v>
      </c>
      <c r="X421" s="5" t="s">
        <v>261</v>
      </c>
      <c r="Y421" s="5"/>
      <c r="Z421" s="5"/>
    </row>
    <row r="422" spans="1:26" x14ac:dyDescent="0.25">
      <c r="A422" s="5" t="s">
        <v>1255</v>
      </c>
      <c r="B422" s="5"/>
      <c r="C422" s="5" t="s">
        <v>43</v>
      </c>
      <c r="D422" s="5" t="s">
        <v>76</v>
      </c>
      <c r="E422" s="5" t="s">
        <v>45</v>
      </c>
      <c r="F422" s="5" t="s">
        <v>107</v>
      </c>
      <c r="G422" s="5" t="s">
        <v>1845</v>
      </c>
      <c r="H422" s="5" t="s">
        <v>77</v>
      </c>
      <c r="I422" s="5" t="s">
        <v>192</v>
      </c>
      <c r="J422" s="5"/>
      <c r="K422" s="18" t="s">
        <v>1931</v>
      </c>
      <c r="L422" s="6">
        <f t="shared" si="14"/>
        <v>6</v>
      </c>
      <c r="M422" s="6" t="str">
        <f t="shared" si="13"/>
        <v>Yes</v>
      </c>
      <c r="N422" s="5" t="s">
        <v>1256</v>
      </c>
      <c r="O422" s="5" t="s">
        <v>1257</v>
      </c>
      <c r="P422" s="5"/>
      <c r="Q422" s="5"/>
      <c r="R422" s="5" t="s">
        <v>192</v>
      </c>
      <c r="S422" s="5"/>
      <c r="T422" s="5"/>
      <c r="U422" s="5" t="s">
        <v>50</v>
      </c>
      <c r="V422" s="5"/>
      <c r="W422" s="5" t="s">
        <v>51</v>
      </c>
      <c r="X422" s="5" t="s">
        <v>77</v>
      </c>
      <c r="Y422" s="5"/>
      <c r="Z422" s="5" t="s">
        <v>1258</v>
      </c>
    </row>
    <row r="423" spans="1:26" x14ac:dyDescent="0.25">
      <c r="A423" s="5" t="s">
        <v>1259</v>
      </c>
      <c r="B423" s="5"/>
      <c r="C423" s="5" t="s">
        <v>43</v>
      </c>
      <c r="D423" s="5" t="s">
        <v>44</v>
      </c>
      <c r="E423" s="5" t="s">
        <v>45</v>
      </c>
      <c r="F423" s="5" t="s">
        <v>46</v>
      </c>
      <c r="G423" s="5" t="s">
        <v>47</v>
      </c>
      <c r="H423" s="5" t="s">
        <v>63</v>
      </c>
      <c r="I423" s="5" t="s">
        <v>123</v>
      </c>
      <c r="J423" s="5"/>
      <c r="K423" s="18" t="s">
        <v>1931</v>
      </c>
      <c r="L423" s="6">
        <f t="shared" si="14"/>
        <v>6</v>
      </c>
      <c r="M423" s="6" t="str">
        <f t="shared" si="13"/>
        <v>Yes</v>
      </c>
      <c r="N423" s="5"/>
      <c r="O423" s="5" t="s">
        <v>1891</v>
      </c>
      <c r="P423" s="5" t="s">
        <v>43</v>
      </c>
      <c r="Q423" s="5" t="s">
        <v>1261</v>
      </c>
      <c r="R423" s="5" t="s">
        <v>123</v>
      </c>
      <c r="S423" s="5"/>
      <c r="T423" s="5"/>
      <c r="U423" s="5" t="s">
        <v>50</v>
      </c>
      <c r="V423" s="5"/>
      <c r="W423" s="5" t="s">
        <v>51</v>
      </c>
      <c r="X423" s="5" t="s">
        <v>1260</v>
      </c>
      <c r="Y423" s="5" t="s">
        <v>47</v>
      </c>
      <c r="Z423" s="5" t="s">
        <v>136</v>
      </c>
    </row>
    <row r="424" spans="1:26" x14ac:dyDescent="0.25">
      <c r="A424" s="5" t="s">
        <v>1262</v>
      </c>
      <c r="B424" s="5"/>
      <c r="C424" s="5" t="s">
        <v>43</v>
      </c>
      <c r="D424" s="5" t="s">
        <v>44</v>
      </c>
      <c r="E424" s="5"/>
      <c r="F424" s="5"/>
      <c r="G424" s="5" t="s">
        <v>47</v>
      </c>
      <c r="H424" s="5"/>
      <c r="I424" s="5"/>
      <c r="J424" s="5"/>
      <c r="K424" s="18" t="s">
        <v>1931</v>
      </c>
      <c r="L424" s="6">
        <f t="shared" si="14"/>
        <v>2</v>
      </c>
      <c r="M424" s="6" t="str">
        <f t="shared" si="13"/>
        <v>No</v>
      </c>
      <c r="N424" s="5"/>
      <c r="O424" s="5" t="s">
        <v>1263</v>
      </c>
      <c r="P424" s="5" t="s">
        <v>43</v>
      </c>
      <c r="Q424" s="5"/>
      <c r="R424" s="5"/>
      <c r="S424" s="5"/>
      <c r="T424" s="5"/>
      <c r="U424" s="5" t="s">
        <v>50</v>
      </c>
      <c r="V424" s="5"/>
      <c r="W424" s="5" t="s">
        <v>51</v>
      </c>
      <c r="X424" s="5"/>
      <c r="Y424" s="5"/>
      <c r="Z424" s="5" t="s">
        <v>64</v>
      </c>
    </row>
    <row r="425" spans="1:26" x14ac:dyDescent="0.25">
      <c r="A425" s="5" t="s">
        <v>1264</v>
      </c>
      <c r="B425" s="5"/>
      <c r="C425" s="5" t="s">
        <v>70</v>
      </c>
      <c r="D425" s="5"/>
      <c r="E425" s="5"/>
      <c r="F425" s="5"/>
      <c r="G425" s="5" t="s">
        <v>47</v>
      </c>
      <c r="H425" s="5"/>
      <c r="I425" s="5" t="s">
        <v>178</v>
      </c>
      <c r="J425" s="5"/>
      <c r="K425" s="18" t="s">
        <v>1931</v>
      </c>
      <c r="L425" s="6">
        <f t="shared" si="14"/>
        <v>2</v>
      </c>
      <c r="M425" s="6" t="str">
        <f t="shared" si="13"/>
        <v>No</v>
      </c>
      <c r="N425" s="5"/>
      <c r="O425" s="5"/>
      <c r="P425" s="5"/>
      <c r="Q425" s="5"/>
      <c r="R425" s="5" t="s">
        <v>178</v>
      </c>
      <c r="S425" s="5"/>
      <c r="T425" s="5"/>
      <c r="U425" s="5" t="s">
        <v>124</v>
      </c>
      <c r="V425" s="5"/>
      <c r="W425" s="5" t="s">
        <v>125</v>
      </c>
      <c r="X425" s="5"/>
      <c r="Y425" s="5" t="s">
        <v>47</v>
      </c>
      <c r="Z425" s="5" t="s">
        <v>1265</v>
      </c>
    </row>
    <row r="426" spans="1:26" x14ac:dyDescent="0.25">
      <c r="A426" s="5" t="s">
        <v>1266</v>
      </c>
      <c r="B426" s="5"/>
      <c r="C426" s="5" t="s">
        <v>43</v>
      </c>
      <c r="D426" s="5" t="s">
        <v>44</v>
      </c>
      <c r="E426" s="5"/>
      <c r="F426" s="5"/>
      <c r="G426" s="5" t="s">
        <v>47</v>
      </c>
      <c r="H426" s="5" t="s">
        <v>313</v>
      </c>
      <c r="I426" s="5" t="s">
        <v>193</v>
      </c>
      <c r="J426" s="5" t="s">
        <v>192</v>
      </c>
      <c r="K426" s="18" t="s">
        <v>1931</v>
      </c>
      <c r="L426" s="6">
        <f t="shared" si="14"/>
        <v>4</v>
      </c>
      <c r="M426" s="6" t="str">
        <f t="shared" si="13"/>
        <v>No</v>
      </c>
      <c r="N426" s="5"/>
      <c r="O426" s="5" t="s">
        <v>1268</v>
      </c>
      <c r="P426" s="5" t="s">
        <v>43</v>
      </c>
      <c r="Q426" s="5"/>
      <c r="R426" s="5" t="s">
        <v>1267</v>
      </c>
      <c r="S426" s="5"/>
      <c r="T426" s="5"/>
      <c r="U426" s="5" t="s">
        <v>50</v>
      </c>
      <c r="V426" s="5"/>
      <c r="W426" s="5" t="s">
        <v>51</v>
      </c>
      <c r="X426" s="5" t="s">
        <v>316</v>
      </c>
      <c r="Y426" s="5"/>
      <c r="Z426" s="5" t="s">
        <v>237</v>
      </c>
    </row>
    <row r="427" spans="1:26" x14ac:dyDescent="0.25">
      <c r="A427" s="5" t="s">
        <v>1269</v>
      </c>
      <c r="B427" s="5"/>
      <c r="C427" s="5"/>
      <c r="D427" s="5"/>
      <c r="E427" s="5"/>
      <c r="F427" s="5"/>
      <c r="G427" s="5"/>
      <c r="H427" s="5" t="s">
        <v>1270</v>
      </c>
      <c r="I427" s="5"/>
      <c r="J427" s="5"/>
      <c r="K427" s="18" t="s">
        <v>1931</v>
      </c>
      <c r="L427" s="6">
        <f t="shared" si="14"/>
        <v>1</v>
      </c>
      <c r="M427" s="6" t="str">
        <f t="shared" si="13"/>
        <v>No</v>
      </c>
      <c r="N427" s="5"/>
      <c r="O427" s="5"/>
      <c r="P427" s="5" t="s">
        <v>105</v>
      </c>
      <c r="Q427" s="5"/>
      <c r="R427" s="5"/>
      <c r="S427" s="5"/>
      <c r="T427" s="5"/>
      <c r="U427" s="5" t="s">
        <v>66</v>
      </c>
      <c r="V427" s="5" t="s">
        <v>103</v>
      </c>
      <c r="W427" s="5" t="s">
        <v>51</v>
      </c>
      <c r="X427" s="5" t="s">
        <v>1270</v>
      </c>
      <c r="Y427" s="5"/>
      <c r="Z427" s="5"/>
    </row>
    <row r="428" spans="1:26" x14ac:dyDescent="0.25">
      <c r="A428" s="5" t="s">
        <v>1271</v>
      </c>
      <c r="B428" s="5"/>
      <c r="C428" s="5" t="s">
        <v>43</v>
      </c>
      <c r="D428" s="5" t="s">
        <v>44</v>
      </c>
      <c r="E428" s="5" t="s">
        <v>45</v>
      </c>
      <c r="F428" s="5" t="s">
        <v>107</v>
      </c>
      <c r="G428" s="5" t="s">
        <v>47</v>
      </c>
      <c r="H428" s="5" t="s">
        <v>515</v>
      </c>
      <c r="I428" s="5" t="s">
        <v>119</v>
      </c>
      <c r="J428" s="5" t="s">
        <v>71</v>
      </c>
      <c r="K428" s="18" t="s">
        <v>1931</v>
      </c>
      <c r="L428" s="6">
        <f t="shared" si="14"/>
        <v>6</v>
      </c>
      <c r="M428" s="6" t="str">
        <f t="shared" si="13"/>
        <v>Yes</v>
      </c>
      <c r="N428" s="5" t="s">
        <v>1274</v>
      </c>
      <c r="O428" s="5" t="s">
        <v>1275</v>
      </c>
      <c r="P428" s="5" t="s">
        <v>43</v>
      </c>
      <c r="Q428" s="5" t="s">
        <v>1277</v>
      </c>
      <c r="R428" s="5" t="s">
        <v>1272</v>
      </c>
      <c r="S428" s="5"/>
      <c r="T428" s="5"/>
      <c r="U428" s="5" t="s">
        <v>110</v>
      </c>
      <c r="V428" s="5" t="s">
        <v>1273</v>
      </c>
      <c r="W428" s="5" t="s">
        <v>112</v>
      </c>
      <c r="X428" s="5" t="s">
        <v>1276</v>
      </c>
      <c r="Y428" s="5" t="s">
        <v>892</v>
      </c>
      <c r="Z428" s="5" t="s">
        <v>219</v>
      </c>
    </row>
    <row r="429" spans="1:26" x14ac:dyDescent="0.25">
      <c r="A429" s="5" t="s">
        <v>1278</v>
      </c>
      <c r="B429" s="5"/>
      <c r="C429" s="5" t="s">
        <v>43</v>
      </c>
      <c r="D429" s="5" t="s">
        <v>244</v>
      </c>
      <c r="E429" s="5" t="s">
        <v>45</v>
      </c>
      <c r="F429" s="5" t="s">
        <v>107</v>
      </c>
      <c r="G429" s="5" t="s">
        <v>47</v>
      </c>
      <c r="H429" s="5" t="s">
        <v>245</v>
      </c>
      <c r="I429" s="5" t="s">
        <v>123</v>
      </c>
      <c r="J429" s="5"/>
      <c r="K429" s="18" t="s">
        <v>1931</v>
      </c>
      <c r="L429" s="6">
        <f t="shared" si="14"/>
        <v>6</v>
      </c>
      <c r="M429" s="6" t="str">
        <f t="shared" si="13"/>
        <v>Yes</v>
      </c>
      <c r="N429" s="5"/>
      <c r="O429" s="5" t="s">
        <v>1279</v>
      </c>
      <c r="P429" s="5" t="s">
        <v>43</v>
      </c>
      <c r="Q429" s="5"/>
      <c r="R429" s="5" t="s">
        <v>123</v>
      </c>
      <c r="S429" s="5"/>
      <c r="T429" s="5"/>
      <c r="U429" s="5" t="s">
        <v>50</v>
      </c>
      <c r="V429" s="5"/>
      <c r="W429" s="5" t="s">
        <v>51</v>
      </c>
      <c r="X429" s="5" t="s">
        <v>245</v>
      </c>
      <c r="Y429" s="5"/>
      <c r="Z429" s="5" t="s">
        <v>64</v>
      </c>
    </row>
    <row r="430" spans="1:26" x14ac:dyDescent="0.25">
      <c r="A430" s="5" t="s">
        <v>1281</v>
      </c>
      <c r="B430" s="5"/>
      <c r="C430" s="5" t="s">
        <v>43</v>
      </c>
      <c r="D430" s="5"/>
      <c r="E430" s="5" t="s">
        <v>45</v>
      </c>
      <c r="F430" s="5" t="s">
        <v>107</v>
      </c>
      <c r="G430" s="5" t="s">
        <v>47</v>
      </c>
      <c r="H430" s="5"/>
      <c r="I430" s="5"/>
      <c r="J430" s="5"/>
      <c r="K430" s="18" t="s">
        <v>1931</v>
      </c>
      <c r="L430" s="6">
        <f t="shared" si="14"/>
        <v>3</v>
      </c>
      <c r="M430" s="6" t="str">
        <f t="shared" si="13"/>
        <v>No</v>
      </c>
      <c r="N430" s="5" t="s">
        <v>1282</v>
      </c>
      <c r="O430" s="5"/>
      <c r="P430" s="5" t="s">
        <v>43</v>
      </c>
      <c r="Q430" s="5" t="s">
        <v>68</v>
      </c>
      <c r="R430" s="5"/>
      <c r="S430" s="5"/>
      <c r="T430" s="5"/>
      <c r="U430" s="5" t="s">
        <v>66</v>
      </c>
      <c r="V430" s="5"/>
      <c r="W430" s="5" t="s">
        <v>51</v>
      </c>
      <c r="X430" s="5"/>
      <c r="Y430" s="5" t="s">
        <v>67</v>
      </c>
      <c r="Z430" s="5" t="s">
        <v>392</v>
      </c>
    </row>
    <row r="431" spans="1:26" x14ac:dyDescent="0.25">
      <c r="A431" s="5" t="s">
        <v>1283</v>
      </c>
      <c r="B431" s="5"/>
      <c r="C431" s="5"/>
      <c r="D431" s="5"/>
      <c r="E431" s="5"/>
      <c r="F431" s="5"/>
      <c r="G431" s="5"/>
      <c r="H431" s="5" t="s">
        <v>259</v>
      </c>
      <c r="I431" s="5"/>
      <c r="J431" s="5"/>
      <c r="K431" s="18" t="s">
        <v>1931</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1284</v>
      </c>
      <c r="B432" s="5"/>
      <c r="C432" s="5" t="s">
        <v>43</v>
      </c>
      <c r="D432" s="5" t="s">
        <v>76</v>
      </c>
      <c r="E432" s="5"/>
      <c r="F432" s="5"/>
      <c r="G432" s="5" t="s">
        <v>47</v>
      </c>
      <c r="H432" s="5" t="s">
        <v>259</v>
      </c>
      <c r="I432" s="5" t="s">
        <v>133</v>
      </c>
      <c r="J432" s="5"/>
      <c r="K432" s="18" t="s">
        <v>1931</v>
      </c>
      <c r="L432" s="6">
        <f t="shared" si="14"/>
        <v>4</v>
      </c>
      <c r="M432" s="6" t="str">
        <f t="shared" si="13"/>
        <v>No</v>
      </c>
      <c r="N432" s="5"/>
      <c r="O432" s="5" t="s">
        <v>1285</v>
      </c>
      <c r="P432" s="5" t="s">
        <v>43</v>
      </c>
      <c r="Q432" s="5"/>
      <c r="R432" s="5" t="s">
        <v>133</v>
      </c>
      <c r="S432" s="5"/>
      <c r="T432" s="5"/>
      <c r="U432" s="5" t="s">
        <v>50</v>
      </c>
      <c r="V432" s="5"/>
      <c r="W432" s="5" t="s">
        <v>51</v>
      </c>
      <c r="X432" s="5" t="s">
        <v>261</v>
      </c>
      <c r="Y432" s="5" t="s">
        <v>470</v>
      </c>
      <c r="Z432" s="5" t="s">
        <v>352</v>
      </c>
    </row>
    <row r="433" spans="1:26" x14ac:dyDescent="0.25">
      <c r="A433" s="5" t="s">
        <v>1286</v>
      </c>
      <c r="B433" s="5"/>
      <c r="C433" s="5" t="s">
        <v>70</v>
      </c>
      <c r="D433" s="5" t="s">
        <v>76</v>
      </c>
      <c r="E433" s="5"/>
      <c r="F433" s="5"/>
      <c r="G433" s="5"/>
      <c r="H433" s="5" t="s">
        <v>259</v>
      </c>
      <c r="I433" s="5"/>
      <c r="J433" s="5"/>
      <c r="K433" s="18" t="s">
        <v>1931</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1287</v>
      </c>
      <c r="B434" s="5"/>
      <c r="C434" s="5"/>
      <c r="D434" s="5"/>
      <c r="E434" s="5" t="s">
        <v>45</v>
      </c>
      <c r="F434" s="5" t="s">
        <v>107</v>
      </c>
      <c r="G434" s="5"/>
      <c r="H434" s="5" t="s">
        <v>77</v>
      </c>
      <c r="I434" s="5" t="s">
        <v>71</v>
      </c>
      <c r="J434" s="5" t="s">
        <v>119</v>
      </c>
      <c r="K434" s="18" t="s">
        <v>1931</v>
      </c>
      <c r="L434" s="6">
        <f t="shared" si="14"/>
        <v>4</v>
      </c>
      <c r="M434" s="6" t="str">
        <f t="shared" si="13"/>
        <v>No</v>
      </c>
      <c r="N434" s="5" t="s">
        <v>1289</v>
      </c>
      <c r="O434" s="5" t="s">
        <v>1290</v>
      </c>
      <c r="P434" s="5" t="s">
        <v>105</v>
      </c>
      <c r="Q434" s="5"/>
      <c r="R434" s="5" t="s">
        <v>1288</v>
      </c>
      <c r="S434" s="5"/>
      <c r="T434" s="5"/>
      <c r="U434" s="5" t="s">
        <v>66</v>
      </c>
      <c r="V434" s="5" t="s">
        <v>103</v>
      </c>
      <c r="W434" s="5" t="s">
        <v>51</v>
      </c>
      <c r="X434" s="5" t="s">
        <v>77</v>
      </c>
      <c r="Y434" s="5"/>
      <c r="Z434" s="5" t="s">
        <v>167</v>
      </c>
    </row>
    <row r="435" spans="1:26" x14ac:dyDescent="0.25">
      <c r="A435" s="5" t="s">
        <v>1291</v>
      </c>
      <c r="B435" s="5"/>
      <c r="C435" s="5" t="s">
        <v>70</v>
      </c>
      <c r="D435" s="5" t="s">
        <v>44</v>
      </c>
      <c r="E435" s="5"/>
      <c r="F435" s="5"/>
      <c r="G435" s="5"/>
      <c r="H435" s="5"/>
      <c r="I435" s="5"/>
      <c r="J435" s="5"/>
      <c r="K435" s="18" t="s">
        <v>1931</v>
      </c>
      <c r="L435" s="6">
        <f t="shared" si="14"/>
        <v>1</v>
      </c>
      <c r="M435" s="6" t="str">
        <f t="shared" si="13"/>
        <v>No</v>
      </c>
      <c r="N435" s="5"/>
      <c r="O435" s="5" t="s">
        <v>1292</v>
      </c>
      <c r="P435" s="5"/>
      <c r="Q435" s="5"/>
      <c r="R435" s="5"/>
      <c r="S435" s="5"/>
      <c r="T435" s="5"/>
      <c r="U435" s="5" t="s">
        <v>50</v>
      </c>
      <c r="V435" s="5"/>
      <c r="W435" s="5" t="s">
        <v>51</v>
      </c>
      <c r="X435" s="5"/>
      <c r="Y435" s="5"/>
      <c r="Z435" s="5" t="s">
        <v>189</v>
      </c>
    </row>
    <row r="436" spans="1:26" x14ac:dyDescent="0.25">
      <c r="A436" s="5" t="s">
        <v>1293</v>
      </c>
      <c r="B436" s="5"/>
      <c r="C436" s="5" t="s">
        <v>70</v>
      </c>
      <c r="D436" s="5"/>
      <c r="E436" s="5"/>
      <c r="F436" s="5"/>
      <c r="G436" s="5"/>
      <c r="H436" s="5"/>
      <c r="I436" s="5"/>
      <c r="J436" s="5"/>
      <c r="K436" s="18" t="s">
        <v>1931</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1294</v>
      </c>
      <c r="B437" s="5"/>
      <c r="C437" s="5" t="s">
        <v>128</v>
      </c>
      <c r="D437" s="5" t="s">
        <v>76</v>
      </c>
      <c r="E437" s="5" t="s">
        <v>45</v>
      </c>
      <c r="F437" s="5" t="s">
        <v>107</v>
      </c>
      <c r="G437" s="5" t="s">
        <v>57</v>
      </c>
      <c r="H437" s="5" t="s">
        <v>129</v>
      </c>
      <c r="I437" s="5" t="s">
        <v>49</v>
      </c>
      <c r="J437" s="5"/>
      <c r="K437" s="18" t="s">
        <v>1931</v>
      </c>
      <c r="L437" s="6">
        <f t="shared" si="14"/>
        <v>6</v>
      </c>
      <c r="M437" s="6" t="str">
        <f t="shared" si="13"/>
        <v>Yes</v>
      </c>
      <c r="N437" s="5"/>
      <c r="O437" s="5" t="s">
        <v>1295</v>
      </c>
      <c r="P437" s="5"/>
      <c r="Q437" s="5" t="s">
        <v>264</v>
      </c>
      <c r="R437" s="5"/>
      <c r="S437" s="5"/>
      <c r="T437" s="5"/>
      <c r="U437" s="5" t="s">
        <v>66</v>
      </c>
      <c r="V437" s="5"/>
      <c r="W437" s="5" t="s">
        <v>51</v>
      </c>
      <c r="X437" s="5"/>
      <c r="Y437" s="5"/>
      <c r="Z437" s="5"/>
    </row>
    <row r="438" spans="1:26" x14ac:dyDescent="0.25">
      <c r="A438" s="5" t="s">
        <v>1296</v>
      </c>
      <c r="B438" s="5"/>
      <c r="C438" s="5" t="s">
        <v>70</v>
      </c>
      <c r="D438" s="5"/>
      <c r="E438" s="5"/>
      <c r="F438" s="5"/>
      <c r="G438" s="5"/>
      <c r="H438" s="5"/>
      <c r="I438" s="5" t="s">
        <v>123</v>
      </c>
      <c r="J438" s="5"/>
      <c r="K438" s="18" t="s">
        <v>1931</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1297</v>
      </c>
      <c r="B439" s="5"/>
      <c r="C439" s="5" t="s">
        <v>43</v>
      </c>
      <c r="D439" s="5" t="s">
        <v>44</v>
      </c>
      <c r="E439" s="5" t="s">
        <v>45</v>
      </c>
      <c r="F439" s="5" t="s">
        <v>107</v>
      </c>
      <c r="G439" s="5" t="s">
        <v>47</v>
      </c>
      <c r="H439" s="5" t="s">
        <v>63</v>
      </c>
      <c r="I439" s="5" t="s">
        <v>78</v>
      </c>
      <c r="J439" s="5" t="s">
        <v>72</v>
      </c>
      <c r="K439" s="18" t="s">
        <v>1932</v>
      </c>
      <c r="L439" s="6">
        <f t="shared" si="14"/>
        <v>6</v>
      </c>
      <c r="M439" s="6" t="str">
        <f t="shared" si="13"/>
        <v>Yes</v>
      </c>
      <c r="N439" s="5"/>
      <c r="O439" s="5" t="s">
        <v>1298</v>
      </c>
      <c r="P439" s="5"/>
      <c r="Q439" s="5"/>
      <c r="R439" s="5"/>
      <c r="S439" s="5"/>
      <c r="T439" s="5"/>
      <c r="U439" s="5" t="s">
        <v>66</v>
      </c>
      <c r="V439" s="5"/>
      <c r="W439" s="5" t="s">
        <v>51</v>
      </c>
      <c r="X439" s="5"/>
      <c r="Y439" s="5" t="s">
        <v>1112</v>
      </c>
      <c r="Z439" s="5"/>
    </row>
    <row r="440" spans="1:26" x14ac:dyDescent="0.25">
      <c r="A440" s="5" t="s">
        <v>1299</v>
      </c>
      <c r="B440" s="5"/>
      <c r="C440" s="5" t="s">
        <v>70</v>
      </c>
      <c r="D440" s="5" t="s">
        <v>76</v>
      </c>
      <c r="E440" s="5"/>
      <c r="F440" s="5"/>
      <c r="G440" s="5"/>
      <c r="H440" s="5" t="s">
        <v>77</v>
      </c>
      <c r="I440" s="5"/>
      <c r="J440" s="5"/>
      <c r="K440" s="18" t="s">
        <v>1931</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1300</v>
      </c>
      <c r="B441" s="5"/>
      <c r="C441" s="5" t="s">
        <v>43</v>
      </c>
      <c r="D441" s="5" t="s">
        <v>76</v>
      </c>
      <c r="E441" s="5" t="s">
        <v>45</v>
      </c>
      <c r="F441" s="5" t="s">
        <v>46</v>
      </c>
      <c r="G441" s="5" t="s">
        <v>47</v>
      </c>
      <c r="H441" s="5" t="s">
        <v>83</v>
      </c>
      <c r="I441" s="5" t="s">
        <v>119</v>
      </c>
      <c r="J441" s="5"/>
      <c r="K441" s="18" t="s">
        <v>1931</v>
      </c>
      <c r="L441" s="6">
        <f t="shared" si="14"/>
        <v>6</v>
      </c>
      <c r="M441" s="6" t="str">
        <f t="shared" si="13"/>
        <v>Yes</v>
      </c>
      <c r="N441" s="5"/>
      <c r="O441" s="5" t="s">
        <v>1301</v>
      </c>
      <c r="P441" s="5"/>
      <c r="Q441" s="5"/>
      <c r="R441" s="5" t="s">
        <v>119</v>
      </c>
      <c r="S441" s="5"/>
      <c r="T441" s="5"/>
      <c r="U441" s="5" t="s">
        <v>50</v>
      </c>
      <c r="V441" s="5"/>
      <c r="W441" s="5" t="s">
        <v>51</v>
      </c>
      <c r="X441" s="5" t="s">
        <v>83</v>
      </c>
      <c r="Y441" s="5"/>
      <c r="Z441" s="5" t="s">
        <v>1302</v>
      </c>
    </row>
    <row r="442" spans="1:26" x14ac:dyDescent="0.25">
      <c r="A442" s="5" t="s">
        <v>1303</v>
      </c>
      <c r="B442" s="5"/>
      <c r="C442" s="5" t="s">
        <v>43</v>
      </c>
      <c r="D442" s="5" t="s">
        <v>44</v>
      </c>
      <c r="E442" s="5"/>
      <c r="F442" s="5"/>
      <c r="G442" s="5"/>
      <c r="H442" s="5" t="s">
        <v>132</v>
      </c>
      <c r="I442" s="5"/>
      <c r="J442" s="5"/>
      <c r="K442" s="18" t="s">
        <v>1931</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1304</v>
      </c>
      <c r="B443" s="5" t="s">
        <v>1305</v>
      </c>
      <c r="C443" s="5" t="s">
        <v>43</v>
      </c>
      <c r="D443" s="5" t="s">
        <v>44</v>
      </c>
      <c r="E443" s="5" t="s">
        <v>45</v>
      </c>
      <c r="F443" s="5" t="s">
        <v>46</v>
      </c>
      <c r="G443" s="5" t="s">
        <v>47</v>
      </c>
      <c r="H443" s="5" t="s">
        <v>271</v>
      </c>
      <c r="I443" s="5" t="s">
        <v>192</v>
      </c>
      <c r="J443" s="5"/>
      <c r="K443" s="18" t="s">
        <v>1931</v>
      </c>
      <c r="L443" s="6">
        <f t="shared" si="14"/>
        <v>6</v>
      </c>
      <c r="M443" s="6" t="str">
        <f t="shared" si="13"/>
        <v>Yes</v>
      </c>
      <c r="N443" s="5" t="s">
        <v>1306</v>
      </c>
      <c r="O443" s="5" t="s">
        <v>1307</v>
      </c>
      <c r="P443" s="5" t="s">
        <v>43</v>
      </c>
      <c r="Q443" s="5" t="s">
        <v>275</v>
      </c>
      <c r="R443" s="5" t="s">
        <v>386</v>
      </c>
      <c r="S443" s="5"/>
      <c r="T443" s="5"/>
      <c r="U443" s="5" t="s">
        <v>110</v>
      </c>
      <c r="V443" s="5"/>
      <c r="W443" s="5" t="s">
        <v>112</v>
      </c>
      <c r="X443" s="5" t="s">
        <v>271</v>
      </c>
      <c r="Y443" s="5" t="s">
        <v>1224</v>
      </c>
      <c r="Z443" s="5" t="s">
        <v>55</v>
      </c>
    </row>
    <row r="444" spans="1:26" x14ac:dyDescent="0.25">
      <c r="A444" s="5" t="s">
        <v>1308</v>
      </c>
      <c r="B444" s="5"/>
      <c r="C444" s="5"/>
      <c r="D444" s="5"/>
      <c r="E444" s="5"/>
      <c r="F444" s="5"/>
      <c r="G444" s="5"/>
      <c r="H444" s="5" t="s">
        <v>90</v>
      </c>
      <c r="I444" s="5"/>
      <c r="J444" s="5"/>
      <c r="K444" s="18" t="s">
        <v>1931</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1309</v>
      </c>
      <c r="B445" s="5"/>
      <c r="C445" s="5" t="s">
        <v>128</v>
      </c>
      <c r="D445" s="5"/>
      <c r="E445" s="5"/>
      <c r="F445" s="5"/>
      <c r="G445" s="5" t="s">
        <v>57</v>
      </c>
      <c r="H445" s="5" t="s">
        <v>129</v>
      </c>
      <c r="I445" s="5"/>
      <c r="J445" s="5"/>
      <c r="K445" s="18" t="s">
        <v>1931</v>
      </c>
      <c r="L445" s="6">
        <f t="shared" si="14"/>
        <v>2</v>
      </c>
      <c r="M445" s="6" t="str">
        <f t="shared" si="13"/>
        <v>No</v>
      </c>
      <c r="N445" s="5"/>
      <c r="O445" s="5" t="s">
        <v>1310</v>
      </c>
      <c r="P445" s="5" t="s">
        <v>128</v>
      </c>
      <c r="Q445" s="5" t="s">
        <v>130</v>
      </c>
      <c r="R445" s="5"/>
      <c r="S445" s="5"/>
      <c r="T445" s="5"/>
      <c r="U445" s="5" t="s">
        <v>66</v>
      </c>
      <c r="V445" s="5"/>
      <c r="W445" s="5" t="s">
        <v>51</v>
      </c>
      <c r="X445" s="5" t="s">
        <v>129</v>
      </c>
      <c r="Y445" s="5" t="s">
        <v>57</v>
      </c>
      <c r="Z445" s="5"/>
    </row>
    <row r="446" spans="1:26" x14ac:dyDescent="0.25">
      <c r="A446" s="5" t="s">
        <v>1311</v>
      </c>
      <c r="B446" s="5"/>
      <c r="C446" s="5" t="s">
        <v>43</v>
      </c>
      <c r="D446" s="5" t="s">
        <v>44</v>
      </c>
      <c r="E446" s="5" t="s">
        <v>45</v>
      </c>
      <c r="F446" s="5"/>
      <c r="G446" s="5" t="s">
        <v>47</v>
      </c>
      <c r="H446" s="5" t="s">
        <v>58</v>
      </c>
      <c r="I446" s="5"/>
      <c r="J446" s="5"/>
      <c r="K446" s="18" t="s">
        <v>1931</v>
      </c>
      <c r="L446" s="6">
        <f t="shared" si="14"/>
        <v>4</v>
      </c>
      <c r="M446" s="6" t="str">
        <f t="shared" si="13"/>
        <v>No</v>
      </c>
      <c r="N446" s="5" t="s">
        <v>1311</v>
      </c>
      <c r="O446" s="5" t="s">
        <v>1312</v>
      </c>
      <c r="P446" s="5" t="s">
        <v>43</v>
      </c>
      <c r="Q446" s="5"/>
      <c r="R446" s="5"/>
      <c r="S446" s="5"/>
      <c r="T446" s="5"/>
      <c r="U446" s="5" t="s">
        <v>50</v>
      </c>
      <c r="V446" s="5"/>
      <c r="W446" s="5" t="s">
        <v>51</v>
      </c>
      <c r="X446" s="5" t="s">
        <v>63</v>
      </c>
      <c r="Y446" s="5"/>
      <c r="Z446" s="5" t="s">
        <v>1313</v>
      </c>
    </row>
    <row r="447" spans="1:26" x14ac:dyDescent="0.25">
      <c r="A447" s="5" t="s">
        <v>1314</v>
      </c>
      <c r="B447" s="5"/>
      <c r="C447" s="5" t="s">
        <v>43</v>
      </c>
      <c r="D447" s="5"/>
      <c r="E447" s="5" t="s">
        <v>45</v>
      </c>
      <c r="F447" s="5" t="s">
        <v>107</v>
      </c>
      <c r="G447" s="5" t="s">
        <v>47</v>
      </c>
      <c r="H447" s="5"/>
      <c r="I447" s="5"/>
      <c r="J447" s="5"/>
      <c r="K447" s="18" t="s">
        <v>1931</v>
      </c>
      <c r="L447" s="6">
        <f t="shared" si="14"/>
        <v>3</v>
      </c>
      <c r="M447" s="6" t="str">
        <f t="shared" si="13"/>
        <v>No</v>
      </c>
      <c r="N447" s="5" t="s">
        <v>1315</v>
      </c>
      <c r="O447" s="5"/>
      <c r="P447" s="5" t="s">
        <v>43</v>
      </c>
      <c r="Q447" s="5" t="s">
        <v>68</v>
      </c>
      <c r="R447" s="5"/>
      <c r="S447" s="5"/>
      <c r="T447" s="5"/>
      <c r="U447" s="5" t="s">
        <v>66</v>
      </c>
      <c r="V447" s="5"/>
      <c r="W447" s="5" t="s">
        <v>51</v>
      </c>
      <c r="X447" s="5"/>
      <c r="Y447" s="5" t="s">
        <v>67</v>
      </c>
      <c r="Z447" s="5" t="s">
        <v>392</v>
      </c>
    </row>
    <row r="448" spans="1:26" x14ac:dyDescent="0.25">
      <c r="A448" s="5" t="s">
        <v>1316</v>
      </c>
      <c r="B448" s="5"/>
      <c r="C448" s="5" t="s">
        <v>43</v>
      </c>
      <c r="D448" s="5" t="s">
        <v>76</v>
      </c>
      <c r="E448" s="5"/>
      <c r="F448" s="5"/>
      <c r="G448" s="5" t="s">
        <v>47</v>
      </c>
      <c r="H448" s="5" t="s">
        <v>77</v>
      </c>
      <c r="I448" s="5" t="s">
        <v>119</v>
      </c>
      <c r="J448" s="5" t="s">
        <v>71</v>
      </c>
      <c r="K448" s="18" t="s">
        <v>1931</v>
      </c>
      <c r="L448" s="6">
        <f t="shared" si="14"/>
        <v>4</v>
      </c>
      <c r="M448" s="6" t="str">
        <f t="shared" si="13"/>
        <v>No</v>
      </c>
      <c r="N448" s="5"/>
      <c r="O448" s="5" t="s">
        <v>1317</v>
      </c>
      <c r="P448" s="5" t="s">
        <v>43</v>
      </c>
      <c r="Q448" s="5"/>
      <c r="R448" s="5" t="s">
        <v>343</v>
      </c>
      <c r="S448" s="5"/>
      <c r="T448" s="5"/>
      <c r="U448" s="5" t="s">
        <v>50</v>
      </c>
      <c r="V448" s="5"/>
      <c r="W448" s="5" t="s">
        <v>51</v>
      </c>
      <c r="X448" s="5" t="s">
        <v>77</v>
      </c>
      <c r="Y448" s="5" t="s">
        <v>181</v>
      </c>
      <c r="Z448" s="5" t="s">
        <v>352</v>
      </c>
    </row>
    <row r="449" spans="1:26" x14ac:dyDescent="0.25">
      <c r="A449" s="5" t="s">
        <v>1318</v>
      </c>
      <c r="B449" s="5"/>
      <c r="C449" s="5" t="s">
        <v>43</v>
      </c>
      <c r="D449" s="5" t="s">
        <v>44</v>
      </c>
      <c r="E449" s="5"/>
      <c r="F449" s="5"/>
      <c r="G449" s="5"/>
      <c r="H449" s="5" t="s">
        <v>493</v>
      </c>
      <c r="I449" s="5" t="s">
        <v>49</v>
      </c>
      <c r="J449" s="5"/>
      <c r="K449" s="18" t="s">
        <v>1931</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1319</v>
      </c>
      <c r="B450" s="5"/>
      <c r="C450" s="5" t="s">
        <v>43</v>
      </c>
      <c r="D450" s="5" t="s">
        <v>76</v>
      </c>
      <c r="E450" s="5" t="s">
        <v>45</v>
      </c>
      <c r="F450" s="5" t="s">
        <v>107</v>
      </c>
      <c r="G450" s="5" t="s">
        <v>47</v>
      </c>
      <c r="H450" s="5" t="s">
        <v>77</v>
      </c>
      <c r="I450" s="5" t="s">
        <v>119</v>
      </c>
      <c r="J450" s="5"/>
      <c r="K450" s="18" t="s">
        <v>1931</v>
      </c>
      <c r="L450" s="6">
        <f t="shared" si="14"/>
        <v>6</v>
      </c>
      <c r="M450" s="6" t="str">
        <f t="shared" ref="M450:M513" si="15">IF(A450="","",IF(AND(L450=6,UPPER(S450)&lt;&gt;"Y",C450&lt;&gt;""),"Yes","No"))</f>
        <v>Yes</v>
      </c>
      <c r="N450" s="5"/>
      <c r="O450" s="5" t="s">
        <v>1320</v>
      </c>
      <c r="P450" s="5"/>
      <c r="Q450" s="5"/>
      <c r="R450" s="5" t="s">
        <v>119</v>
      </c>
      <c r="S450" s="5"/>
      <c r="T450" s="5"/>
      <c r="U450" s="5" t="s">
        <v>50</v>
      </c>
      <c r="V450" s="5"/>
      <c r="W450" s="5" t="s">
        <v>51</v>
      </c>
      <c r="X450" s="5" t="s">
        <v>77</v>
      </c>
      <c r="Y450" s="5"/>
      <c r="Z450" s="5" t="s">
        <v>1302</v>
      </c>
    </row>
    <row r="451" spans="1:26" x14ac:dyDescent="0.25">
      <c r="A451" s="5" t="s">
        <v>1321</v>
      </c>
      <c r="B451" s="5"/>
      <c r="C451" s="5" t="s">
        <v>128</v>
      </c>
      <c r="D451" s="5"/>
      <c r="E451" s="5"/>
      <c r="F451" s="5"/>
      <c r="G451" s="5" t="s">
        <v>57</v>
      </c>
      <c r="H451" s="5" t="s">
        <v>1322</v>
      </c>
      <c r="I451" s="5"/>
      <c r="J451" s="5"/>
      <c r="K451" s="18" t="s">
        <v>1931</v>
      </c>
      <c r="L451" s="6">
        <f t="shared" si="14"/>
        <v>2</v>
      </c>
      <c r="M451" s="6" t="str">
        <f t="shared" si="15"/>
        <v>No</v>
      </c>
      <c r="N451" s="5"/>
      <c r="O451" s="5"/>
      <c r="P451" s="5" t="s">
        <v>128</v>
      </c>
      <c r="Q451" s="5" t="s">
        <v>1323</v>
      </c>
      <c r="R451" s="5"/>
      <c r="S451" s="5"/>
      <c r="T451" s="5"/>
      <c r="U451" s="5" t="s">
        <v>66</v>
      </c>
      <c r="V451" s="5"/>
      <c r="W451" s="5" t="s">
        <v>51</v>
      </c>
      <c r="X451" s="5" t="s">
        <v>1322</v>
      </c>
      <c r="Y451" s="5" t="s">
        <v>57</v>
      </c>
      <c r="Z451" s="5"/>
    </row>
    <row r="452" spans="1:26" x14ac:dyDescent="0.25">
      <c r="A452" s="5" t="s">
        <v>1324</v>
      </c>
      <c r="B452" s="5"/>
      <c r="C452" s="5" t="s">
        <v>128</v>
      </c>
      <c r="D452" s="5"/>
      <c r="E452" s="5"/>
      <c r="F452" s="5"/>
      <c r="G452" s="5" t="s">
        <v>57</v>
      </c>
      <c r="H452" s="5" t="s">
        <v>1322</v>
      </c>
      <c r="I452" s="5"/>
      <c r="J452" s="5"/>
      <c r="K452" s="18" t="s">
        <v>1931</v>
      </c>
      <c r="L452" s="6">
        <f t="shared" si="14"/>
        <v>2</v>
      </c>
      <c r="M452" s="6" t="str">
        <f t="shared" si="15"/>
        <v>No</v>
      </c>
      <c r="N452" s="5"/>
      <c r="O452" s="5"/>
      <c r="P452" s="5" t="s">
        <v>128</v>
      </c>
      <c r="Q452" s="5" t="s">
        <v>1323</v>
      </c>
      <c r="R452" s="5"/>
      <c r="S452" s="5"/>
      <c r="T452" s="5"/>
      <c r="U452" s="5" t="s">
        <v>66</v>
      </c>
      <c r="V452" s="5"/>
      <c r="W452" s="5" t="s">
        <v>51</v>
      </c>
      <c r="X452" s="5" t="s">
        <v>1322</v>
      </c>
      <c r="Y452" s="5" t="s">
        <v>57</v>
      </c>
      <c r="Z452" s="5"/>
    </row>
    <row r="453" spans="1:26" x14ac:dyDescent="0.25">
      <c r="A453" s="5" t="s">
        <v>1325</v>
      </c>
      <c r="B453" s="5"/>
      <c r="C453" s="5" t="s">
        <v>43</v>
      </c>
      <c r="D453" s="5" t="s">
        <v>76</v>
      </c>
      <c r="E453" s="5"/>
      <c r="F453" s="5"/>
      <c r="G453" s="5"/>
      <c r="H453" s="5" t="s">
        <v>83</v>
      </c>
      <c r="I453" s="5" t="s">
        <v>192</v>
      </c>
      <c r="J453" s="5" t="s">
        <v>91</v>
      </c>
      <c r="K453" s="18" t="s">
        <v>1931</v>
      </c>
      <c r="L453" s="6">
        <f t="shared" si="14"/>
        <v>3</v>
      </c>
      <c r="M453" s="6" t="str">
        <f t="shared" si="15"/>
        <v>No</v>
      </c>
      <c r="N453" s="5"/>
      <c r="O453" s="5" t="s">
        <v>1327</v>
      </c>
      <c r="P453" s="5" t="s">
        <v>43</v>
      </c>
      <c r="Q453" s="5"/>
      <c r="R453" s="5" t="s">
        <v>1326</v>
      </c>
      <c r="S453" s="5"/>
      <c r="T453" s="5"/>
      <c r="U453" s="5" t="s">
        <v>50</v>
      </c>
      <c r="V453" s="5"/>
      <c r="W453" s="5" t="s">
        <v>51</v>
      </c>
      <c r="X453" s="5"/>
      <c r="Y453" s="5"/>
      <c r="Z453" s="5" t="s">
        <v>1328</v>
      </c>
    </row>
    <row r="454" spans="1:26" x14ac:dyDescent="0.25">
      <c r="A454" s="5" t="s">
        <v>1329</v>
      </c>
      <c r="B454" s="5"/>
      <c r="C454" s="5" t="s">
        <v>43</v>
      </c>
      <c r="D454" s="5" t="s">
        <v>44</v>
      </c>
      <c r="E454" s="5"/>
      <c r="F454" s="5"/>
      <c r="G454" s="5" t="s">
        <v>47</v>
      </c>
      <c r="H454" s="5" t="s">
        <v>493</v>
      </c>
      <c r="I454" s="5"/>
      <c r="J454" s="5"/>
      <c r="K454" s="18" t="s">
        <v>1931</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1330</v>
      </c>
      <c r="B455" s="5"/>
      <c r="C455" s="5" t="s">
        <v>43</v>
      </c>
      <c r="D455" s="5" t="s">
        <v>76</v>
      </c>
      <c r="E455" s="5" t="s">
        <v>45</v>
      </c>
      <c r="F455" s="5" t="s">
        <v>107</v>
      </c>
      <c r="G455" s="5"/>
      <c r="H455" s="5" t="s">
        <v>149</v>
      </c>
      <c r="I455" s="5"/>
      <c r="J455" s="5"/>
      <c r="K455" s="18" t="s">
        <v>1931</v>
      </c>
      <c r="L455" s="6">
        <f t="shared" si="14"/>
        <v>4</v>
      </c>
      <c r="M455" s="6" t="str">
        <f t="shared" si="15"/>
        <v>No</v>
      </c>
      <c r="N455" s="5" t="s">
        <v>1331</v>
      </c>
      <c r="O455" s="5" t="s">
        <v>1332</v>
      </c>
      <c r="P455" s="5" t="s">
        <v>43</v>
      </c>
      <c r="Q455" s="5"/>
      <c r="R455" s="5"/>
      <c r="S455" s="5"/>
      <c r="T455" s="5"/>
      <c r="U455" s="5" t="s">
        <v>50</v>
      </c>
      <c r="V455" s="5"/>
      <c r="W455" s="5" t="s">
        <v>51</v>
      </c>
      <c r="X455" s="5" t="s">
        <v>149</v>
      </c>
      <c r="Y455" s="5"/>
      <c r="Z455" s="5" t="s">
        <v>1333</v>
      </c>
    </row>
    <row r="456" spans="1:26" x14ac:dyDescent="0.25">
      <c r="A456" s="5" t="s">
        <v>1334</v>
      </c>
      <c r="B456" s="5"/>
      <c r="C456" s="5" t="s">
        <v>70</v>
      </c>
      <c r="D456" s="5" t="s">
        <v>76</v>
      </c>
      <c r="E456" s="5"/>
      <c r="F456" s="5"/>
      <c r="G456" s="5"/>
      <c r="H456" s="5" t="s">
        <v>154</v>
      </c>
      <c r="I456" s="5"/>
      <c r="J456" s="5"/>
      <c r="K456" s="18" t="s">
        <v>1931</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1335</v>
      </c>
      <c r="B457" s="5"/>
      <c r="C457" s="5" t="s">
        <v>70</v>
      </c>
      <c r="D457" s="5" t="s">
        <v>76</v>
      </c>
      <c r="E457" s="5" t="s">
        <v>45</v>
      </c>
      <c r="F457" s="5" t="s">
        <v>46</v>
      </c>
      <c r="G457" s="5" t="s">
        <v>57</v>
      </c>
      <c r="H457" s="5" t="s">
        <v>1856</v>
      </c>
      <c r="I457" s="5" t="s">
        <v>49</v>
      </c>
      <c r="J457" s="5"/>
      <c r="K457" s="18" t="s">
        <v>1931</v>
      </c>
      <c r="L457" s="6">
        <f t="shared" si="14"/>
        <v>6</v>
      </c>
      <c r="M457" s="6" t="str">
        <f t="shared" si="15"/>
        <v>Yes</v>
      </c>
      <c r="N457" s="5"/>
      <c r="O457" s="5"/>
      <c r="P457" s="5"/>
      <c r="Q457" s="5"/>
      <c r="R457" s="5" t="s">
        <v>49</v>
      </c>
      <c r="S457" s="5"/>
      <c r="T457" s="5"/>
      <c r="U457" s="5" t="s">
        <v>124</v>
      </c>
      <c r="V457" s="5"/>
      <c r="W457" s="5" t="s">
        <v>125</v>
      </c>
      <c r="X457" s="5"/>
      <c r="Y457" s="5" t="s">
        <v>47</v>
      </c>
      <c r="Z457" s="5" t="s">
        <v>1265</v>
      </c>
    </row>
    <row r="458" spans="1:26" x14ac:dyDescent="0.25">
      <c r="A458" s="5" t="s">
        <v>1336</v>
      </c>
      <c r="B458" s="5"/>
      <c r="C458" s="5"/>
      <c r="D458" s="5"/>
      <c r="E458" s="5" t="s">
        <v>45</v>
      </c>
      <c r="F458" s="5" t="s">
        <v>107</v>
      </c>
      <c r="G458" s="5"/>
      <c r="H458" s="5" t="s">
        <v>83</v>
      </c>
      <c r="I458" s="5" t="s">
        <v>49</v>
      </c>
      <c r="J458" s="5"/>
      <c r="K458" s="18" t="s">
        <v>1931</v>
      </c>
      <c r="L458" s="6">
        <f t="shared" si="14"/>
        <v>4</v>
      </c>
      <c r="M458" s="6" t="str">
        <f t="shared" si="15"/>
        <v>No</v>
      </c>
      <c r="N458" s="5" t="s">
        <v>1338</v>
      </c>
      <c r="O458" s="5" t="s">
        <v>1339</v>
      </c>
      <c r="P458" s="5" t="s">
        <v>105</v>
      </c>
      <c r="Q458" s="5"/>
      <c r="R458" s="5" t="s">
        <v>1337</v>
      </c>
      <c r="S458" s="5"/>
      <c r="T458" s="5"/>
      <c r="U458" s="5" t="s">
        <v>66</v>
      </c>
      <c r="V458" s="5" t="s">
        <v>103</v>
      </c>
      <c r="W458" s="5" t="s">
        <v>51</v>
      </c>
      <c r="X458" s="5" t="s">
        <v>83</v>
      </c>
      <c r="Y458" s="5"/>
      <c r="Z458" s="5" t="s">
        <v>167</v>
      </c>
    </row>
    <row r="459" spans="1:26" x14ac:dyDescent="0.25">
      <c r="A459" s="5" t="s">
        <v>1340</v>
      </c>
      <c r="B459" s="5"/>
      <c r="C459" s="5" t="s">
        <v>43</v>
      </c>
      <c r="D459" s="5" t="s">
        <v>44</v>
      </c>
      <c r="E459" s="5" t="s">
        <v>45</v>
      </c>
      <c r="F459" s="5" t="s">
        <v>107</v>
      </c>
      <c r="G459" s="5" t="s">
        <v>57</v>
      </c>
      <c r="H459" s="5" t="s">
        <v>1858</v>
      </c>
      <c r="I459" s="5" t="s">
        <v>78</v>
      </c>
      <c r="J459" s="5"/>
      <c r="K459" s="18" t="s">
        <v>1931</v>
      </c>
      <c r="L459" s="6">
        <f t="shared" si="14"/>
        <v>6</v>
      </c>
      <c r="M459" s="6" t="str">
        <f t="shared" si="15"/>
        <v>Yes</v>
      </c>
      <c r="N459" s="5"/>
      <c r="O459" s="5" t="s">
        <v>1341</v>
      </c>
      <c r="P459" s="5" t="s">
        <v>43</v>
      </c>
      <c r="Q459" s="5" t="s">
        <v>68</v>
      </c>
      <c r="R459" s="5" t="s">
        <v>78</v>
      </c>
      <c r="S459" s="5"/>
      <c r="T459" s="5"/>
      <c r="U459" s="5" t="s">
        <v>50</v>
      </c>
      <c r="V459" s="5"/>
      <c r="W459" s="5" t="s">
        <v>51</v>
      </c>
      <c r="X459" s="5" t="s">
        <v>99</v>
      </c>
      <c r="Y459" s="5"/>
      <c r="Z459" s="5" t="s">
        <v>81</v>
      </c>
    </row>
    <row r="460" spans="1:26" x14ac:dyDescent="0.25">
      <c r="A460" s="5" t="s">
        <v>1342</v>
      </c>
      <c r="B460" s="5"/>
      <c r="C460" s="5" t="s">
        <v>43</v>
      </c>
      <c r="D460" s="5"/>
      <c r="E460" s="5"/>
      <c r="F460" s="5"/>
      <c r="G460" s="5"/>
      <c r="H460" s="5" t="s">
        <v>58</v>
      </c>
      <c r="I460" s="5"/>
      <c r="J460" s="5"/>
      <c r="K460" s="18" t="s">
        <v>1931</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1343</v>
      </c>
      <c r="B461" s="5"/>
      <c r="C461" s="5" t="s">
        <v>43</v>
      </c>
      <c r="D461" s="5" t="s">
        <v>44</v>
      </c>
      <c r="E461" s="5" t="s">
        <v>45</v>
      </c>
      <c r="F461" s="5" t="s">
        <v>46</v>
      </c>
      <c r="G461" s="5" t="s">
        <v>57</v>
      </c>
      <c r="H461" s="5" t="s">
        <v>572</v>
      </c>
      <c r="I461" s="5" t="s">
        <v>123</v>
      </c>
      <c r="J461" s="5"/>
      <c r="K461" s="18" t="s">
        <v>1931</v>
      </c>
      <c r="L461" s="6">
        <f t="shared" si="14"/>
        <v>6</v>
      </c>
      <c r="M461" s="6" t="str">
        <f t="shared" si="15"/>
        <v>Yes</v>
      </c>
      <c r="N461" s="5" t="s">
        <v>1346</v>
      </c>
      <c r="O461" s="5" t="s">
        <v>1347</v>
      </c>
      <c r="P461" s="5" t="s">
        <v>43</v>
      </c>
      <c r="Q461" s="5"/>
      <c r="R461" s="5" t="s">
        <v>1344</v>
      </c>
      <c r="S461" s="5"/>
      <c r="T461" s="5"/>
      <c r="U461" s="5" t="s">
        <v>50</v>
      </c>
      <c r="V461" s="5" t="s">
        <v>1345</v>
      </c>
      <c r="W461" s="5" t="s">
        <v>51</v>
      </c>
      <c r="X461" s="5" t="s">
        <v>1348</v>
      </c>
      <c r="Y461" s="5" t="s">
        <v>1349</v>
      </c>
      <c r="Z461" s="5" t="s">
        <v>412</v>
      </c>
    </row>
    <row r="462" spans="1:26" x14ac:dyDescent="0.25">
      <c r="A462" s="5" t="s">
        <v>1350</v>
      </c>
      <c r="B462" s="5"/>
      <c r="C462" s="5"/>
      <c r="D462" s="5"/>
      <c r="E462" s="5" t="s">
        <v>45</v>
      </c>
      <c r="F462" s="5" t="s">
        <v>46</v>
      </c>
      <c r="G462" s="5"/>
      <c r="H462" s="5" t="s">
        <v>557</v>
      </c>
      <c r="I462" s="5"/>
      <c r="J462" s="5"/>
      <c r="K462" s="18" t="s">
        <v>1931</v>
      </c>
      <c r="L462" s="6">
        <f t="shared" si="14"/>
        <v>3</v>
      </c>
      <c r="M462" s="6" t="str">
        <f t="shared" si="15"/>
        <v>No</v>
      </c>
      <c r="N462" s="5" t="s">
        <v>1351</v>
      </c>
      <c r="O462" s="5" t="s">
        <v>1352</v>
      </c>
      <c r="P462" s="5" t="s">
        <v>105</v>
      </c>
      <c r="Q462" s="5"/>
      <c r="R462" s="5"/>
      <c r="S462" s="5"/>
      <c r="T462" s="5"/>
      <c r="U462" s="5" t="s">
        <v>66</v>
      </c>
      <c r="V462" s="5" t="s">
        <v>103</v>
      </c>
      <c r="W462" s="5" t="s">
        <v>51</v>
      </c>
      <c r="X462" s="5" t="s">
        <v>557</v>
      </c>
      <c r="Y462" s="5"/>
      <c r="Z462" s="5" t="s">
        <v>392</v>
      </c>
    </row>
    <row r="463" spans="1:26" x14ac:dyDescent="0.25">
      <c r="A463" s="5" t="s">
        <v>1353</v>
      </c>
      <c r="B463" s="5"/>
      <c r="C463" s="5" t="s">
        <v>70</v>
      </c>
      <c r="D463" s="5" t="s">
        <v>44</v>
      </c>
      <c r="E463" s="5"/>
      <c r="F463" s="5"/>
      <c r="G463" s="5" t="s">
        <v>57</v>
      </c>
      <c r="H463" s="5" t="s">
        <v>700</v>
      </c>
      <c r="I463" s="5" t="s">
        <v>49</v>
      </c>
      <c r="J463" s="5"/>
      <c r="K463" s="18" t="s">
        <v>1931</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1354</v>
      </c>
      <c r="B464" s="5"/>
      <c r="C464" s="5" t="s">
        <v>70</v>
      </c>
      <c r="D464" s="5" t="s">
        <v>76</v>
      </c>
      <c r="E464" s="5" t="s">
        <v>331</v>
      </c>
      <c r="F464" s="5"/>
      <c r="G464" s="5"/>
      <c r="H464" s="5" t="s">
        <v>332</v>
      </c>
      <c r="I464" s="5"/>
      <c r="J464" s="5"/>
      <c r="K464" s="18" t="s">
        <v>1931</v>
      </c>
      <c r="L464" s="6">
        <f t="shared" si="14"/>
        <v>3</v>
      </c>
      <c r="M464" s="6" t="str">
        <f t="shared" si="15"/>
        <v>No</v>
      </c>
      <c r="N464" s="5"/>
      <c r="O464" s="5" t="s">
        <v>1355</v>
      </c>
      <c r="P464" s="5"/>
      <c r="Q464" s="5"/>
      <c r="R464" s="5"/>
      <c r="S464" s="5"/>
      <c r="T464" s="5"/>
      <c r="U464" s="5" t="s">
        <v>50</v>
      </c>
      <c r="V464" s="5"/>
      <c r="W464" s="5" t="s">
        <v>51</v>
      </c>
      <c r="X464" s="5" t="s">
        <v>332</v>
      </c>
      <c r="Y464" s="5"/>
      <c r="Z464" s="5" t="s">
        <v>333</v>
      </c>
    </row>
    <row r="465" spans="1:26" x14ac:dyDescent="0.25">
      <c r="A465" s="5" t="s">
        <v>1356</v>
      </c>
      <c r="B465" s="5"/>
      <c r="C465" s="5" t="s">
        <v>43</v>
      </c>
      <c r="D465" s="5" t="s">
        <v>44</v>
      </c>
      <c r="E465" s="5"/>
      <c r="F465" s="5"/>
      <c r="G465" s="5" t="s">
        <v>57</v>
      </c>
      <c r="H465" s="5" t="s">
        <v>77</v>
      </c>
      <c r="I465" s="5" t="s">
        <v>192</v>
      </c>
      <c r="J465" s="5" t="s">
        <v>178</v>
      </c>
      <c r="K465" s="18" t="s">
        <v>1931</v>
      </c>
      <c r="L465" s="6">
        <f t="shared" si="14"/>
        <v>4</v>
      </c>
      <c r="M465" s="6" t="str">
        <f t="shared" si="15"/>
        <v>No</v>
      </c>
      <c r="N465" s="5"/>
      <c r="O465" s="5" t="s">
        <v>1358</v>
      </c>
      <c r="P465" s="5" t="s">
        <v>43</v>
      </c>
      <c r="Q465" s="5"/>
      <c r="R465" s="5" t="s">
        <v>1357</v>
      </c>
      <c r="S465" s="5"/>
      <c r="T465" s="5"/>
      <c r="U465" s="5" t="s">
        <v>50</v>
      </c>
      <c r="V465" s="5"/>
      <c r="W465" s="5" t="s">
        <v>51</v>
      </c>
      <c r="X465" s="5" t="s">
        <v>77</v>
      </c>
      <c r="Y465" s="5"/>
      <c r="Z465" s="5" t="s">
        <v>94</v>
      </c>
    </row>
    <row r="466" spans="1:26" x14ac:dyDescent="0.25">
      <c r="A466" s="5" t="s">
        <v>1359</v>
      </c>
      <c r="B466" s="5"/>
      <c r="C466" s="5" t="s">
        <v>43</v>
      </c>
      <c r="D466" s="5"/>
      <c r="E466" s="5" t="s">
        <v>45</v>
      </c>
      <c r="F466" s="5" t="s">
        <v>107</v>
      </c>
      <c r="G466" s="5" t="s">
        <v>47</v>
      </c>
      <c r="H466" s="5"/>
      <c r="I466" s="5"/>
      <c r="J466" s="5"/>
      <c r="K466" s="18" t="s">
        <v>1931</v>
      </c>
      <c r="L466" s="6">
        <f t="shared" si="14"/>
        <v>3</v>
      </c>
      <c r="M466" s="6" t="str">
        <f t="shared" si="15"/>
        <v>No</v>
      </c>
      <c r="N466" s="5" t="s">
        <v>1360</v>
      </c>
      <c r="O466" s="5"/>
      <c r="P466" s="5" t="s">
        <v>43</v>
      </c>
      <c r="Q466" s="5" t="s">
        <v>68</v>
      </c>
      <c r="R466" s="5"/>
      <c r="S466" s="5"/>
      <c r="T466" s="5"/>
      <c r="U466" s="5" t="s">
        <v>66</v>
      </c>
      <c r="V466" s="5"/>
      <c r="W466" s="5" t="s">
        <v>51</v>
      </c>
      <c r="X466" s="5"/>
      <c r="Y466" s="5" t="s">
        <v>67</v>
      </c>
      <c r="Z466" s="5" t="s">
        <v>392</v>
      </c>
    </row>
    <row r="467" spans="1:26" x14ac:dyDescent="0.25">
      <c r="A467" s="5" t="s">
        <v>1361</v>
      </c>
      <c r="B467" s="5"/>
      <c r="C467" s="5" t="s">
        <v>43</v>
      </c>
      <c r="D467" s="5"/>
      <c r="E467" s="5"/>
      <c r="F467" s="5"/>
      <c r="G467" s="5"/>
      <c r="H467" s="5" t="s">
        <v>1362</v>
      </c>
      <c r="I467" s="5" t="s">
        <v>49</v>
      </c>
      <c r="J467" s="5"/>
      <c r="K467" s="18" t="s">
        <v>1931</v>
      </c>
      <c r="L467" s="6">
        <f t="shared" ref="L467:L531" si="16">IF(A467="","",COUNTA(D467:F467)+COUNTA(G467:G467)+COUNTA(H467:H467)+COUNTA(I467:I467))</f>
        <v>2</v>
      </c>
      <c r="M467" s="6" t="str">
        <f t="shared" si="15"/>
        <v>No</v>
      </c>
      <c r="N467" s="5"/>
      <c r="O467" s="5" t="s">
        <v>1363</v>
      </c>
      <c r="P467" s="5" t="s">
        <v>43</v>
      </c>
      <c r="Q467" s="5" t="s">
        <v>1364</v>
      </c>
      <c r="R467" s="5" t="s">
        <v>49</v>
      </c>
      <c r="S467" s="5"/>
      <c r="T467" s="5"/>
      <c r="U467" s="5" t="s">
        <v>50</v>
      </c>
      <c r="V467" s="5"/>
      <c r="W467" s="5" t="s">
        <v>51</v>
      </c>
      <c r="X467" s="5" t="s">
        <v>1362</v>
      </c>
      <c r="Y467" s="5"/>
      <c r="Z467" s="5" t="s">
        <v>587</v>
      </c>
    </row>
    <row r="468" spans="1:26" x14ac:dyDescent="0.25">
      <c r="A468" s="5" t="s">
        <v>1365</v>
      </c>
      <c r="B468" s="5"/>
      <c r="C468" s="5" t="s">
        <v>43</v>
      </c>
      <c r="D468" s="5" t="s">
        <v>76</v>
      </c>
      <c r="E468" s="5"/>
      <c r="F468" s="5" t="s">
        <v>46</v>
      </c>
      <c r="G468" s="5" t="s">
        <v>57</v>
      </c>
      <c r="H468" s="5" t="s">
        <v>83</v>
      </c>
      <c r="I468" s="5" t="s">
        <v>78</v>
      </c>
      <c r="J468" s="5"/>
      <c r="K468" s="18" t="s">
        <v>1931</v>
      </c>
      <c r="L468" s="6">
        <f t="shared" si="16"/>
        <v>5</v>
      </c>
      <c r="M468" s="6" t="str">
        <f t="shared" si="15"/>
        <v>No</v>
      </c>
      <c r="N468" s="5"/>
      <c r="O468" s="5" t="s">
        <v>1366</v>
      </c>
      <c r="P468" s="5" t="s">
        <v>43</v>
      </c>
      <c r="Q468" s="5"/>
      <c r="R468" s="5" t="s">
        <v>78</v>
      </c>
      <c r="S468" s="5"/>
      <c r="T468" s="5"/>
      <c r="U468" s="5" t="s">
        <v>50</v>
      </c>
      <c r="V468" s="5"/>
      <c r="W468" s="5" t="s">
        <v>51</v>
      </c>
      <c r="X468" s="5" t="s">
        <v>83</v>
      </c>
      <c r="Y468" s="5"/>
      <c r="Z468" s="5" t="s">
        <v>81</v>
      </c>
    </row>
    <row r="469" spans="1:26" x14ac:dyDescent="0.25">
      <c r="A469" s="5" t="s">
        <v>1367</v>
      </c>
      <c r="B469" s="5"/>
      <c r="C469" s="5"/>
      <c r="D469" s="5"/>
      <c r="E469" s="5" t="s">
        <v>331</v>
      </c>
      <c r="F469" s="5"/>
      <c r="G469" s="5"/>
      <c r="H469" s="5"/>
      <c r="I469" s="5"/>
      <c r="J469" s="5"/>
      <c r="K469" s="18" t="s">
        <v>1931</v>
      </c>
      <c r="L469" s="6">
        <f t="shared" si="16"/>
        <v>1</v>
      </c>
      <c r="M469" s="6" t="str">
        <f t="shared" si="15"/>
        <v>No</v>
      </c>
      <c r="N469" s="5"/>
      <c r="O469" s="5" t="s">
        <v>331</v>
      </c>
      <c r="P469" s="5"/>
      <c r="Q469" s="5"/>
      <c r="R469" s="5"/>
      <c r="S469" s="5"/>
      <c r="T469" s="5"/>
      <c r="U469" s="5" t="s">
        <v>66</v>
      </c>
      <c r="V469" s="5"/>
      <c r="W469" s="5" t="s">
        <v>51</v>
      </c>
      <c r="X469" s="5"/>
      <c r="Y469" s="5"/>
      <c r="Z469" s="5" t="s">
        <v>1368</v>
      </c>
    </row>
    <row r="470" spans="1:26" x14ac:dyDescent="0.25">
      <c r="A470" s="5" t="s">
        <v>1369</v>
      </c>
      <c r="B470" s="5"/>
      <c r="C470" s="5" t="s">
        <v>70</v>
      </c>
      <c r="D470" s="5"/>
      <c r="E470" s="5"/>
      <c r="F470" s="5"/>
      <c r="G470" s="5" t="s">
        <v>47</v>
      </c>
      <c r="H470" s="5"/>
      <c r="I470" s="5"/>
      <c r="J470" s="5"/>
      <c r="K470" s="18" t="s">
        <v>1931</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1370</v>
      </c>
      <c r="B471" s="5" t="s">
        <v>1371</v>
      </c>
      <c r="C471" s="5" t="s">
        <v>70</v>
      </c>
      <c r="D471" s="5"/>
      <c r="E471" s="5" t="s">
        <v>593</v>
      </c>
      <c r="F471" s="5"/>
      <c r="G471" s="5" t="s">
        <v>47</v>
      </c>
      <c r="H471" s="5"/>
      <c r="I471" s="5" t="s">
        <v>59</v>
      </c>
      <c r="J471" s="5" t="s">
        <v>133</v>
      </c>
      <c r="K471" s="18" t="s">
        <v>1931</v>
      </c>
      <c r="L471" s="6">
        <f t="shared" si="16"/>
        <v>3</v>
      </c>
      <c r="M471" s="6" t="str">
        <f t="shared" si="15"/>
        <v>No</v>
      </c>
      <c r="N471" s="5"/>
      <c r="O471" s="5"/>
      <c r="P471" s="5"/>
      <c r="Q471" s="5"/>
      <c r="R471" s="5" t="s">
        <v>1372</v>
      </c>
      <c r="S471" s="5"/>
      <c r="T471" s="5"/>
      <c r="U471" s="5" t="s">
        <v>254</v>
      </c>
      <c r="V471" s="5"/>
      <c r="W471" s="5" t="s">
        <v>255</v>
      </c>
      <c r="X471" s="5"/>
      <c r="Y471" s="5"/>
      <c r="Z471" s="5" t="s">
        <v>256</v>
      </c>
    </row>
    <row r="472" spans="1:26" x14ac:dyDescent="0.25">
      <c r="A472" s="5" t="s">
        <v>1373</v>
      </c>
      <c r="B472" s="5"/>
      <c r="C472" s="5" t="s">
        <v>43</v>
      </c>
      <c r="D472" s="5" t="s">
        <v>44</v>
      </c>
      <c r="E472" s="5" t="s">
        <v>45</v>
      </c>
      <c r="F472" s="5" t="s">
        <v>107</v>
      </c>
      <c r="G472" s="5" t="s">
        <v>47</v>
      </c>
      <c r="H472" s="5" t="s">
        <v>313</v>
      </c>
      <c r="I472" s="5" t="s">
        <v>91</v>
      </c>
      <c r="J472" s="5" t="s">
        <v>193</v>
      </c>
      <c r="K472" s="18" t="s">
        <v>1931</v>
      </c>
      <c r="L472" s="6">
        <f t="shared" si="16"/>
        <v>6</v>
      </c>
      <c r="M472" s="6" t="str">
        <f t="shared" si="15"/>
        <v>Yes</v>
      </c>
      <c r="N472" s="5"/>
      <c r="O472" s="5" t="s">
        <v>1374</v>
      </c>
      <c r="P472" s="5" t="s">
        <v>43</v>
      </c>
      <c r="Q472" s="5"/>
      <c r="R472" s="5" t="s">
        <v>91</v>
      </c>
      <c r="S472" s="5"/>
      <c r="T472" s="5"/>
      <c r="U472" s="5" t="s">
        <v>50</v>
      </c>
      <c r="V472" s="5"/>
      <c r="W472" s="5" t="s">
        <v>51</v>
      </c>
      <c r="X472" s="5" t="s">
        <v>316</v>
      </c>
      <c r="Y472" s="5"/>
      <c r="Z472" s="5" t="s">
        <v>94</v>
      </c>
    </row>
    <row r="473" spans="1:26" x14ac:dyDescent="0.25">
      <c r="A473" s="5" t="s">
        <v>1375</v>
      </c>
      <c r="B473" s="5"/>
      <c r="C473" s="5" t="s">
        <v>43</v>
      </c>
      <c r="D473" s="5"/>
      <c r="E473" s="5"/>
      <c r="F473" s="5"/>
      <c r="G473" s="5"/>
      <c r="H473" s="5" t="s">
        <v>1362</v>
      </c>
      <c r="I473" s="5" t="s">
        <v>49</v>
      </c>
      <c r="J473" s="5"/>
      <c r="K473" s="18" t="s">
        <v>1931</v>
      </c>
      <c r="L473" s="6">
        <f t="shared" si="16"/>
        <v>2</v>
      </c>
      <c r="M473" s="6" t="str">
        <f t="shared" si="15"/>
        <v>No</v>
      </c>
      <c r="N473" s="5"/>
      <c r="O473" s="5" t="s">
        <v>1376</v>
      </c>
      <c r="P473" s="5" t="s">
        <v>43</v>
      </c>
      <c r="Q473" s="5" t="s">
        <v>1364</v>
      </c>
      <c r="R473" s="5" t="s">
        <v>49</v>
      </c>
      <c r="S473" s="5"/>
      <c r="T473" s="5"/>
      <c r="U473" s="5" t="s">
        <v>50</v>
      </c>
      <c r="V473" s="5"/>
      <c r="W473" s="5" t="s">
        <v>51</v>
      </c>
      <c r="X473" s="5" t="s">
        <v>1362</v>
      </c>
      <c r="Y473" s="5"/>
      <c r="Z473" s="5" t="s">
        <v>587</v>
      </c>
    </row>
    <row r="474" spans="1:26" x14ac:dyDescent="0.25">
      <c r="A474" s="5" t="s">
        <v>1377</v>
      </c>
      <c r="B474" s="5"/>
      <c r="C474" s="5"/>
      <c r="D474" s="5"/>
      <c r="E474" s="5"/>
      <c r="F474" s="5"/>
      <c r="G474" s="5"/>
      <c r="H474" s="5" t="s">
        <v>77</v>
      </c>
      <c r="I474" s="5"/>
      <c r="J474" s="5"/>
      <c r="K474" s="18" t="s">
        <v>1931</v>
      </c>
      <c r="L474" s="6">
        <f t="shared" si="16"/>
        <v>1</v>
      </c>
      <c r="M474" s="6" t="str">
        <f t="shared" si="15"/>
        <v>No</v>
      </c>
      <c r="N474" s="5"/>
      <c r="O474" s="5" t="s">
        <v>1378</v>
      </c>
      <c r="P474" s="5" t="s">
        <v>105</v>
      </c>
      <c r="Q474" s="5"/>
      <c r="R474" s="5"/>
      <c r="S474" s="5"/>
      <c r="T474" s="5"/>
      <c r="U474" s="5" t="s">
        <v>66</v>
      </c>
      <c r="V474" s="5" t="s">
        <v>103</v>
      </c>
      <c r="W474" s="5" t="s">
        <v>51</v>
      </c>
      <c r="X474" s="5" t="s">
        <v>77</v>
      </c>
      <c r="Y474" s="5"/>
      <c r="Z474" s="5"/>
    </row>
    <row r="475" spans="1:26" x14ac:dyDescent="0.25">
      <c r="A475" s="5" t="s">
        <v>1379</v>
      </c>
      <c r="B475" s="5"/>
      <c r="C475" s="5" t="s">
        <v>43</v>
      </c>
      <c r="D475" s="5" t="s">
        <v>44</v>
      </c>
      <c r="E475" s="5"/>
      <c r="F475" s="5"/>
      <c r="G475" s="5" t="s">
        <v>57</v>
      </c>
      <c r="H475" s="5" t="s">
        <v>1123</v>
      </c>
      <c r="I475" s="5" t="s">
        <v>119</v>
      </c>
      <c r="J475" s="5"/>
      <c r="K475" s="18" t="s">
        <v>1931</v>
      </c>
      <c r="L475" s="6">
        <f t="shared" si="16"/>
        <v>4</v>
      </c>
      <c r="M475" s="6" t="str">
        <f t="shared" si="15"/>
        <v>No</v>
      </c>
      <c r="N475" s="5"/>
      <c r="O475" s="5" t="s">
        <v>1381</v>
      </c>
      <c r="P475" s="5" t="s">
        <v>43</v>
      </c>
      <c r="Q475" s="5" t="s">
        <v>1382</v>
      </c>
      <c r="R475" s="5" t="s">
        <v>1380</v>
      </c>
      <c r="S475" s="5"/>
      <c r="T475" s="5"/>
      <c r="U475" s="5" t="s">
        <v>50</v>
      </c>
      <c r="V475" s="5"/>
      <c r="W475" s="5" t="s">
        <v>51</v>
      </c>
      <c r="X475" s="5" t="s">
        <v>1123</v>
      </c>
      <c r="Y475" s="5"/>
      <c r="Z475" s="5" t="s">
        <v>237</v>
      </c>
    </row>
    <row r="476" spans="1:26" x14ac:dyDescent="0.25">
      <c r="A476" s="5" t="s">
        <v>1383</v>
      </c>
      <c r="B476" s="5"/>
      <c r="C476" s="5" t="s">
        <v>43</v>
      </c>
      <c r="D476" s="5" t="s">
        <v>76</v>
      </c>
      <c r="E476" s="5"/>
      <c r="F476" s="5" t="s">
        <v>46</v>
      </c>
      <c r="G476" s="5"/>
      <c r="H476" s="5" t="s">
        <v>77</v>
      </c>
      <c r="I476" s="5" t="s">
        <v>91</v>
      </c>
      <c r="J476" s="5"/>
      <c r="K476" s="18" t="s">
        <v>1931</v>
      </c>
      <c r="L476" s="6">
        <f t="shared" si="16"/>
        <v>4</v>
      </c>
      <c r="M476" s="6" t="str">
        <f t="shared" si="15"/>
        <v>No</v>
      </c>
      <c r="N476" s="5"/>
      <c r="O476" s="5" t="s">
        <v>1384</v>
      </c>
      <c r="P476" s="5" t="s">
        <v>43</v>
      </c>
      <c r="Q476" s="5"/>
      <c r="R476" s="5" t="s">
        <v>91</v>
      </c>
      <c r="S476" s="5"/>
      <c r="T476" s="5"/>
      <c r="U476" s="5" t="s">
        <v>50</v>
      </c>
      <c r="V476" s="5"/>
      <c r="W476" s="5" t="s">
        <v>51</v>
      </c>
      <c r="X476" s="5" t="s">
        <v>77</v>
      </c>
      <c r="Y476" s="5"/>
      <c r="Z476" s="5" t="s">
        <v>591</v>
      </c>
    </row>
    <row r="477" spans="1:26" x14ac:dyDescent="0.25">
      <c r="A477" s="5" t="s">
        <v>1385</v>
      </c>
      <c r="B477" s="5"/>
      <c r="C477" s="5" t="s">
        <v>43</v>
      </c>
      <c r="D477" s="5" t="s">
        <v>76</v>
      </c>
      <c r="E477" s="5" t="s">
        <v>45</v>
      </c>
      <c r="F477" s="5" t="s">
        <v>107</v>
      </c>
      <c r="G477" s="5" t="s">
        <v>57</v>
      </c>
      <c r="H477" s="5" t="s">
        <v>83</v>
      </c>
      <c r="I477" s="5" t="s">
        <v>59</v>
      </c>
      <c r="J477" s="5" t="s">
        <v>1002</v>
      </c>
      <c r="K477" s="18" t="s">
        <v>1931</v>
      </c>
      <c r="L477" s="6">
        <f t="shared" si="16"/>
        <v>6</v>
      </c>
      <c r="M477" s="6" t="str">
        <f t="shared" si="15"/>
        <v>Yes</v>
      </c>
      <c r="N477" s="5" t="s">
        <v>1387</v>
      </c>
      <c r="O477" s="5" t="s">
        <v>1388</v>
      </c>
      <c r="P477" s="5" t="s">
        <v>43</v>
      </c>
      <c r="Q477" s="5" t="s">
        <v>466</v>
      </c>
      <c r="R477" s="5" t="s">
        <v>1386</v>
      </c>
      <c r="S477" s="5"/>
      <c r="T477" s="5"/>
      <c r="U477" s="5" t="s">
        <v>110</v>
      </c>
      <c r="V477" s="5"/>
      <c r="W477" s="5" t="s">
        <v>112</v>
      </c>
      <c r="X477" s="5" t="s">
        <v>83</v>
      </c>
      <c r="Y477" s="5"/>
      <c r="Z477" s="5" t="s">
        <v>101</v>
      </c>
    </row>
    <row r="478" spans="1:26" x14ac:dyDescent="0.25">
      <c r="A478" s="5" t="s">
        <v>1389</v>
      </c>
      <c r="B478" s="5"/>
      <c r="C478" s="5" t="s">
        <v>43</v>
      </c>
      <c r="D478" s="5"/>
      <c r="E478" s="5"/>
      <c r="F478" s="5"/>
      <c r="G478" s="5" t="s">
        <v>47</v>
      </c>
      <c r="H478" s="5"/>
      <c r="I478" s="5"/>
      <c r="J478" s="5"/>
      <c r="K478" s="18" t="s">
        <v>1931</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1390</v>
      </c>
      <c r="B479" s="5"/>
      <c r="C479" s="5" t="s">
        <v>43</v>
      </c>
      <c r="D479" s="5" t="s">
        <v>44</v>
      </c>
      <c r="E479" s="5" t="s">
        <v>331</v>
      </c>
      <c r="F479" s="5" t="s">
        <v>107</v>
      </c>
      <c r="G479" s="5" t="s">
        <v>57</v>
      </c>
      <c r="H479" s="5" t="s">
        <v>662</v>
      </c>
      <c r="I479" s="5" t="s">
        <v>49</v>
      </c>
      <c r="J479" s="5"/>
      <c r="K479" s="18" t="s">
        <v>1931</v>
      </c>
      <c r="L479" s="6">
        <f t="shared" si="16"/>
        <v>6</v>
      </c>
      <c r="M479" s="6" t="str">
        <f t="shared" si="15"/>
        <v>Yes</v>
      </c>
      <c r="N479" s="5"/>
      <c r="O479" s="5" t="s">
        <v>1391</v>
      </c>
      <c r="P479" s="5" t="s">
        <v>43</v>
      </c>
      <c r="Q479" s="5" t="s">
        <v>421</v>
      </c>
      <c r="R479" s="5" t="s">
        <v>49</v>
      </c>
      <c r="S479" s="5"/>
      <c r="T479" s="5"/>
      <c r="U479" s="5" t="s">
        <v>50</v>
      </c>
      <c r="V479" s="5"/>
      <c r="W479" s="5" t="s">
        <v>51</v>
      </c>
      <c r="X479" s="5" t="s">
        <v>662</v>
      </c>
      <c r="Y479" s="5"/>
      <c r="Z479" s="5" t="s">
        <v>1392</v>
      </c>
    </row>
    <row r="480" spans="1:26" x14ac:dyDescent="0.25">
      <c r="A480" s="5" t="s">
        <v>1393</v>
      </c>
      <c r="B480" s="5"/>
      <c r="C480" s="5" t="s">
        <v>43</v>
      </c>
      <c r="D480" s="5" t="s">
        <v>44</v>
      </c>
      <c r="E480" s="5" t="s">
        <v>45</v>
      </c>
      <c r="F480" s="5" t="s">
        <v>107</v>
      </c>
      <c r="G480" s="5" t="s">
        <v>47</v>
      </c>
      <c r="H480" s="5" t="s">
        <v>313</v>
      </c>
      <c r="I480" s="5" t="s">
        <v>91</v>
      </c>
      <c r="J480" s="5" t="s">
        <v>108</v>
      </c>
      <c r="K480" s="18" t="s">
        <v>1931</v>
      </c>
      <c r="L480" s="6">
        <f t="shared" si="16"/>
        <v>6</v>
      </c>
      <c r="M480" s="6" t="str">
        <f t="shared" si="15"/>
        <v>Yes</v>
      </c>
      <c r="N480" s="5"/>
      <c r="O480" s="5" t="s">
        <v>1395</v>
      </c>
      <c r="P480" s="5" t="s">
        <v>43</v>
      </c>
      <c r="Q480" s="5"/>
      <c r="R480" s="5" t="s">
        <v>1394</v>
      </c>
      <c r="S480" s="5"/>
      <c r="T480" s="5"/>
      <c r="U480" s="5" t="s">
        <v>50</v>
      </c>
      <c r="V480" s="5"/>
      <c r="W480" s="5" t="s">
        <v>51</v>
      </c>
      <c r="X480" s="5" t="s">
        <v>316</v>
      </c>
      <c r="Y480" s="5"/>
      <c r="Z480" s="5" t="s">
        <v>94</v>
      </c>
    </row>
    <row r="481" spans="1:26" x14ac:dyDescent="0.25">
      <c r="A481" s="5" t="s">
        <v>1396</v>
      </c>
      <c r="B481" s="5"/>
      <c r="C481" s="5"/>
      <c r="D481" s="5"/>
      <c r="E481" s="5" t="s">
        <v>45</v>
      </c>
      <c r="F481" s="5" t="s">
        <v>107</v>
      </c>
      <c r="G481" s="5"/>
      <c r="H481" s="5"/>
      <c r="I481" s="5" t="s">
        <v>72</v>
      </c>
      <c r="J481" s="5"/>
      <c r="K481" s="18" t="s">
        <v>1931</v>
      </c>
      <c r="L481" s="6">
        <f t="shared" si="16"/>
        <v>3</v>
      </c>
      <c r="M481" s="6" t="str">
        <f t="shared" si="15"/>
        <v>No</v>
      </c>
      <c r="N481" s="5" t="s">
        <v>1397</v>
      </c>
      <c r="O481" s="5" t="s">
        <v>1398</v>
      </c>
      <c r="P481" s="5" t="s">
        <v>166</v>
      </c>
      <c r="Q481" s="5"/>
      <c r="R481" s="5" t="s">
        <v>72</v>
      </c>
      <c r="S481" s="5"/>
      <c r="T481" s="5"/>
      <c r="U481" s="5" t="s">
        <v>66</v>
      </c>
      <c r="V481" s="5" t="s">
        <v>163</v>
      </c>
      <c r="W481" s="5" t="s">
        <v>51</v>
      </c>
      <c r="X481" s="5"/>
      <c r="Y481" s="5"/>
      <c r="Z481" s="5" t="s">
        <v>203</v>
      </c>
    </row>
    <row r="482" spans="1:26" x14ac:dyDescent="0.25">
      <c r="A482" s="5" t="s">
        <v>1399</v>
      </c>
      <c r="B482" s="5"/>
      <c r="C482" s="5" t="s">
        <v>43</v>
      </c>
      <c r="D482" s="5"/>
      <c r="E482" s="5"/>
      <c r="F482" s="5"/>
      <c r="G482" s="5"/>
      <c r="H482" s="5" t="s">
        <v>902</v>
      </c>
      <c r="I482" s="5"/>
      <c r="J482" s="5"/>
      <c r="K482" s="18" t="s">
        <v>1931</v>
      </c>
      <c r="L482" s="6">
        <f t="shared" si="16"/>
        <v>1</v>
      </c>
      <c r="M482" s="6" t="str">
        <f t="shared" si="15"/>
        <v>No</v>
      </c>
      <c r="N482" s="5"/>
      <c r="O482" s="5" t="s">
        <v>1400</v>
      </c>
      <c r="P482" s="5" t="s">
        <v>43</v>
      </c>
      <c r="Q482" s="5"/>
      <c r="R482" s="5"/>
      <c r="S482" s="5"/>
      <c r="T482" s="5"/>
      <c r="U482" s="5" t="s">
        <v>66</v>
      </c>
      <c r="V482" s="5"/>
      <c r="W482" s="5" t="s">
        <v>51</v>
      </c>
      <c r="X482" s="5" t="s">
        <v>903</v>
      </c>
      <c r="Y482" s="5"/>
      <c r="Z482" s="5"/>
    </row>
    <row r="483" spans="1:26" x14ac:dyDescent="0.25">
      <c r="A483" s="5" t="s">
        <v>1410</v>
      </c>
      <c r="B483" s="5"/>
      <c r="C483" s="5" t="s">
        <v>70</v>
      </c>
      <c r="D483" s="5"/>
      <c r="E483" s="5"/>
      <c r="F483" s="5"/>
      <c r="G483" s="5"/>
      <c r="H483" s="5" t="s">
        <v>902</v>
      </c>
      <c r="I483" s="5" t="s">
        <v>49</v>
      </c>
      <c r="J483" s="5"/>
      <c r="K483" s="18" t="s">
        <v>1931</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1401</v>
      </c>
      <c r="B484" s="5"/>
      <c r="C484" s="5" t="s">
        <v>43</v>
      </c>
      <c r="D484" s="5" t="s">
        <v>76</v>
      </c>
      <c r="E484" s="5" t="s">
        <v>45</v>
      </c>
      <c r="F484" s="5" t="s">
        <v>46</v>
      </c>
      <c r="G484" s="5" t="s">
        <v>47</v>
      </c>
      <c r="H484" s="5" t="s">
        <v>322</v>
      </c>
      <c r="I484" s="5" t="s">
        <v>91</v>
      </c>
      <c r="J484" s="5" t="s">
        <v>1402</v>
      </c>
      <c r="K484" s="18" t="s">
        <v>1931</v>
      </c>
      <c r="L484" s="6">
        <f t="shared" si="16"/>
        <v>6</v>
      </c>
      <c r="M484" s="6" t="str">
        <f t="shared" si="15"/>
        <v>Yes</v>
      </c>
      <c r="N484" s="5" t="s">
        <v>1404</v>
      </c>
      <c r="O484" s="5" t="s">
        <v>984</v>
      </c>
      <c r="P484" s="5" t="s">
        <v>43</v>
      </c>
      <c r="Q484" s="5" t="s">
        <v>222</v>
      </c>
      <c r="R484" s="5" t="s">
        <v>1403</v>
      </c>
      <c r="S484" s="5"/>
      <c r="T484" s="5"/>
      <c r="U484" s="5" t="s">
        <v>50</v>
      </c>
      <c r="V484" s="5"/>
      <c r="W484" s="5" t="s">
        <v>51</v>
      </c>
      <c r="X484" s="5" t="s">
        <v>322</v>
      </c>
      <c r="Y484" s="5" t="s">
        <v>67</v>
      </c>
      <c r="Z484" s="5" t="s">
        <v>347</v>
      </c>
    </row>
    <row r="485" spans="1:26" x14ac:dyDescent="0.25">
      <c r="A485" s="5" t="s">
        <v>1405</v>
      </c>
      <c r="B485" s="5"/>
      <c r="C485" s="5" t="s">
        <v>128</v>
      </c>
      <c r="D485" s="5"/>
      <c r="E485" s="5"/>
      <c r="F485" s="5"/>
      <c r="G485" s="5" t="s">
        <v>57</v>
      </c>
      <c r="H485" s="5" t="s">
        <v>1406</v>
      </c>
      <c r="I485" s="5"/>
      <c r="J485" s="5"/>
      <c r="K485" s="18" t="s">
        <v>1931</v>
      </c>
      <c r="L485" s="6">
        <f t="shared" si="16"/>
        <v>2</v>
      </c>
      <c r="M485" s="6" t="str">
        <f t="shared" si="15"/>
        <v>No</v>
      </c>
      <c r="N485" s="5"/>
      <c r="O485" s="5"/>
      <c r="P485" s="5" t="s">
        <v>128</v>
      </c>
      <c r="Q485" s="5" t="s">
        <v>1407</v>
      </c>
      <c r="R485" s="5"/>
      <c r="S485" s="5"/>
      <c r="T485" s="5"/>
      <c r="U485" s="5" t="s">
        <v>66</v>
      </c>
      <c r="V485" s="5"/>
      <c r="W485" s="5" t="s">
        <v>51</v>
      </c>
      <c r="X485" s="5" t="s">
        <v>1406</v>
      </c>
      <c r="Y485" s="5" t="s">
        <v>57</v>
      </c>
      <c r="Z485" s="5"/>
    </row>
    <row r="486" spans="1:26" x14ac:dyDescent="0.25">
      <c r="A486" s="5" t="s">
        <v>1408</v>
      </c>
      <c r="B486" s="5"/>
      <c r="C486" s="5" t="s">
        <v>70</v>
      </c>
      <c r="D486" s="5" t="s">
        <v>76</v>
      </c>
      <c r="E486" s="5"/>
      <c r="F486" s="5"/>
      <c r="G486" s="5"/>
      <c r="H486" s="5" t="s">
        <v>77</v>
      </c>
      <c r="I486" s="5" t="s">
        <v>71</v>
      </c>
      <c r="J486" s="5"/>
      <c r="K486" s="18" t="s">
        <v>1931</v>
      </c>
      <c r="L486" s="6">
        <f t="shared" si="16"/>
        <v>3</v>
      </c>
      <c r="M486" s="6" t="str">
        <f t="shared" si="15"/>
        <v>No</v>
      </c>
      <c r="N486" s="5"/>
      <c r="O486" s="5" t="s">
        <v>1409</v>
      </c>
      <c r="P486" s="5"/>
      <c r="Q486" s="5"/>
      <c r="R486" s="5" t="s">
        <v>71</v>
      </c>
      <c r="S486" s="5"/>
      <c r="T486" s="5"/>
      <c r="U486" s="5" t="s">
        <v>50</v>
      </c>
      <c r="V486" s="5"/>
      <c r="W486" s="5" t="s">
        <v>51</v>
      </c>
      <c r="X486" s="5"/>
      <c r="Y486" s="5"/>
      <c r="Z486" s="5" t="s">
        <v>747</v>
      </c>
    </row>
    <row r="487" spans="1:26" x14ac:dyDescent="0.25">
      <c r="A487" s="5" t="s">
        <v>1416</v>
      </c>
      <c r="B487" s="5"/>
      <c r="C487" s="5" t="s">
        <v>43</v>
      </c>
      <c r="D487" s="5" t="s">
        <v>44</v>
      </c>
      <c r="E487" s="5" t="s">
        <v>45</v>
      </c>
      <c r="F487" s="5" t="s">
        <v>46</v>
      </c>
      <c r="G487" s="5" t="s">
        <v>1845</v>
      </c>
      <c r="H487" s="5" t="s">
        <v>205</v>
      </c>
      <c r="I487" s="5" t="s">
        <v>91</v>
      </c>
      <c r="J487" s="5" t="s">
        <v>71</v>
      </c>
      <c r="K487" s="18" t="s">
        <v>1931</v>
      </c>
      <c r="L487" s="6">
        <f t="shared" si="16"/>
        <v>6</v>
      </c>
      <c r="M487" s="6" t="str">
        <f t="shared" si="15"/>
        <v>Yes</v>
      </c>
      <c r="N487" s="5"/>
      <c r="O487" s="5" t="s">
        <v>1417</v>
      </c>
      <c r="P487" s="5"/>
      <c r="Q487" s="5"/>
      <c r="R487" s="5"/>
      <c r="S487" s="5"/>
      <c r="T487" s="5"/>
      <c r="U487" s="5" t="s">
        <v>50</v>
      </c>
      <c r="V487" s="5"/>
      <c r="W487" s="5" t="s">
        <v>51</v>
      </c>
      <c r="X487" s="5" t="s">
        <v>205</v>
      </c>
      <c r="Y487" s="5"/>
      <c r="Z487" s="5" t="s">
        <v>189</v>
      </c>
    </row>
    <row r="488" spans="1:26" x14ac:dyDescent="0.25">
      <c r="A488" s="5" t="s">
        <v>1418</v>
      </c>
      <c r="B488" s="5"/>
      <c r="C488" s="5"/>
      <c r="D488" s="5"/>
      <c r="E488" s="5"/>
      <c r="F488" s="5"/>
      <c r="G488" s="5"/>
      <c r="H488" s="5" t="s">
        <v>259</v>
      </c>
      <c r="I488" s="5"/>
      <c r="J488" s="5"/>
      <c r="K488" s="18" t="s">
        <v>1931</v>
      </c>
      <c r="L488" s="6">
        <f t="shared" si="16"/>
        <v>1</v>
      </c>
      <c r="M488" s="6" t="str">
        <f t="shared" si="15"/>
        <v>No</v>
      </c>
      <c r="N488" s="5"/>
      <c r="O488" s="5" t="s">
        <v>1419</v>
      </c>
      <c r="P488" s="5" t="s">
        <v>166</v>
      </c>
      <c r="Q488" s="5"/>
      <c r="R488" s="5"/>
      <c r="S488" s="5"/>
      <c r="T488" s="5"/>
      <c r="U488" s="5" t="s">
        <v>66</v>
      </c>
      <c r="V488" s="5" t="s">
        <v>163</v>
      </c>
      <c r="W488" s="5" t="s">
        <v>51</v>
      </c>
      <c r="X488" s="5" t="s">
        <v>261</v>
      </c>
      <c r="Y488" s="5"/>
      <c r="Z488" s="5"/>
    </row>
    <row r="489" spans="1:26" x14ac:dyDescent="0.25">
      <c r="A489" s="5" t="s">
        <v>1420</v>
      </c>
      <c r="B489" s="5"/>
      <c r="C489" s="5" t="s">
        <v>70</v>
      </c>
      <c r="D489" s="5"/>
      <c r="E489" s="5"/>
      <c r="F489" s="5"/>
      <c r="G489" s="5" t="s">
        <v>57</v>
      </c>
      <c r="H489" s="5"/>
      <c r="I489" s="5" t="s">
        <v>71</v>
      </c>
      <c r="J489" s="5" t="s">
        <v>91</v>
      </c>
      <c r="K489" s="18" t="s">
        <v>1931</v>
      </c>
      <c r="L489" s="6">
        <f t="shared" si="16"/>
        <v>2</v>
      </c>
      <c r="M489" s="6" t="str">
        <f t="shared" si="15"/>
        <v>No</v>
      </c>
      <c r="N489" s="5"/>
      <c r="O489" s="5"/>
      <c r="P489" s="5"/>
      <c r="Q489" s="5"/>
      <c r="R489" s="5" t="s">
        <v>589</v>
      </c>
      <c r="S489" s="5"/>
      <c r="T489" s="5"/>
      <c r="U489" s="5" t="s">
        <v>124</v>
      </c>
      <c r="V489" s="5"/>
      <c r="W489" s="5" t="s">
        <v>125</v>
      </c>
      <c r="X489" s="5"/>
      <c r="Y489" s="5" t="s">
        <v>57</v>
      </c>
      <c r="Z489" s="5" t="s">
        <v>1265</v>
      </c>
    </row>
    <row r="490" spans="1:26" x14ac:dyDescent="0.25">
      <c r="A490" s="5" t="s">
        <v>1421</v>
      </c>
      <c r="B490" s="5"/>
      <c r="C490" s="5" t="s">
        <v>43</v>
      </c>
      <c r="D490" s="5"/>
      <c r="E490" s="5"/>
      <c r="F490" s="5"/>
      <c r="G490" s="5"/>
      <c r="H490" s="5"/>
      <c r="I490" s="5"/>
      <c r="J490" s="5"/>
      <c r="K490" s="18" t="s">
        <v>1931</v>
      </c>
      <c r="L490" s="6">
        <f t="shared" si="16"/>
        <v>0</v>
      </c>
      <c r="M490" s="6" t="str">
        <f t="shared" si="15"/>
        <v>No</v>
      </c>
      <c r="N490" s="5"/>
      <c r="O490" s="5" t="s">
        <v>1422</v>
      </c>
      <c r="P490" s="5" t="s">
        <v>43</v>
      </c>
      <c r="Q490" s="5"/>
      <c r="R490" s="5"/>
      <c r="S490" s="5"/>
      <c r="T490" s="5"/>
      <c r="U490" s="5" t="s">
        <v>66</v>
      </c>
      <c r="V490" s="5"/>
      <c r="W490" s="5" t="s">
        <v>51</v>
      </c>
      <c r="X490" s="5"/>
      <c r="Y490" s="5"/>
      <c r="Z490" s="5"/>
    </row>
    <row r="491" spans="1:26" x14ac:dyDescent="0.25">
      <c r="A491" s="5" t="s">
        <v>1426</v>
      </c>
      <c r="B491" s="5"/>
      <c r="C491" s="5" t="s">
        <v>43</v>
      </c>
      <c r="D491" s="5" t="s">
        <v>44</v>
      </c>
      <c r="E491" s="5" t="s">
        <v>45</v>
      </c>
      <c r="F491" s="5" t="s">
        <v>46</v>
      </c>
      <c r="G491" s="5" t="s">
        <v>47</v>
      </c>
      <c r="H491" s="5" t="s">
        <v>1123</v>
      </c>
      <c r="I491" s="5" t="s">
        <v>91</v>
      </c>
      <c r="J491" s="5"/>
      <c r="K491" s="18" t="s">
        <v>1931</v>
      </c>
      <c r="L491" s="6">
        <f t="shared" si="16"/>
        <v>6</v>
      </c>
      <c r="M491" s="6" t="str">
        <f t="shared" si="15"/>
        <v>Yes</v>
      </c>
      <c r="N491" s="5" t="s">
        <v>1428</v>
      </c>
      <c r="O491" s="5" t="s">
        <v>1429</v>
      </c>
      <c r="P491" s="5" t="s">
        <v>43</v>
      </c>
      <c r="Q491" s="5" t="s">
        <v>675</v>
      </c>
      <c r="R491" s="5" t="s">
        <v>1427</v>
      </c>
      <c r="S491" s="5"/>
      <c r="T491" s="5"/>
      <c r="U491" s="5" t="s">
        <v>66</v>
      </c>
      <c r="V491" s="5"/>
      <c r="W491" s="5" t="s">
        <v>51</v>
      </c>
      <c r="X491" s="5" t="s">
        <v>1123</v>
      </c>
      <c r="Y491" s="5" t="s">
        <v>1430</v>
      </c>
      <c r="Z491" s="5" t="s">
        <v>88</v>
      </c>
    </row>
    <row r="492" spans="1:26" x14ac:dyDescent="0.25">
      <c r="A492" s="5" t="s">
        <v>1431</v>
      </c>
      <c r="B492" s="5"/>
      <c r="C492" s="5" t="s">
        <v>43</v>
      </c>
      <c r="D492" s="5" t="s">
        <v>44</v>
      </c>
      <c r="E492" s="5" t="s">
        <v>45</v>
      </c>
      <c r="F492" s="5" t="s">
        <v>46</v>
      </c>
      <c r="G492" s="5" t="s">
        <v>1845</v>
      </c>
      <c r="H492" s="5" t="s">
        <v>313</v>
      </c>
      <c r="I492" s="5" t="s">
        <v>178</v>
      </c>
      <c r="J492" s="5"/>
      <c r="K492" s="18" t="s">
        <v>1931</v>
      </c>
      <c r="L492" s="6">
        <f t="shared" si="16"/>
        <v>6</v>
      </c>
      <c r="M492" s="6" t="str">
        <f t="shared" si="15"/>
        <v>Yes</v>
      </c>
      <c r="N492" s="5"/>
      <c r="O492" s="5" t="s">
        <v>1432</v>
      </c>
      <c r="P492" s="5" t="s">
        <v>43</v>
      </c>
      <c r="Q492" s="5"/>
      <c r="R492" s="5" t="s">
        <v>178</v>
      </c>
      <c r="S492" s="5"/>
      <c r="T492" s="5"/>
      <c r="U492" s="5" t="s">
        <v>66</v>
      </c>
      <c r="V492" s="5"/>
      <c r="W492" s="5" t="s">
        <v>51</v>
      </c>
      <c r="X492" s="5" t="s">
        <v>316</v>
      </c>
      <c r="Y492" s="5"/>
      <c r="Z492" s="5" t="s">
        <v>242</v>
      </c>
    </row>
    <row r="493" spans="1:26" x14ac:dyDescent="0.25">
      <c r="A493" s="5" t="s">
        <v>1433</v>
      </c>
      <c r="B493" s="5" t="s">
        <v>1434</v>
      </c>
      <c r="C493" s="5" t="s">
        <v>43</v>
      </c>
      <c r="D493" s="5" t="s">
        <v>76</v>
      </c>
      <c r="E493" s="5" t="s">
        <v>45</v>
      </c>
      <c r="F493" s="5" t="s">
        <v>107</v>
      </c>
      <c r="G493" s="5" t="s">
        <v>1845</v>
      </c>
      <c r="H493" s="5" t="s">
        <v>271</v>
      </c>
      <c r="I493" s="5" t="s">
        <v>192</v>
      </c>
      <c r="J493" s="5" t="s">
        <v>49</v>
      </c>
      <c r="K493" s="18" t="s">
        <v>1931</v>
      </c>
      <c r="L493" s="6">
        <f t="shared" si="16"/>
        <v>6</v>
      </c>
      <c r="M493" s="6" t="str">
        <f t="shared" si="15"/>
        <v>Yes</v>
      </c>
      <c r="N493" s="5" t="s">
        <v>929</v>
      </c>
      <c r="O493" s="5" t="s">
        <v>1437</v>
      </c>
      <c r="P493" s="5" t="s">
        <v>43</v>
      </c>
      <c r="Q493" s="5" t="s">
        <v>268</v>
      </c>
      <c r="R493" s="5" t="s">
        <v>1435</v>
      </c>
      <c r="S493" s="5"/>
      <c r="T493" s="5"/>
      <c r="U493" s="5" t="s">
        <v>110</v>
      </c>
      <c r="V493" s="5" t="s">
        <v>1436</v>
      </c>
      <c r="W493" s="5" t="s">
        <v>112</v>
      </c>
      <c r="X493" s="5" t="s">
        <v>1438</v>
      </c>
      <c r="Y493" s="5" t="s">
        <v>931</v>
      </c>
      <c r="Z493" s="5" t="s">
        <v>1439</v>
      </c>
    </row>
    <row r="494" spans="1:26" x14ac:dyDescent="0.25">
      <c r="A494" s="5" t="s">
        <v>1440</v>
      </c>
      <c r="B494" s="5"/>
      <c r="C494" s="5" t="s">
        <v>43</v>
      </c>
      <c r="D494" s="5" t="s">
        <v>44</v>
      </c>
      <c r="E494" s="5" t="s">
        <v>45</v>
      </c>
      <c r="F494" s="5" t="s">
        <v>46</v>
      </c>
      <c r="G494" s="5" t="s">
        <v>57</v>
      </c>
      <c r="H494" s="5" t="s">
        <v>58</v>
      </c>
      <c r="I494" s="5"/>
      <c r="J494" s="5"/>
      <c r="K494" s="18" t="s">
        <v>1931</v>
      </c>
      <c r="L494" s="6">
        <f t="shared" si="16"/>
        <v>5</v>
      </c>
      <c r="M494" s="6" t="str">
        <f t="shared" si="15"/>
        <v>No</v>
      </c>
      <c r="N494" s="5"/>
      <c r="O494" s="5" t="s">
        <v>1441</v>
      </c>
      <c r="P494" s="5" t="s">
        <v>43</v>
      </c>
      <c r="Q494" s="5"/>
      <c r="R494" s="5"/>
      <c r="S494" s="5"/>
      <c r="T494" s="5"/>
      <c r="U494" s="5" t="s">
        <v>66</v>
      </c>
      <c r="V494" s="5"/>
      <c r="W494" s="5" t="s">
        <v>51</v>
      </c>
      <c r="X494" s="5" t="s">
        <v>63</v>
      </c>
      <c r="Y494" s="5" t="s">
        <v>57</v>
      </c>
      <c r="Z494" s="5"/>
    </row>
    <row r="495" spans="1:26" x14ac:dyDescent="0.25">
      <c r="A495" s="5" t="s">
        <v>1442</v>
      </c>
      <c r="B495" s="5"/>
      <c r="C495" s="5" t="s">
        <v>43</v>
      </c>
      <c r="D495" s="5"/>
      <c r="E495" s="5" t="s">
        <v>45</v>
      </c>
      <c r="F495" s="5" t="s">
        <v>107</v>
      </c>
      <c r="G495" s="5" t="s">
        <v>47</v>
      </c>
      <c r="H495" s="5"/>
      <c r="I495" s="5"/>
      <c r="J495" s="5"/>
      <c r="K495" s="18" t="s">
        <v>1931</v>
      </c>
      <c r="L495" s="6">
        <f t="shared" si="16"/>
        <v>3</v>
      </c>
      <c r="M495" s="6" t="str">
        <f t="shared" si="15"/>
        <v>No</v>
      </c>
      <c r="N495" s="5" t="s">
        <v>1443</v>
      </c>
      <c r="O495" s="5"/>
      <c r="P495" s="5" t="s">
        <v>43</v>
      </c>
      <c r="Q495" s="5"/>
      <c r="R495" s="5"/>
      <c r="S495" s="5"/>
      <c r="T495" s="5"/>
      <c r="U495" s="5" t="s">
        <v>66</v>
      </c>
      <c r="V495" s="5"/>
      <c r="W495" s="5" t="s">
        <v>51</v>
      </c>
      <c r="X495" s="5"/>
      <c r="Y495" s="5" t="s">
        <v>67</v>
      </c>
      <c r="Z495" s="5" t="s">
        <v>392</v>
      </c>
    </row>
    <row r="496" spans="1:26" x14ac:dyDescent="0.25">
      <c r="A496" s="5" t="s">
        <v>1444</v>
      </c>
      <c r="B496" s="5"/>
      <c r="C496" s="5" t="s">
        <v>128</v>
      </c>
      <c r="D496" s="5" t="s">
        <v>44</v>
      </c>
      <c r="E496" s="5" t="s">
        <v>45</v>
      </c>
      <c r="F496" s="5" t="s">
        <v>46</v>
      </c>
      <c r="G496" s="5" t="s">
        <v>47</v>
      </c>
      <c r="H496" s="5" t="s">
        <v>1882</v>
      </c>
      <c r="I496" s="5" t="s">
        <v>71</v>
      </c>
      <c r="J496" s="5" t="s">
        <v>1922</v>
      </c>
      <c r="K496" s="18" t="s">
        <v>1882</v>
      </c>
      <c r="L496" s="6">
        <f t="shared" si="16"/>
        <v>6</v>
      </c>
      <c r="M496" s="6" t="str">
        <f t="shared" si="15"/>
        <v>Yes</v>
      </c>
      <c r="N496" s="5"/>
      <c r="O496" s="5" t="s">
        <v>1883</v>
      </c>
      <c r="P496" s="5" t="s">
        <v>128</v>
      </c>
      <c r="Q496" s="5" t="s">
        <v>293</v>
      </c>
      <c r="R496" s="5"/>
      <c r="S496" s="5"/>
      <c r="T496" s="5"/>
      <c r="U496" s="5" t="s">
        <v>66</v>
      </c>
      <c r="V496" s="5"/>
      <c r="W496" s="5" t="s">
        <v>51</v>
      </c>
      <c r="X496" s="5" t="s">
        <v>1882</v>
      </c>
      <c r="Y496" s="5" t="s">
        <v>47</v>
      </c>
      <c r="Z496" s="5"/>
    </row>
    <row r="497" spans="1:26" x14ac:dyDescent="0.25">
      <c r="A497" s="5" t="s">
        <v>1445</v>
      </c>
      <c r="B497" s="5"/>
      <c r="C497" s="5"/>
      <c r="D497" s="5"/>
      <c r="E497" s="5" t="s">
        <v>45</v>
      </c>
      <c r="F497" s="5" t="s">
        <v>46</v>
      </c>
      <c r="G497" s="5"/>
      <c r="H497" s="5" t="s">
        <v>77</v>
      </c>
      <c r="I497" s="5" t="s">
        <v>91</v>
      </c>
      <c r="J497" s="5" t="s">
        <v>71</v>
      </c>
      <c r="K497" s="18" t="s">
        <v>1931</v>
      </c>
      <c r="L497" s="6">
        <f t="shared" si="16"/>
        <v>4</v>
      </c>
      <c r="M497" s="6" t="str">
        <f t="shared" si="15"/>
        <v>No</v>
      </c>
      <c r="N497" s="5" t="s">
        <v>1447</v>
      </c>
      <c r="O497" s="5" t="s">
        <v>1448</v>
      </c>
      <c r="P497" s="5" t="s">
        <v>105</v>
      </c>
      <c r="Q497" s="5"/>
      <c r="R497" s="5" t="s">
        <v>1446</v>
      </c>
      <c r="S497" s="5"/>
      <c r="T497" s="5"/>
      <c r="U497" s="5" t="s">
        <v>66</v>
      </c>
      <c r="V497" s="5" t="s">
        <v>103</v>
      </c>
      <c r="W497" s="5" t="s">
        <v>51</v>
      </c>
      <c r="X497" s="5" t="s">
        <v>77</v>
      </c>
      <c r="Y497" s="5"/>
      <c r="Z497" s="5" t="s">
        <v>167</v>
      </c>
    </row>
    <row r="498" spans="1:26" x14ac:dyDescent="0.25">
      <c r="A498" s="5" t="s">
        <v>1449</v>
      </c>
      <c r="B498" s="5"/>
      <c r="C498" s="5" t="s">
        <v>43</v>
      </c>
      <c r="D498" s="5"/>
      <c r="E498" s="5" t="s">
        <v>45</v>
      </c>
      <c r="F498" s="5" t="s">
        <v>107</v>
      </c>
      <c r="G498" s="5" t="s">
        <v>47</v>
      </c>
      <c r="H498" s="5"/>
      <c r="I498" s="5"/>
      <c r="J498" s="5"/>
      <c r="K498" s="18" t="s">
        <v>1931</v>
      </c>
      <c r="L498" s="6">
        <f t="shared" si="16"/>
        <v>3</v>
      </c>
      <c r="M498" s="6" t="str">
        <f t="shared" si="15"/>
        <v>No</v>
      </c>
      <c r="N498" s="5" t="s">
        <v>1450</v>
      </c>
      <c r="O498" s="5"/>
      <c r="P498" s="5" t="s">
        <v>43</v>
      </c>
      <c r="Q498" s="5" t="s">
        <v>68</v>
      </c>
      <c r="R498" s="5"/>
      <c r="S498" s="5"/>
      <c r="T498" s="5"/>
      <c r="U498" s="5" t="s">
        <v>66</v>
      </c>
      <c r="V498" s="5"/>
      <c r="W498" s="5" t="s">
        <v>51</v>
      </c>
      <c r="X498" s="5"/>
      <c r="Y498" s="5" t="s">
        <v>67</v>
      </c>
      <c r="Z498" s="5" t="s">
        <v>392</v>
      </c>
    </row>
    <row r="499" spans="1:26" x14ac:dyDescent="0.25">
      <c r="A499" s="5" t="s">
        <v>1451</v>
      </c>
      <c r="B499" s="5"/>
      <c r="C499" s="5" t="s">
        <v>70</v>
      </c>
      <c r="D499" s="5" t="s">
        <v>44</v>
      </c>
      <c r="E499" s="5"/>
      <c r="F499" s="5"/>
      <c r="G499" s="5" t="s">
        <v>47</v>
      </c>
      <c r="H499" s="5" t="s">
        <v>313</v>
      </c>
      <c r="I499" s="5" t="s">
        <v>123</v>
      </c>
      <c r="J499" s="5" t="s">
        <v>91</v>
      </c>
      <c r="K499" s="18" t="s">
        <v>1931</v>
      </c>
      <c r="L499" s="6">
        <f t="shared" si="16"/>
        <v>4</v>
      </c>
      <c r="M499" s="6" t="str">
        <f t="shared" si="15"/>
        <v>No</v>
      </c>
      <c r="N499" s="5" t="s">
        <v>138</v>
      </c>
      <c r="O499" s="5"/>
      <c r="P499" s="5"/>
      <c r="Q499" s="5"/>
      <c r="R499" s="5" t="s">
        <v>1452</v>
      </c>
      <c r="S499" s="5"/>
      <c r="T499" s="5"/>
      <c r="U499" s="5" t="s">
        <v>124</v>
      </c>
      <c r="V499" s="5"/>
      <c r="W499" s="5" t="s">
        <v>125</v>
      </c>
      <c r="X499" s="5" t="s">
        <v>313</v>
      </c>
      <c r="Y499" s="5" t="s">
        <v>47</v>
      </c>
      <c r="Z499" s="5" t="s">
        <v>285</v>
      </c>
    </row>
    <row r="500" spans="1:26" x14ac:dyDescent="0.25">
      <c r="A500" s="5" t="s">
        <v>1453</v>
      </c>
      <c r="B500" s="5"/>
      <c r="C500" s="5"/>
      <c r="D500" s="5"/>
      <c r="E500" s="5" t="s">
        <v>45</v>
      </c>
      <c r="F500" s="5" t="s">
        <v>107</v>
      </c>
      <c r="G500" s="5"/>
      <c r="H500" s="5" t="s">
        <v>77</v>
      </c>
      <c r="I500" s="5" t="s">
        <v>119</v>
      </c>
      <c r="J500" s="5" t="s">
        <v>72</v>
      </c>
      <c r="K500" s="18" t="s">
        <v>1931</v>
      </c>
      <c r="L500" s="6">
        <f t="shared" si="16"/>
        <v>4</v>
      </c>
      <c r="M500" s="6" t="str">
        <f t="shared" si="15"/>
        <v>No</v>
      </c>
      <c r="N500" s="5" t="s">
        <v>1455</v>
      </c>
      <c r="O500" s="5" t="s">
        <v>1456</v>
      </c>
      <c r="P500" s="5" t="s">
        <v>105</v>
      </c>
      <c r="Q500" s="5"/>
      <c r="R500" s="5" t="s">
        <v>1454</v>
      </c>
      <c r="S500" s="5"/>
      <c r="T500" s="5"/>
      <c r="U500" s="5" t="s">
        <v>66</v>
      </c>
      <c r="V500" s="5" t="s">
        <v>103</v>
      </c>
      <c r="W500" s="5" t="s">
        <v>51</v>
      </c>
      <c r="X500" s="5" t="s">
        <v>77</v>
      </c>
      <c r="Y500" s="5"/>
      <c r="Z500" s="5" t="s">
        <v>203</v>
      </c>
    </row>
    <row r="501" spans="1:26" x14ac:dyDescent="0.25">
      <c r="A501" s="5" t="s">
        <v>1457</v>
      </c>
      <c r="B501" s="5"/>
      <c r="C501" s="5" t="s">
        <v>128</v>
      </c>
      <c r="D501" s="5"/>
      <c r="E501" s="5"/>
      <c r="F501" s="5"/>
      <c r="G501" s="5" t="s">
        <v>57</v>
      </c>
      <c r="H501" s="5"/>
      <c r="I501" s="5"/>
      <c r="J501" s="5"/>
      <c r="K501" s="18" t="s">
        <v>1931</v>
      </c>
      <c r="L501" s="6">
        <f t="shared" si="16"/>
        <v>1</v>
      </c>
      <c r="M501" s="6" t="str">
        <f t="shared" si="15"/>
        <v>No</v>
      </c>
      <c r="N501" s="5"/>
      <c r="O501" s="5"/>
      <c r="P501" s="5" t="s">
        <v>128</v>
      </c>
      <c r="Q501" s="5" t="s">
        <v>1458</v>
      </c>
      <c r="R501" s="5"/>
      <c r="S501" s="5"/>
      <c r="T501" s="5"/>
      <c r="U501" s="5" t="s">
        <v>66</v>
      </c>
      <c r="V501" s="5"/>
      <c r="W501" s="5" t="s">
        <v>51</v>
      </c>
      <c r="X501" s="5"/>
      <c r="Y501" s="5" t="s">
        <v>57</v>
      </c>
      <c r="Z501" s="5"/>
    </row>
    <row r="502" spans="1:26" x14ac:dyDescent="0.25">
      <c r="A502" s="5" t="s">
        <v>1459</v>
      </c>
      <c r="B502" s="5"/>
      <c r="C502" s="5" t="s">
        <v>70</v>
      </c>
      <c r="D502" s="5" t="s">
        <v>44</v>
      </c>
      <c r="E502" s="5"/>
      <c r="F502" s="5"/>
      <c r="G502" s="5" t="s">
        <v>57</v>
      </c>
      <c r="H502" s="5" t="s">
        <v>313</v>
      </c>
      <c r="I502" s="5" t="s">
        <v>72</v>
      </c>
      <c r="J502" s="5" t="s">
        <v>1460</v>
      </c>
      <c r="K502" s="18" t="s">
        <v>1931</v>
      </c>
      <c r="L502" s="6">
        <f t="shared" si="16"/>
        <v>4</v>
      </c>
      <c r="M502" s="6" t="str">
        <f t="shared" si="15"/>
        <v>No</v>
      </c>
      <c r="N502" s="5" t="s">
        <v>138</v>
      </c>
      <c r="O502" s="5"/>
      <c r="P502" s="5"/>
      <c r="Q502" s="5"/>
      <c r="R502" s="5" t="s">
        <v>1461</v>
      </c>
      <c r="S502" s="5"/>
      <c r="T502" s="5"/>
      <c r="U502" s="5" t="s">
        <v>124</v>
      </c>
      <c r="V502" s="5"/>
      <c r="W502" s="5" t="s">
        <v>125</v>
      </c>
      <c r="X502" s="5" t="s">
        <v>313</v>
      </c>
      <c r="Y502" s="5" t="s">
        <v>57</v>
      </c>
      <c r="Z502" s="5" t="s">
        <v>285</v>
      </c>
    </row>
    <row r="503" spans="1:26" x14ac:dyDescent="0.25">
      <c r="A503" s="5" t="s">
        <v>1462</v>
      </c>
      <c r="B503" s="5"/>
      <c r="C503" s="5"/>
      <c r="D503" s="5"/>
      <c r="E503" s="5" t="s">
        <v>45</v>
      </c>
      <c r="F503" s="5" t="s">
        <v>107</v>
      </c>
      <c r="G503" s="5"/>
      <c r="H503" s="5" t="s">
        <v>90</v>
      </c>
      <c r="I503" s="5"/>
      <c r="J503" s="5"/>
      <c r="K503" s="18" t="s">
        <v>1931</v>
      </c>
      <c r="L503" s="6">
        <f t="shared" si="16"/>
        <v>3</v>
      </c>
      <c r="M503" s="6" t="str">
        <f t="shared" si="15"/>
        <v>No</v>
      </c>
      <c r="N503" s="5" t="s">
        <v>1463</v>
      </c>
      <c r="O503" s="5" t="s">
        <v>1464</v>
      </c>
      <c r="P503" s="5" t="s">
        <v>105</v>
      </c>
      <c r="Q503" s="5"/>
      <c r="R503" s="5"/>
      <c r="S503" s="5"/>
      <c r="T503" s="5"/>
      <c r="U503" s="5" t="s">
        <v>66</v>
      </c>
      <c r="V503" s="5" t="s">
        <v>103</v>
      </c>
      <c r="W503" s="5" t="s">
        <v>51</v>
      </c>
      <c r="X503" s="5" t="s">
        <v>90</v>
      </c>
      <c r="Y503" s="5"/>
      <c r="Z503" s="5" t="s">
        <v>1465</v>
      </c>
    </row>
    <row r="504" spans="1:26" x14ac:dyDescent="0.25">
      <c r="A504" s="5" t="s">
        <v>1466</v>
      </c>
      <c r="B504" s="5"/>
      <c r="C504" s="5" t="s">
        <v>128</v>
      </c>
      <c r="D504" s="5"/>
      <c r="E504" s="5"/>
      <c r="F504" s="5"/>
      <c r="G504" s="5" t="s">
        <v>57</v>
      </c>
      <c r="H504" s="5" t="s">
        <v>563</v>
      </c>
      <c r="I504" s="5"/>
      <c r="J504" s="5"/>
      <c r="K504" s="18" t="s">
        <v>1931</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1467</v>
      </c>
      <c r="B505" s="5"/>
      <c r="C505" s="5" t="s">
        <v>70</v>
      </c>
      <c r="D505" s="5" t="s">
        <v>76</v>
      </c>
      <c r="E505" s="5"/>
      <c r="F505" s="5"/>
      <c r="G505" s="5"/>
      <c r="H505" s="5" t="s">
        <v>77</v>
      </c>
      <c r="I505" s="5"/>
      <c r="J505" s="5"/>
      <c r="K505" s="18" t="s">
        <v>1931</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1468</v>
      </c>
      <c r="B506" s="5"/>
      <c r="C506" s="5" t="s">
        <v>43</v>
      </c>
      <c r="D506" s="5" t="s">
        <v>44</v>
      </c>
      <c r="E506" s="5" t="s">
        <v>45</v>
      </c>
      <c r="F506" s="5" t="s">
        <v>107</v>
      </c>
      <c r="G506" s="5" t="s">
        <v>57</v>
      </c>
      <c r="H506" s="5" t="s">
        <v>662</v>
      </c>
      <c r="I506" s="5" t="s">
        <v>119</v>
      </c>
      <c r="J506" s="5"/>
      <c r="K506" s="18" t="s">
        <v>1931</v>
      </c>
      <c r="L506" s="6">
        <f t="shared" si="16"/>
        <v>6</v>
      </c>
      <c r="M506" s="6" t="str">
        <f t="shared" si="15"/>
        <v>Yes</v>
      </c>
      <c r="N506" s="5" t="s">
        <v>1469</v>
      </c>
      <c r="O506" s="5" t="s">
        <v>1470</v>
      </c>
      <c r="P506" s="5" t="s">
        <v>43</v>
      </c>
      <c r="Q506" s="5" t="s">
        <v>450</v>
      </c>
      <c r="R506" s="5" t="s">
        <v>119</v>
      </c>
      <c r="S506" s="5"/>
      <c r="T506" s="5"/>
      <c r="U506" s="5" t="s">
        <v>50</v>
      </c>
      <c r="V506" s="5"/>
      <c r="W506" s="5" t="s">
        <v>51</v>
      </c>
      <c r="X506" s="5" t="s">
        <v>662</v>
      </c>
      <c r="Y506" s="5"/>
      <c r="Z506" s="5" t="s">
        <v>347</v>
      </c>
    </row>
    <row r="507" spans="1:26" x14ac:dyDescent="0.25">
      <c r="A507" s="5" t="s">
        <v>1471</v>
      </c>
      <c r="B507" s="5"/>
      <c r="C507" s="5"/>
      <c r="D507" s="5"/>
      <c r="E507" s="5"/>
      <c r="F507" s="5"/>
      <c r="G507" s="5"/>
      <c r="H507" s="5" t="s">
        <v>377</v>
      </c>
      <c r="I507" s="5" t="s">
        <v>91</v>
      </c>
      <c r="J507" s="5" t="s">
        <v>1472</v>
      </c>
      <c r="K507" s="18" t="s">
        <v>1931</v>
      </c>
      <c r="L507" s="6">
        <f t="shared" si="16"/>
        <v>2</v>
      </c>
      <c r="M507" s="6" t="str">
        <f t="shared" si="15"/>
        <v>No</v>
      </c>
      <c r="N507" s="5"/>
      <c r="O507" s="5" t="s">
        <v>1474</v>
      </c>
      <c r="P507" s="5" t="s">
        <v>105</v>
      </c>
      <c r="Q507" s="5"/>
      <c r="R507" s="5" t="s">
        <v>1473</v>
      </c>
      <c r="S507" s="5"/>
      <c r="T507" s="5"/>
      <c r="U507" s="5" t="s">
        <v>66</v>
      </c>
      <c r="V507" s="5" t="s">
        <v>103</v>
      </c>
      <c r="W507" s="5" t="s">
        <v>51</v>
      </c>
      <c r="X507" s="5" t="s">
        <v>377</v>
      </c>
      <c r="Y507" s="5"/>
      <c r="Z507" s="5"/>
    </row>
    <row r="508" spans="1:26" x14ac:dyDescent="0.25">
      <c r="A508" s="5" t="s">
        <v>1475</v>
      </c>
      <c r="B508" s="5"/>
      <c r="C508" s="5" t="s">
        <v>43</v>
      </c>
      <c r="D508" s="5" t="s">
        <v>44</v>
      </c>
      <c r="E508" s="5" t="s">
        <v>45</v>
      </c>
      <c r="F508" s="5" t="s">
        <v>46</v>
      </c>
      <c r="G508" s="5" t="s">
        <v>1845</v>
      </c>
      <c r="H508" s="5" t="s">
        <v>132</v>
      </c>
      <c r="I508" s="5" t="s">
        <v>192</v>
      </c>
      <c r="J508" s="5"/>
      <c r="K508" s="18" t="s">
        <v>1931</v>
      </c>
      <c r="L508" s="6">
        <f t="shared" si="16"/>
        <v>6</v>
      </c>
      <c r="M508" s="6" t="str">
        <f t="shared" si="15"/>
        <v>Yes</v>
      </c>
      <c r="N508" s="5"/>
      <c r="O508" s="5" t="s">
        <v>1476</v>
      </c>
      <c r="P508" s="5" t="s">
        <v>43</v>
      </c>
      <c r="Q508" s="5"/>
      <c r="R508" s="5" t="s">
        <v>192</v>
      </c>
      <c r="S508" s="5"/>
      <c r="T508" s="5"/>
      <c r="U508" s="5" t="s">
        <v>50</v>
      </c>
      <c r="V508" s="5"/>
      <c r="W508" s="5" t="s">
        <v>51</v>
      </c>
      <c r="X508" s="5" t="s">
        <v>132</v>
      </c>
      <c r="Y508" s="5"/>
      <c r="Z508" s="5" t="s">
        <v>352</v>
      </c>
    </row>
    <row r="509" spans="1:26" x14ac:dyDescent="0.25">
      <c r="A509" s="5" t="s">
        <v>1477</v>
      </c>
      <c r="B509" s="5"/>
      <c r="C509" s="5" t="s">
        <v>128</v>
      </c>
      <c r="D509" s="5"/>
      <c r="E509" s="5"/>
      <c r="F509" s="5"/>
      <c r="G509" s="5" t="s">
        <v>57</v>
      </c>
      <c r="H509" s="5" t="s">
        <v>1406</v>
      </c>
      <c r="I509" s="5"/>
      <c r="J509" s="5"/>
      <c r="K509" s="18" t="s">
        <v>1931</v>
      </c>
      <c r="L509" s="6">
        <f t="shared" si="16"/>
        <v>2</v>
      </c>
      <c r="M509" s="6" t="str">
        <f t="shared" si="15"/>
        <v>No</v>
      </c>
      <c r="N509" s="5"/>
      <c r="O509" s="5"/>
      <c r="P509" s="5" t="s">
        <v>128</v>
      </c>
      <c r="Q509" s="5" t="s">
        <v>1407</v>
      </c>
      <c r="R509" s="5"/>
      <c r="S509" s="5"/>
      <c r="T509" s="5"/>
      <c r="U509" s="5" t="s">
        <v>66</v>
      </c>
      <c r="V509" s="5"/>
      <c r="W509" s="5" t="s">
        <v>51</v>
      </c>
      <c r="X509" s="5" t="s">
        <v>1406</v>
      </c>
      <c r="Y509" s="5" t="s">
        <v>57</v>
      </c>
      <c r="Z509" s="5"/>
    </row>
    <row r="510" spans="1:26" x14ac:dyDescent="0.25">
      <c r="A510" s="5" t="s">
        <v>1478</v>
      </c>
      <c r="B510" s="5"/>
      <c r="C510" s="5" t="s">
        <v>43</v>
      </c>
      <c r="D510" s="5" t="s">
        <v>44</v>
      </c>
      <c r="E510" s="5" t="s">
        <v>45</v>
      </c>
      <c r="F510" s="5" t="s">
        <v>46</v>
      </c>
      <c r="G510" s="5" t="s">
        <v>57</v>
      </c>
      <c r="H510" s="5" t="s">
        <v>1967</v>
      </c>
      <c r="I510" s="5" t="s">
        <v>119</v>
      </c>
      <c r="J510" s="5" t="s">
        <v>49</v>
      </c>
      <c r="K510" s="18" t="s">
        <v>1931</v>
      </c>
      <c r="L510" s="6">
        <f t="shared" si="16"/>
        <v>6</v>
      </c>
      <c r="M510" s="6" t="str">
        <f t="shared" si="15"/>
        <v>Yes</v>
      </c>
      <c r="N510" s="5"/>
      <c r="O510" s="5" t="s">
        <v>1968</v>
      </c>
      <c r="P510" s="5" t="s">
        <v>43</v>
      </c>
      <c r="Q510" s="5"/>
      <c r="R510" s="5"/>
      <c r="S510" s="5"/>
      <c r="T510" s="5"/>
      <c r="U510" s="5" t="s">
        <v>50</v>
      </c>
      <c r="V510" s="5"/>
      <c r="W510" s="5" t="s">
        <v>51</v>
      </c>
      <c r="X510" s="5" t="s">
        <v>437</v>
      </c>
      <c r="Y510" s="5"/>
      <c r="Z510" s="5" t="s">
        <v>64</v>
      </c>
    </row>
    <row r="511" spans="1:26" x14ac:dyDescent="0.25">
      <c r="A511" s="5" t="s">
        <v>1479</v>
      </c>
      <c r="B511" s="5"/>
      <c r="C511" s="5" t="s">
        <v>70</v>
      </c>
      <c r="D511" s="5" t="s">
        <v>76</v>
      </c>
      <c r="E511" s="5"/>
      <c r="F511" s="5"/>
      <c r="G511" s="5"/>
      <c r="H511" s="5" t="s">
        <v>77</v>
      </c>
      <c r="I511" s="5" t="s">
        <v>49</v>
      </c>
      <c r="J511" s="5"/>
      <c r="K511" s="18" t="s">
        <v>1931</v>
      </c>
      <c r="L511" s="6">
        <f t="shared" si="16"/>
        <v>3</v>
      </c>
      <c r="M511" s="6" t="str">
        <f t="shared" si="15"/>
        <v>No</v>
      </c>
      <c r="N511" s="5"/>
      <c r="O511" s="5" t="s">
        <v>1480</v>
      </c>
      <c r="P511" s="5"/>
      <c r="Q511" s="5"/>
      <c r="R511" s="5" t="s">
        <v>49</v>
      </c>
      <c r="S511" s="5"/>
      <c r="T511" s="5"/>
      <c r="U511" s="5" t="s">
        <v>50</v>
      </c>
      <c r="V511" s="5" t="s">
        <v>225</v>
      </c>
      <c r="W511" s="5" t="s">
        <v>51</v>
      </c>
      <c r="X511" s="5" t="s">
        <v>115</v>
      </c>
      <c r="Y511" s="5"/>
      <c r="Z511" s="5" t="s">
        <v>327</v>
      </c>
    </row>
    <row r="512" spans="1:26" x14ac:dyDescent="0.25">
      <c r="A512" s="5" t="s">
        <v>1481</v>
      </c>
      <c r="B512" s="5"/>
      <c r="C512" s="5" t="s">
        <v>43</v>
      </c>
      <c r="D512" s="5" t="s">
        <v>44</v>
      </c>
      <c r="E512" s="5" t="s">
        <v>45</v>
      </c>
      <c r="F512" s="5" t="s">
        <v>107</v>
      </c>
      <c r="G512" s="5" t="s">
        <v>47</v>
      </c>
      <c r="H512" s="5" t="s">
        <v>1123</v>
      </c>
      <c r="I512" s="5" t="s">
        <v>123</v>
      </c>
      <c r="J512" s="5" t="s">
        <v>71</v>
      </c>
      <c r="K512" s="18" t="s">
        <v>1931</v>
      </c>
      <c r="L512" s="6">
        <f t="shared" si="16"/>
        <v>6</v>
      </c>
      <c r="M512" s="6" t="str">
        <f t="shared" si="15"/>
        <v>Yes</v>
      </c>
      <c r="N512" s="5" t="s">
        <v>1483</v>
      </c>
      <c r="O512" s="5" t="s">
        <v>1484</v>
      </c>
      <c r="P512" s="5" t="s">
        <v>43</v>
      </c>
      <c r="Q512" s="5" t="s">
        <v>87</v>
      </c>
      <c r="R512" s="5" t="s">
        <v>1482</v>
      </c>
      <c r="S512" s="5"/>
      <c r="T512" s="5"/>
      <c r="U512" s="5" t="s">
        <v>50</v>
      </c>
      <c r="V512" s="5"/>
      <c r="W512" s="5" t="s">
        <v>51</v>
      </c>
      <c r="X512" s="5" t="s">
        <v>1123</v>
      </c>
      <c r="Y512" s="5"/>
      <c r="Z512" s="5" t="s">
        <v>101</v>
      </c>
    </row>
    <row r="513" spans="1:26" x14ac:dyDescent="0.25">
      <c r="A513" s="5" t="s">
        <v>1485</v>
      </c>
      <c r="B513" s="5"/>
      <c r="C513" s="5" t="s">
        <v>128</v>
      </c>
      <c r="D513" s="5"/>
      <c r="E513" s="5"/>
      <c r="F513" s="5"/>
      <c r="G513" s="5"/>
      <c r="H513" s="5"/>
      <c r="I513" s="5" t="s">
        <v>49</v>
      </c>
      <c r="J513" s="5"/>
      <c r="K513" s="18" t="s">
        <v>1931</v>
      </c>
      <c r="L513" s="6">
        <f t="shared" si="16"/>
        <v>1</v>
      </c>
      <c r="M513" s="6" t="str">
        <f t="shared" si="15"/>
        <v>No</v>
      </c>
      <c r="N513" s="5"/>
      <c r="O513" s="5" t="s">
        <v>1486</v>
      </c>
      <c r="P513" s="5" t="s">
        <v>319</v>
      </c>
      <c r="Q513" s="5" t="s">
        <v>543</v>
      </c>
      <c r="R513" s="5" t="s">
        <v>49</v>
      </c>
      <c r="S513" s="5"/>
      <c r="T513" s="5"/>
      <c r="U513" s="5" t="s">
        <v>66</v>
      </c>
      <c r="V513" s="5"/>
      <c r="W513" s="5" t="s">
        <v>51</v>
      </c>
      <c r="X513" s="5"/>
      <c r="Y513" s="5"/>
      <c r="Z513" s="5"/>
    </row>
    <row r="514" spans="1:26" x14ac:dyDescent="0.25">
      <c r="A514" s="5" t="s">
        <v>1487</v>
      </c>
      <c r="B514" s="5"/>
      <c r="C514" s="5" t="s">
        <v>70</v>
      </c>
      <c r="D514" s="5" t="s">
        <v>44</v>
      </c>
      <c r="E514" s="5"/>
      <c r="F514" s="5"/>
      <c r="G514" s="5"/>
      <c r="H514" s="5" t="s">
        <v>1123</v>
      </c>
      <c r="I514" s="5"/>
      <c r="J514" s="5"/>
      <c r="K514" s="18" t="s">
        <v>1931</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1123</v>
      </c>
      <c r="Y514" s="5"/>
      <c r="Z514" s="5" t="s">
        <v>189</v>
      </c>
    </row>
    <row r="515" spans="1:26" x14ac:dyDescent="0.25">
      <c r="A515" s="5" t="s">
        <v>1488</v>
      </c>
      <c r="B515" s="5" t="s">
        <v>1489</v>
      </c>
      <c r="C515" s="5" t="s">
        <v>43</v>
      </c>
      <c r="D515" s="5" t="s">
        <v>44</v>
      </c>
      <c r="E515" s="5" t="s">
        <v>45</v>
      </c>
      <c r="F515" s="5" t="s">
        <v>107</v>
      </c>
      <c r="G515" s="5" t="s">
        <v>1845</v>
      </c>
      <c r="H515" s="5" t="s">
        <v>645</v>
      </c>
      <c r="I515" s="5" t="s">
        <v>192</v>
      </c>
      <c r="J515" s="5" t="s">
        <v>193</v>
      </c>
      <c r="K515" s="18" t="s">
        <v>1931</v>
      </c>
      <c r="L515" s="6">
        <f t="shared" si="16"/>
        <v>6</v>
      </c>
      <c r="M515" s="6" t="str">
        <f t="shared" si="17"/>
        <v>Yes</v>
      </c>
      <c r="N515" s="5"/>
      <c r="O515" s="5" t="s">
        <v>1490</v>
      </c>
      <c r="P515" s="5" t="s">
        <v>43</v>
      </c>
      <c r="Q515" s="5"/>
      <c r="R515" s="5" t="s">
        <v>192</v>
      </c>
      <c r="S515" s="5"/>
      <c r="T515" s="5"/>
      <c r="U515" s="5" t="s">
        <v>50</v>
      </c>
      <c r="V515" s="5"/>
      <c r="W515" s="5" t="s">
        <v>51</v>
      </c>
      <c r="X515" s="5" t="s">
        <v>645</v>
      </c>
      <c r="Y515" s="5"/>
      <c r="Z515" s="5" t="s">
        <v>591</v>
      </c>
    </row>
    <row r="516" spans="1:26" x14ac:dyDescent="0.25">
      <c r="A516" s="5" t="s">
        <v>1491</v>
      </c>
      <c r="B516" s="5"/>
      <c r="C516" s="5" t="s">
        <v>70</v>
      </c>
      <c r="D516" s="5" t="s">
        <v>76</v>
      </c>
      <c r="E516" s="5"/>
      <c r="F516" s="5"/>
      <c r="G516" s="5" t="s">
        <v>47</v>
      </c>
      <c r="H516" s="5" t="s">
        <v>77</v>
      </c>
      <c r="I516" s="5"/>
      <c r="J516" s="5"/>
      <c r="K516" s="18" t="s">
        <v>1931</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1492</v>
      </c>
      <c r="B517" s="5"/>
      <c r="C517" s="5" t="s">
        <v>43</v>
      </c>
      <c r="D517" s="5" t="s">
        <v>44</v>
      </c>
      <c r="E517" s="5" t="s">
        <v>45</v>
      </c>
      <c r="F517" s="5" t="s">
        <v>107</v>
      </c>
      <c r="G517" s="5" t="s">
        <v>1845</v>
      </c>
      <c r="H517" s="5" t="s">
        <v>191</v>
      </c>
      <c r="I517" s="5" t="s">
        <v>119</v>
      </c>
      <c r="J517" s="5" t="s">
        <v>91</v>
      </c>
      <c r="K517" s="18" t="s">
        <v>1931</v>
      </c>
      <c r="L517" s="6">
        <f t="shared" si="16"/>
        <v>6</v>
      </c>
      <c r="M517" s="6" t="str">
        <f t="shared" si="17"/>
        <v>Yes</v>
      </c>
      <c r="N517" s="5"/>
      <c r="O517" s="5" t="s">
        <v>1966</v>
      </c>
      <c r="P517" s="5"/>
      <c r="Q517" s="5"/>
      <c r="R517" s="5" t="s">
        <v>1493</v>
      </c>
      <c r="S517" s="5"/>
      <c r="T517" s="5"/>
      <c r="U517" s="5" t="s">
        <v>124</v>
      </c>
      <c r="V517" s="5"/>
      <c r="W517" s="5" t="s">
        <v>125</v>
      </c>
      <c r="X517" s="5" t="s">
        <v>191</v>
      </c>
      <c r="Y517" s="5"/>
      <c r="Z517" s="5" t="s">
        <v>155</v>
      </c>
    </row>
    <row r="518" spans="1:26" x14ac:dyDescent="0.25">
      <c r="A518" s="5" t="s">
        <v>1494</v>
      </c>
      <c r="B518" s="5"/>
      <c r="C518" s="5" t="s">
        <v>128</v>
      </c>
      <c r="D518" s="5"/>
      <c r="E518" s="5"/>
      <c r="F518" s="5"/>
      <c r="G518" s="5"/>
      <c r="H518" s="5" t="s">
        <v>318</v>
      </c>
      <c r="I518" s="5"/>
      <c r="J518" s="5"/>
      <c r="K518" s="18" t="s">
        <v>1931</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1495</v>
      </c>
      <c r="B519" s="5"/>
      <c r="C519" s="5" t="s">
        <v>43</v>
      </c>
      <c r="D519" s="5"/>
      <c r="E519" s="5"/>
      <c r="F519" s="5"/>
      <c r="G519" s="5"/>
      <c r="H519" s="5"/>
      <c r="I519" s="5"/>
      <c r="J519" s="5"/>
      <c r="K519" s="18" t="s">
        <v>1931</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1496</v>
      </c>
      <c r="B520" s="5"/>
      <c r="C520" s="5" t="s">
        <v>43</v>
      </c>
      <c r="D520" s="5" t="s">
        <v>44</v>
      </c>
      <c r="E520" s="5"/>
      <c r="F520" s="5"/>
      <c r="G520" s="5"/>
      <c r="H520" s="5"/>
      <c r="I520" s="5" t="s">
        <v>123</v>
      </c>
      <c r="J520" s="5"/>
      <c r="K520" s="18" t="s">
        <v>1931</v>
      </c>
      <c r="L520" s="6">
        <f t="shared" si="16"/>
        <v>2</v>
      </c>
      <c r="M520" s="6" t="str">
        <f t="shared" si="17"/>
        <v>No</v>
      </c>
      <c r="N520" s="5"/>
      <c r="O520" s="5" t="s">
        <v>1497</v>
      </c>
      <c r="P520" s="5" t="s">
        <v>43</v>
      </c>
      <c r="Q520" s="5" t="s">
        <v>1498</v>
      </c>
      <c r="R520" s="5" t="s">
        <v>123</v>
      </c>
      <c r="S520" s="5"/>
      <c r="T520" s="5"/>
      <c r="U520" s="5" t="s">
        <v>50</v>
      </c>
      <c r="V520" s="5"/>
      <c r="W520" s="5" t="s">
        <v>51</v>
      </c>
      <c r="X520" s="5"/>
      <c r="Y520" s="5"/>
      <c r="Z520" s="5" t="s">
        <v>136</v>
      </c>
    </row>
    <row r="521" spans="1:26" x14ac:dyDescent="0.25">
      <c r="A521" s="5" t="s">
        <v>1961</v>
      </c>
      <c r="B521" s="5"/>
      <c r="C521" s="5" t="s">
        <v>128</v>
      </c>
      <c r="D521" s="5" t="s">
        <v>76</v>
      </c>
      <c r="E521" s="5" t="s">
        <v>45</v>
      </c>
      <c r="F521" s="5" t="s">
        <v>46</v>
      </c>
      <c r="G521" s="5" t="s">
        <v>57</v>
      </c>
      <c r="H521" s="5" t="s">
        <v>1881</v>
      </c>
      <c r="I521" s="5" t="s">
        <v>72</v>
      </c>
      <c r="J521" s="5"/>
      <c r="K521" s="18" t="s">
        <v>1931</v>
      </c>
      <c r="L521" s="6">
        <f t="shared" ref="L521" si="18">IF(A521="","",COUNTA(D521:F521)+COUNTA(G521:G521)+COUNTA(H521:H521)+COUNTA(I521:I521))</f>
        <v>6</v>
      </c>
      <c r="M521" s="6" t="str">
        <f t="shared" ref="M521" si="19">IF(A521="","",IF(AND(L521=6,UPPER(S521)&lt;&gt;"Y",C521&lt;&gt;""),"Yes","No"))</f>
        <v>Yes</v>
      </c>
      <c r="N521" s="5"/>
      <c r="O521" s="5" t="s">
        <v>1962</v>
      </c>
      <c r="P521" s="5" t="s">
        <v>128</v>
      </c>
      <c r="Q521" s="5">
        <v>13.1</v>
      </c>
      <c r="R521" s="5" t="s">
        <v>1501</v>
      </c>
      <c r="S521" s="5"/>
      <c r="T521" s="5"/>
      <c r="U521" s="5" t="s">
        <v>50</v>
      </c>
      <c r="V521" s="5"/>
      <c r="W521" s="5" t="s">
        <v>51</v>
      </c>
      <c r="X521" s="5" t="s">
        <v>99</v>
      </c>
      <c r="Y521" s="5"/>
      <c r="Z521" s="5" t="s">
        <v>352</v>
      </c>
    </row>
    <row r="522" spans="1:26" x14ac:dyDescent="0.25">
      <c r="A522" s="5" t="s">
        <v>1499</v>
      </c>
      <c r="B522" s="5"/>
      <c r="C522" s="5" t="s">
        <v>43</v>
      </c>
      <c r="D522" s="5" t="s">
        <v>44</v>
      </c>
      <c r="E522" s="5" t="s">
        <v>45</v>
      </c>
      <c r="F522" s="5" t="s">
        <v>46</v>
      </c>
      <c r="G522" s="5" t="s">
        <v>1845</v>
      </c>
      <c r="H522" s="5" t="s">
        <v>1127</v>
      </c>
      <c r="I522" s="5" t="s">
        <v>91</v>
      </c>
      <c r="J522" s="5" t="s">
        <v>1500</v>
      </c>
      <c r="K522" s="18" t="s">
        <v>1931</v>
      </c>
      <c r="L522" s="6">
        <f t="shared" si="16"/>
        <v>6</v>
      </c>
      <c r="M522" s="6" t="str">
        <f t="shared" si="17"/>
        <v>Yes</v>
      </c>
      <c r="N522" s="5"/>
      <c r="O522" s="5" t="s">
        <v>1964</v>
      </c>
      <c r="P522" s="5" t="s">
        <v>43</v>
      </c>
      <c r="Q522" s="5" t="s">
        <v>508</v>
      </c>
      <c r="R522" s="5" t="s">
        <v>1501</v>
      </c>
      <c r="S522" s="5"/>
      <c r="T522" s="5"/>
      <c r="U522" s="5" t="s">
        <v>50</v>
      </c>
      <c r="V522" s="5"/>
      <c r="W522" s="5" t="s">
        <v>51</v>
      </c>
      <c r="X522" s="5" t="s">
        <v>99</v>
      </c>
      <c r="Y522" s="5"/>
      <c r="Z522" s="5" t="s">
        <v>352</v>
      </c>
    </row>
    <row r="523" spans="1:26" x14ac:dyDescent="0.25">
      <c r="A523" s="5" t="s">
        <v>1502</v>
      </c>
      <c r="B523" s="5"/>
      <c r="C523" s="5" t="s">
        <v>70</v>
      </c>
      <c r="D523" s="5" t="s">
        <v>76</v>
      </c>
      <c r="E523" s="5"/>
      <c r="F523" s="5"/>
      <c r="G523" s="5"/>
      <c r="H523" s="5" t="s">
        <v>83</v>
      </c>
      <c r="I523" s="5"/>
      <c r="J523" s="5"/>
      <c r="K523" s="18" t="s">
        <v>1931</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1503</v>
      </c>
      <c r="B524" s="5"/>
      <c r="C524" s="5" t="s">
        <v>43</v>
      </c>
      <c r="D524" s="5" t="s">
        <v>76</v>
      </c>
      <c r="E524" s="5" t="s">
        <v>45</v>
      </c>
      <c r="F524" s="5" t="s">
        <v>46</v>
      </c>
      <c r="G524" s="5" t="s">
        <v>47</v>
      </c>
      <c r="H524" s="5" t="s">
        <v>58</v>
      </c>
      <c r="I524" s="5" t="s">
        <v>71</v>
      </c>
      <c r="J524" s="5"/>
      <c r="K524" s="18" t="s">
        <v>1931</v>
      </c>
      <c r="L524" s="6">
        <f t="shared" si="16"/>
        <v>6</v>
      </c>
      <c r="M524" s="6" t="str">
        <f t="shared" si="17"/>
        <v>Yes</v>
      </c>
      <c r="N524" s="5" t="s">
        <v>1504</v>
      </c>
      <c r="O524" s="5" t="s">
        <v>1505</v>
      </c>
      <c r="P524" s="5" t="s">
        <v>43</v>
      </c>
      <c r="Q524" s="5" t="s">
        <v>222</v>
      </c>
      <c r="R524" s="5" t="s">
        <v>71</v>
      </c>
      <c r="S524" s="5"/>
      <c r="T524" s="5"/>
      <c r="U524" s="5" t="s">
        <v>50</v>
      </c>
      <c r="V524" s="5"/>
      <c r="W524" s="5" t="s">
        <v>51</v>
      </c>
      <c r="X524" s="5" t="s">
        <v>63</v>
      </c>
      <c r="Y524" s="5" t="s">
        <v>67</v>
      </c>
      <c r="Z524" s="5" t="s">
        <v>55</v>
      </c>
    </row>
    <row r="525" spans="1:26" x14ac:dyDescent="0.25">
      <c r="A525" s="5" t="s">
        <v>1506</v>
      </c>
      <c r="B525" s="5"/>
      <c r="C525" s="5" t="s">
        <v>43</v>
      </c>
      <c r="D525" s="5" t="s">
        <v>44</v>
      </c>
      <c r="E525" s="5" t="s">
        <v>45</v>
      </c>
      <c r="F525" s="5" t="s">
        <v>107</v>
      </c>
      <c r="G525" s="5" t="s">
        <v>47</v>
      </c>
      <c r="H525" s="5" t="s">
        <v>1916</v>
      </c>
      <c r="I525" s="5" t="s">
        <v>123</v>
      </c>
      <c r="J525" s="5"/>
      <c r="K525" s="18" t="s">
        <v>1931</v>
      </c>
      <c r="L525" s="6">
        <f t="shared" si="16"/>
        <v>6</v>
      </c>
      <c r="M525" s="6" t="str">
        <f t="shared" si="17"/>
        <v>Yes</v>
      </c>
      <c r="N525" s="5"/>
      <c r="O525" s="5" t="s">
        <v>1507</v>
      </c>
      <c r="P525" s="5" t="s">
        <v>43</v>
      </c>
      <c r="Q525" s="5"/>
      <c r="R525" s="5" t="s">
        <v>123</v>
      </c>
      <c r="S525" s="5"/>
      <c r="T525" s="5"/>
      <c r="U525" s="5" t="s">
        <v>50</v>
      </c>
      <c r="V525" s="5"/>
      <c r="W525" s="5" t="s">
        <v>51</v>
      </c>
      <c r="X525" s="5" t="s">
        <v>63</v>
      </c>
      <c r="Y525" s="5"/>
      <c r="Z525" s="5" t="s">
        <v>64</v>
      </c>
    </row>
    <row r="526" spans="1:26" x14ac:dyDescent="0.25">
      <c r="A526" s="5" t="s">
        <v>1508</v>
      </c>
      <c r="B526" s="5"/>
      <c r="C526" s="5" t="s">
        <v>70</v>
      </c>
      <c r="D526" s="5" t="s">
        <v>44</v>
      </c>
      <c r="E526" s="5"/>
      <c r="F526" s="5"/>
      <c r="G526" s="5"/>
      <c r="H526" s="5"/>
      <c r="I526" s="5"/>
      <c r="J526" s="5"/>
      <c r="K526" s="18" t="s">
        <v>1931</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1509</v>
      </c>
      <c r="B527" s="5"/>
      <c r="C527" s="5" t="s">
        <v>43</v>
      </c>
      <c r="D527" s="5"/>
      <c r="E527" s="5"/>
      <c r="F527" s="5"/>
      <c r="G527" s="5"/>
      <c r="H527" s="5"/>
      <c r="I527" s="5"/>
      <c r="J527" s="5"/>
      <c r="K527" s="18" t="s">
        <v>1931</v>
      </c>
      <c r="L527" s="6">
        <f t="shared" si="16"/>
        <v>0</v>
      </c>
      <c r="M527" s="6" t="str">
        <f t="shared" si="17"/>
        <v>No</v>
      </c>
      <c r="N527" s="5"/>
      <c r="O527" s="5" t="s">
        <v>1510</v>
      </c>
      <c r="P527" s="5" t="s">
        <v>43</v>
      </c>
      <c r="Q527" s="5"/>
      <c r="R527" s="5"/>
      <c r="S527" s="5"/>
      <c r="T527" s="5"/>
      <c r="U527" s="5" t="s">
        <v>66</v>
      </c>
      <c r="V527" s="5"/>
      <c r="W527" s="5" t="s">
        <v>51</v>
      </c>
      <c r="X527" s="5"/>
      <c r="Y527" s="5"/>
      <c r="Z527" s="5"/>
    </row>
    <row r="528" spans="1:26" x14ac:dyDescent="0.25">
      <c r="A528" s="5" t="s">
        <v>1511</v>
      </c>
      <c r="B528" s="5"/>
      <c r="C528" s="5" t="s">
        <v>43</v>
      </c>
      <c r="D528" s="5"/>
      <c r="E528" s="5" t="s">
        <v>331</v>
      </c>
      <c r="F528" s="5" t="s">
        <v>46</v>
      </c>
      <c r="G528" s="5"/>
      <c r="H528" s="5" t="s">
        <v>456</v>
      </c>
      <c r="I528" s="5"/>
      <c r="J528" s="5"/>
      <c r="K528" s="18" t="s">
        <v>1931</v>
      </c>
      <c r="L528" s="6">
        <f t="shared" si="16"/>
        <v>3</v>
      </c>
      <c r="M528" s="6" t="str">
        <f t="shared" si="17"/>
        <v>No</v>
      </c>
      <c r="N528" s="5" t="s">
        <v>1512</v>
      </c>
      <c r="O528" s="5" t="s">
        <v>1513</v>
      </c>
      <c r="P528" s="5" t="s">
        <v>43</v>
      </c>
      <c r="Q528" s="5"/>
      <c r="R528" s="5"/>
      <c r="S528" s="5"/>
      <c r="T528" s="5"/>
      <c r="U528" s="5" t="s">
        <v>50</v>
      </c>
      <c r="V528" s="5"/>
      <c r="W528" s="5" t="s">
        <v>51</v>
      </c>
      <c r="X528" s="5" t="s">
        <v>456</v>
      </c>
      <c r="Y528" s="5"/>
      <c r="Z528" s="5" t="s">
        <v>1514</v>
      </c>
    </row>
    <row r="529" spans="1:26" x14ac:dyDescent="0.25">
      <c r="A529" s="5" t="s">
        <v>1515</v>
      </c>
      <c r="B529" s="5"/>
      <c r="C529" s="5" t="s">
        <v>43</v>
      </c>
      <c r="D529" s="5" t="s">
        <v>44</v>
      </c>
      <c r="E529" s="5" t="s">
        <v>45</v>
      </c>
      <c r="F529" s="5" t="s">
        <v>107</v>
      </c>
      <c r="G529" s="5" t="s">
        <v>57</v>
      </c>
      <c r="H529" s="5" t="s">
        <v>214</v>
      </c>
      <c r="I529" s="5" t="s">
        <v>119</v>
      </c>
      <c r="J529" s="5"/>
      <c r="K529" s="18" t="s">
        <v>1931</v>
      </c>
      <c r="L529" s="6">
        <f t="shared" si="16"/>
        <v>6</v>
      </c>
      <c r="M529" s="6" t="str">
        <f t="shared" si="17"/>
        <v>Yes</v>
      </c>
      <c r="N529" s="5" t="s">
        <v>1516</v>
      </c>
      <c r="O529" s="5" t="s">
        <v>1517</v>
      </c>
      <c r="P529" s="5" t="s">
        <v>43</v>
      </c>
      <c r="Q529" s="5" t="s">
        <v>1518</v>
      </c>
      <c r="R529" s="5" t="s">
        <v>119</v>
      </c>
      <c r="S529" s="5"/>
      <c r="T529" s="5"/>
      <c r="U529" s="5" t="s">
        <v>50</v>
      </c>
      <c r="V529" s="5"/>
      <c r="W529" s="5" t="s">
        <v>51</v>
      </c>
      <c r="X529" s="5" t="s">
        <v>214</v>
      </c>
      <c r="Y529" s="5"/>
      <c r="Z529" s="5" t="s">
        <v>219</v>
      </c>
    </row>
    <row r="530" spans="1:26" x14ac:dyDescent="0.25">
      <c r="A530" s="5" t="s">
        <v>1861</v>
      </c>
      <c r="B530" s="5"/>
      <c r="C530" s="5" t="s">
        <v>128</v>
      </c>
      <c r="D530" s="5" t="s">
        <v>44</v>
      </c>
      <c r="E530" s="5" t="s">
        <v>45</v>
      </c>
      <c r="F530" s="5" t="s">
        <v>107</v>
      </c>
      <c r="G530" s="5" t="s">
        <v>47</v>
      </c>
      <c r="H530" s="5" t="s">
        <v>1860</v>
      </c>
      <c r="I530" s="5" t="s">
        <v>71</v>
      </c>
      <c r="J530" s="5" t="s">
        <v>91</v>
      </c>
      <c r="K530" s="18" t="s">
        <v>1931</v>
      </c>
      <c r="L530" s="6">
        <f t="shared" si="16"/>
        <v>6</v>
      </c>
      <c r="M530" s="6" t="str">
        <f t="shared" si="17"/>
        <v>Yes</v>
      </c>
      <c r="N530" s="5" t="s">
        <v>1963</v>
      </c>
      <c r="O530" s="5" t="s">
        <v>1965</v>
      </c>
      <c r="P530" s="5" t="s">
        <v>43</v>
      </c>
      <c r="Q530" s="5"/>
      <c r="R530" s="5" t="s">
        <v>535</v>
      </c>
      <c r="S530" s="5"/>
      <c r="T530" s="5"/>
      <c r="U530" s="5" t="s">
        <v>50</v>
      </c>
      <c r="V530" s="5" t="s">
        <v>225</v>
      </c>
      <c r="W530" s="5" t="s">
        <v>51</v>
      </c>
      <c r="X530" s="5" t="s">
        <v>538</v>
      </c>
      <c r="Y530" s="5" t="s">
        <v>1862</v>
      </c>
      <c r="Z530" s="5" t="s">
        <v>540</v>
      </c>
    </row>
    <row r="531" spans="1:26" x14ac:dyDescent="0.25">
      <c r="A531" s="5" t="s">
        <v>1520</v>
      </c>
      <c r="B531" s="5"/>
      <c r="C531" s="5"/>
      <c r="D531" s="5"/>
      <c r="E531" s="5" t="s">
        <v>331</v>
      </c>
      <c r="F531" s="5"/>
      <c r="G531" s="5"/>
      <c r="H531" s="5"/>
      <c r="I531" s="5"/>
      <c r="J531" s="5"/>
      <c r="K531" s="18" t="s">
        <v>1931</v>
      </c>
      <c r="L531" s="6">
        <f t="shared" si="16"/>
        <v>1</v>
      </c>
      <c r="M531" s="6" t="str">
        <f t="shared" si="17"/>
        <v>No</v>
      </c>
      <c r="N531" s="5"/>
      <c r="O531" s="5" t="s">
        <v>331</v>
      </c>
      <c r="P531" s="5"/>
      <c r="Q531" s="5"/>
      <c r="R531" s="5"/>
      <c r="S531" s="5"/>
      <c r="T531" s="5"/>
      <c r="U531" s="5" t="s">
        <v>66</v>
      </c>
      <c r="V531" s="5"/>
      <c r="W531" s="5" t="s">
        <v>51</v>
      </c>
      <c r="X531" s="5"/>
      <c r="Y531" s="5"/>
      <c r="Z531" s="5" t="s">
        <v>1368</v>
      </c>
    </row>
    <row r="532" spans="1:26" x14ac:dyDescent="0.25">
      <c r="A532" s="5" t="s">
        <v>1521</v>
      </c>
      <c r="B532" s="5"/>
      <c r="C532" s="5" t="s">
        <v>128</v>
      </c>
      <c r="D532" s="5"/>
      <c r="E532" s="5"/>
      <c r="F532" s="5"/>
      <c r="G532" s="5" t="s">
        <v>57</v>
      </c>
      <c r="H532" s="5" t="s">
        <v>1406</v>
      </c>
      <c r="I532" s="5"/>
      <c r="J532" s="5"/>
      <c r="K532" s="18" t="s">
        <v>1931</v>
      </c>
      <c r="L532" s="6">
        <f t="shared" ref="L532:L595" si="20">IF(A532="","",COUNTA(D532:F532)+COUNTA(G532:G532)+COUNTA(H532:H532)+COUNTA(I532:I532))</f>
        <v>2</v>
      </c>
      <c r="M532" s="6" t="str">
        <f t="shared" si="17"/>
        <v>No</v>
      </c>
      <c r="N532" s="5"/>
      <c r="O532" s="5"/>
      <c r="P532" s="5" t="s">
        <v>128</v>
      </c>
      <c r="Q532" s="5" t="s">
        <v>1407</v>
      </c>
      <c r="R532" s="5"/>
      <c r="S532" s="5"/>
      <c r="T532" s="5"/>
      <c r="U532" s="5" t="s">
        <v>66</v>
      </c>
      <c r="V532" s="5"/>
      <c r="W532" s="5" t="s">
        <v>51</v>
      </c>
      <c r="X532" s="5" t="s">
        <v>1406</v>
      </c>
      <c r="Y532" s="5" t="s">
        <v>57</v>
      </c>
      <c r="Z532" s="5"/>
    </row>
    <row r="533" spans="1:26" x14ac:dyDescent="0.25">
      <c r="A533" s="5" t="s">
        <v>1522</v>
      </c>
      <c r="B533" s="5"/>
      <c r="C533" s="5" t="s">
        <v>43</v>
      </c>
      <c r="D533" s="5" t="s">
        <v>44</v>
      </c>
      <c r="E533" s="5" t="s">
        <v>45</v>
      </c>
      <c r="F533" s="5" t="s">
        <v>107</v>
      </c>
      <c r="G533" s="5" t="s">
        <v>57</v>
      </c>
      <c r="H533" s="5" t="s">
        <v>271</v>
      </c>
      <c r="I533" s="5" t="s">
        <v>49</v>
      </c>
      <c r="J533" s="5"/>
      <c r="K533" s="18" t="s">
        <v>1931</v>
      </c>
      <c r="L533" s="6">
        <f t="shared" si="20"/>
        <v>6</v>
      </c>
      <c r="M533" s="6" t="str">
        <f t="shared" si="17"/>
        <v>Yes</v>
      </c>
      <c r="N533" s="5" t="s">
        <v>1524</v>
      </c>
      <c r="O533" s="5" t="s">
        <v>1525</v>
      </c>
      <c r="P533" s="5" t="s">
        <v>43</v>
      </c>
      <c r="Q533" s="5" t="s">
        <v>275</v>
      </c>
      <c r="R533" s="5" t="s">
        <v>1523</v>
      </c>
      <c r="S533" s="5"/>
      <c r="T533" s="5"/>
      <c r="U533" s="5" t="s">
        <v>110</v>
      </c>
      <c r="V533" s="5"/>
      <c r="W533" s="5" t="s">
        <v>112</v>
      </c>
      <c r="X533" s="5" t="s">
        <v>271</v>
      </c>
      <c r="Y533" s="5" t="s">
        <v>57</v>
      </c>
      <c r="Z533" s="5" t="s">
        <v>55</v>
      </c>
    </row>
    <row r="534" spans="1:26" x14ac:dyDescent="0.25">
      <c r="A534" s="5" t="s">
        <v>1362</v>
      </c>
      <c r="B534" s="5"/>
      <c r="C534" s="5" t="s">
        <v>43</v>
      </c>
      <c r="D534" s="5" t="s">
        <v>44</v>
      </c>
      <c r="E534" s="5" t="s">
        <v>45</v>
      </c>
      <c r="F534" s="5" t="s">
        <v>46</v>
      </c>
      <c r="G534" s="5" t="s">
        <v>57</v>
      </c>
      <c r="H534" s="5" t="s">
        <v>1526</v>
      </c>
      <c r="I534" s="5" t="s">
        <v>192</v>
      </c>
      <c r="J534" s="5" t="s">
        <v>133</v>
      </c>
      <c r="K534" s="18" t="s">
        <v>1931</v>
      </c>
      <c r="L534" s="6">
        <f t="shared" si="20"/>
        <v>6</v>
      </c>
      <c r="M534" s="6" t="str">
        <f t="shared" si="17"/>
        <v>Yes</v>
      </c>
      <c r="N534" s="5"/>
      <c r="O534" s="5" t="s">
        <v>1527</v>
      </c>
      <c r="P534" s="5" t="s">
        <v>43</v>
      </c>
      <c r="Q534" s="5"/>
      <c r="R534" s="5" t="s">
        <v>234</v>
      </c>
      <c r="S534" s="5"/>
      <c r="T534" s="5"/>
      <c r="U534" s="5" t="s">
        <v>50</v>
      </c>
      <c r="V534" s="5"/>
      <c r="W534" s="5" t="s">
        <v>51</v>
      </c>
      <c r="X534" s="5"/>
      <c r="Y534" s="5" t="s">
        <v>57</v>
      </c>
      <c r="Z534" s="5" t="s">
        <v>1528</v>
      </c>
    </row>
    <row r="535" spans="1:26" x14ac:dyDescent="0.25">
      <c r="A535" s="5" t="s">
        <v>1529</v>
      </c>
      <c r="B535" s="5"/>
      <c r="C535" s="5" t="s">
        <v>43</v>
      </c>
      <c r="D535" s="5" t="s">
        <v>76</v>
      </c>
      <c r="E535" s="5" t="s">
        <v>45</v>
      </c>
      <c r="F535" s="5" t="s">
        <v>46</v>
      </c>
      <c r="G535" s="5" t="s">
        <v>57</v>
      </c>
      <c r="H535" s="5" t="s">
        <v>1881</v>
      </c>
      <c r="I535" s="5" t="s">
        <v>123</v>
      </c>
      <c r="J535" s="5" t="s">
        <v>49</v>
      </c>
      <c r="K535" s="18" t="s">
        <v>1931</v>
      </c>
      <c r="L535" s="6">
        <f t="shared" si="20"/>
        <v>6</v>
      </c>
      <c r="M535" s="6" t="str">
        <f t="shared" si="17"/>
        <v>Yes</v>
      </c>
      <c r="N535" s="5" t="s">
        <v>1531</v>
      </c>
      <c r="O535" s="5" t="s">
        <v>1532</v>
      </c>
      <c r="P535" s="5" t="s">
        <v>43</v>
      </c>
      <c r="Q535" s="5"/>
      <c r="R535" s="5" t="s">
        <v>1530</v>
      </c>
      <c r="S535" s="5"/>
      <c r="T535" s="5"/>
      <c r="U535" s="5" t="s">
        <v>66</v>
      </c>
      <c r="V535" s="5"/>
      <c r="W535" s="5" t="s">
        <v>51</v>
      </c>
      <c r="X535" s="5" t="s">
        <v>83</v>
      </c>
      <c r="Y535" s="5"/>
      <c r="Z535" s="5" t="s">
        <v>88</v>
      </c>
    </row>
    <row r="536" spans="1:26" x14ac:dyDescent="0.25">
      <c r="A536" s="5" t="s">
        <v>1533</v>
      </c>
      <c r="B536" s="5"/>
      <c r="C536" s="5" t="s">
        <v>128</v>
      </c>
      <c r="D536" s="5"/>
      <c r="E536" s="5"/>
      <c r="F536" s="5"/>
      <c r="G536" s="5" t="s">
        <v>57</v>
      </c>
      <c r="H536" s="5" t="s">
        <v>718</v>
      </c>
      <c r="I536" s="5"/>
      <c r="J536" s="5"/>
      <c r="K536" s="18" t="s">
        <v>1931</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1534</v>
      </c>
      <c r="B537" s="5"/>
      <c r="C537" s="5" t="s">
        <v>70</v>
      </c>
      <c r="D537" s="5" t="s">
        <v>76</v>
      </c>
      <c r="E537" s="5"/>
      <c r="F537" s="5"/>
      <c r="G537" s="5" t="s">
        <v>47</v>
      </c>
      <c r="H537" s="5"/>
      <c r="I537" s="5"/>
      <c r="J537" s="5"/>
      <c r="K537" s="18" t="s">
        <v>1931</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1954</v>
      </c>
      <c r="K538" s="18" t="s">
        <v>1931</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1931</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1931</v>
      </c>
      <c r="L540" s="6">
        <f t="shared" si="20"/>
        <v>6</v>
      </c>
      <c r="M540" s="6" t="str">
        <f t="shared" si="17"/>
        <v>Yes</v>
      </c>
      <c r="N540" s="5"/>
      <c r="O540" s="5" t="s">
        <v>1955</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1931</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1931</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1168</v>
      </c>
      <c r="B543" s="5" t="s">
        <v>1169</v>
      </c>
      <c r="C543" s="5" t="s">
        <v>43</v>
      </c>
      <c r="D543" s="5" t="s">
        <v>44</v>
      </c>
      <c r="E543" s="5" t="s">
        <v>45</v>
      </c>
      <c r="F543" s="5" t="s">
        <v>46</v>
      </c>
      <c r="G543" s="5" t="s">
        <v>57</v>
      </c>
      <c r="H543" s="5" t="s">
        <v>313</v>
      </c>
      <c r="I543" s="5" t="s">
        <v>49</v>
      </c>
      <c r="J543" s="5"/>
      <c r="K543" s="18" t="s">
        <v>1931</v>
      </c>
      <c r="L543" s="6">
        <f t="shared" si="20"/>
        <v>6</v>
      </c>
      <c r="M543" s="6" t="str">
        <f t="shared" si="17"/>
        <v>Yes</v>
      </c>
      <c r="N543" s="5"/>
      <c r="O543" s="5" t="s">
        <v>1170</v>
      </c>
      <c r="P543" s="5" t="s">
        <v>43</v>
      </c>
      <c r="Q543" s="5"/>
      <c r="R543" s="5" t="s">
        <v>49</v>
      </c>
      <c r="S543" s="5"/>
      <c r="T543" s="5"/>
      <c r="U543" s="5" t="s">
        <v>110</v>
      </c>
      <c r="V543" s="5"/>
      <c r="W543" s="5" t="s">
        <v>112</v>
      </c>
      <c r="X543" s="5" t="s">
        <v>316</v>
      </c>
      <c r="Y543" s="5"/>
      <c r="Z543" s="5" t="s">
        <v>101</v>
      </c>
    </row>
    <row r="544" spans="1:26" x14ac:dyDescent="0.25">
      <c r="A544" s="5" t="s">
        <v>1411</v>
      </c>
      <c r="B544" s="5"/>
      <c r="C544" s="5" t="s">
        <v>43</v>
      </c>
      <c r="D544" s="5" t="s">
        <v>44</v>
      </c>
      <c r="E544" s="5" t="s">
        <v>1900</v>
      </c>
      <c r="F544" s="5" t="s">
        <v>107</v>
      </c>
      <c r="G544" s="5" t="s">
        <v>47</v>
      </c>
      <c r="H544" s="5" t="s">
        <v>313</v>
      </c>
      <c r="I544" s="5" t="s">
        <v>192</v>
      </c>
      <c r="J544" s="5"/>
      <c r="K544" s="18" t="s">
        <v>1931</v>
      </c>
      <c r="L544" s="6">
        <f t="shared" si="20"/>
        <v>6</v>
      </c>
      <c r="M544" s="6" t="str">
        <f t="shared" si="17"/>
        <v>Yes</v>
      </c>
      <c r="N544" s="5" t="s">
        <v>1412</v>
      </c>
      <c r="O544" s="5" t="s">
        <v>1413</v>
      </c>
      <c r="P544" s="5" t="s">
        <v>43</v>
      </c>
      <c r="Q544" s="5"/>
      <c r="R544" s="5" t="s">
        <v>192</v>
      </c>
      <c r="S544" s="5"/>
      <c r="T544" s="5"/>
      <c r="U544" s="5" t="s">
        <v>66</v>
      </c>
      <c r="V544" s="5"/>
      <c r="W544" s="5" t="s">
        <v>51</v>
      </c>
      <c r="X544" s="5" t="s">
        <v>316</v>
      </c>
      <c r="Y544" s="5" t="s">
        <v>1414</v>
      </c>
      <c r="Z544" s="5" t="s">
        <v>1415</v>
      </c>
    </row>
    <row r="545" spans="1:26" x14ac:dyDescent="0.25">
      <c r="A545" s="5" t="s">
        <v>1423</v>
      </c>
      <c r="B545" s="5" t="s">
        <v>1424</v>
      </c>
      <c r="C545" s="5" t="s">
        <v>43</v>
      </c>
      <c r="D545" s="5"/>
      <c r="E545" s="5" t="s">
        <v>252</v>
      </c>
      <c r="F545" s="5"/>
      <c r="G545" s="5" t="s">
        <v>57</v>
      </c>
      <c r="H545" s="5"/>
      <c r="I545" s="5" t="s">
        <v>49</v>
      </c>
      <c r="J545" s="5" t="s">
        <v>595</v>
      </c>
      <c r="K545" s="18" t="s">
        <v>1931</v>
      </c>
      <c r="L545" s="6">
        <f t="shared" si="20"/>
        <v>3</v>
      </c>
      <c r="M545" s="6" t="str">
        <f t="shared" si="17"/>
        <v>No</v>
      </c>
      <c r="N545" s="5"/>
      <c r="O545" s="5"/>
      <c r="P545" s="5"/>
      <c r="Q545" s="5"/>
      <c r="R545" s="5" t="s">
        <v>1425</v>
      </c>
      <c r="S545" s="5"/>
      <c r="T545" s="5"/>
      <c r="U545" s="5" t="s">
        <v>254</v>
      </c>
      <c r="V545" s="5"/>
      <c r="W545" s="5" t="s">
        <v>255</v>
      </c>
      <c r="X545" s="5"/>
      <c r="Y545" s="5"/>
      <c r="Z545" s="5" t="s">
        <v>256</v>
      </c>
    </row>
    <row r="546" spans="1:26" x14ac:dyDescent="0.25">
      <c r="A546" s="5" t="s">
        <v>1897</v>
      </c>
      <c r="B546" s="5" t="s">
        <v>1898</v>
      </c>
      <c r="C546" s="5" t="s">
        <v>43</v>
      </c>
      <c r="D546" s="5" t="s">
        <v>44</v>
      </c>
      <c r="E546" s="5" t="s">
        <v>331</v>
      </c>
      <c r="F546" s="5" t="s">
        <v>46</v>
      </c>
      <c r="G546" s="5" t="s">
        <v>47</v>
      </c>
      <c r="H546" s="5" t="s">
        <v>456</v>
      </c>
      <c r="I546" s="5" t="s">
        <v>192</v>
      </c>
      <c r="J546" s="5"/>
      <c r="K546" s="18" t="s">
        <v>1931</v>
      </c>
      <c r="L546" s="6">
        <f t="shared" si="20"/>
        <v>6</v>
      </c>
      <c r="M546" s="6" t="str">
        <f t="shared" si="17"/>
        <v>Yes</v>
      </c>
      <c r="N546" s="5"/>
      <c r="O546" s="5" t="s">
        <v>1899</v>
      </c>
      <c r="P546" s="5"/>
      <c r="Q546" s="5"/>
      <c r="R546" s="5"/>
      <c r="S546" s="5"/>
      <c r="T546" s="5"/>
      <c r="U546" s="5"/>
      <c r="V546" s="5"/>
      <c r="W546" s="5"/>
      <c r="X546" s="5"/>
      <c r="Y546" s="5"/>
      <c r="Z546" s="5"/>
    </row>
    <row r="547" spans="1:26" x14ac:dyDescent="0.25">
      <c r="A547" s="5" t="s">
        <v>1541</v>
      </c>
      <c r="B547" s="5"/>
      <c r="C547" s="5" t="s">
        <v>70</v>
      </c>
      <c r="D547" s="5"/>
      <c r="E547" s="5"/>
      <c r="F547" s="5"/>
      <c r="G547" s="5"/>
      <c r="H547" s="5"/>
      <c r="I547" s="5"/>
      <c r="J547" s="5"/>
      <c r="K547" s="18" t="s">
        <v>1931</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1535</v>
      </c>
      <c r="B548" s="5"/>
      <c r="C548" s="5" t="s">
        <v>43</v>
      </c>
      <c r="D548" s="5"/>
      <c r="E548" s="5"/>
      <c r="F548" s="5"/>
      <c r="G548" s="5"/>
      <c r="H548" s="5" t="s">
        <v>902</v>
      </c>
      <c r="I548" s="5"/>
      <c r="J548" s="5"/>
      <c r="K548" s="18" t="s">
        <v>1931</v>
      </c>
      <c r="L548" s="6">
        <f t="shared" si="20"/>
        <v>1</v>
      </c>
      <c r="M548" s="6" t="str">
        <f t="shared" si="17"/>
        <v>No</v>
      </c>
      <c r="N548" s="5"/>
      <c r="O548" s="5" t="s">
        <v>1536</v>
      </c>
      <c r="P548" s="5" t="s">
        <v>43</v>
      </c>
      <c r="Q548" s="5"/>
      <c r="R548" s="5"/>
      <c r="S548" s="5"/>
      <c r="T548" s="5"/>
      <c r="U548" s="5" t="s">
        <v>66</v>
      </c>
      <c r="V548" s="5"/>
      <c r="W548" s="5" t="s">
        <v>51</v>
      </c>
      <c r="X548" s="5" t="s">
        <v>903</v>
      </c>
      <c r="Y548" s="5"/>
      <c r="Z548" s="5"/>
    </row>
    <row r="549" spans="1:26" x14ac:dyDescent="0.25">
      <c r="A549" s="5" t="s">
        <v>1537</v>
      </c>
      <c r="B549" s="5"/>
      <c r="C549" s="5" t="s">
        <v>43</v>
      </c>
      <c r="D549" s="5"/>
      <c r="E549" s="5"/>
      <c r="F549" s="5"/>
      <c r="G549" s="5"/>
      <c r="H549" s="5" t="s">
        <v>902</v>
      </c>
      <c r="I549" s="5"/>
      <c r="J549" s="5"/>
      <c r="K549" s="18" t="s">
        <v>1931</v>
      </c>
      <c r="L549" s="6">
        <f t="shared" si="20"/>
        <v>1</v>
      </c>
      <c r="M549" s="6" t="str">
        <f t="shared" si="17"/>
        <v>No</v>
      </c>
      <c r="N549" s="5"/>
      <c r="O549" s="5" t="s">
        <v>1538</v>
      </c>
      <c r="P549" s="5" t="s">
        <v>43</v>
      </c>
      <c r="Q549" s="5"/>
      <c r="R549" s="5"/>
      <c r="S549" s="5"/>
      <c r="T549" s="5"/>
      <c r="U549" s="5" t="s">
        <v>66</v>
      </c>
      <c r="V549" s="5"/>
      <c r="W549" s="5" t="s">
        <v>51</v>
      </c>
      <c r="X549" s="5" t="s">
        <v>903</v>
      </c>
      <c r="Y549" s="5"/>
      <c r="Z549" s="5"/>
    </row>
    <row r="550" spans="1:26" x14ac:dyDescent="0.25">
      <c r="A550" s="5" t="s">
        <v>1539</v>
      </c>
      <c r="B550" s="5"/>
      <c r="C550" s="5" t="s">
        <v>43</v>
      </c>
      <c r="D550" s="5"/>
      <c r="E550" s="5"/>
      <c r="F550" s="5"/>
      <c r="G550" s="5"/>
      <c r="H550" s="5" t="s">
        <v>902</v>
      </c>
      <c r="I550" s="5"/>
      <c r="J550" s="5"/>
      <c r="K550" s="18" t="s">
        <v>1931</v>
      </c>
      <c r="L550" s="6">
        <f t="shared" si="20"/>
        <v>1</v>
      </c>
      <c r="M550" s="6" t="str">
        <f t="shared" si="17"/>
        <v>No</v>
      </c>
      <c r="N550" s="5"/>
      <c r="O550" s="5" t="s">
        <v>1540</v>
      </c>
      <c r="P550" s="5" t="s">
        <v>43</v>
      </c>
      <c r="Q550" s="5"/>
      <c r="R550" s="5"/>
      <c r="S550" s="5"/>
      <c r="T550" s="5"/>
      <c r="U550" s="5" t="s">
        <v>66</v>
      </c>
      <c r="V550" s="5"/>
      <c r="W550" s="5" t="s">
        <v>51</v>
      </c>
      <c r="X550" s="5" t="s">
        <v>903</v>
      </c>
      <c r="Y550" s="5"/>
      <c r="Z550" s="5"/>
    </row>
    <row r="551" spans="1:26" x14ac:dyDescent="0.25">
      <c r="A551" s="5" t="s">
        <v>1542</v>
      </c>
      <c r="B551" s="5"/>
      <c r="C551" s="5" t="s">
        <v>43</v>
      </c>
      <c r="D551" s="5" t="s">
        <v>76</v>
      </c>
      <c r="E551" s="5" t="s">
        <v>45</v>
      </c>
      <c r="F551" s="5" t="s">
        <v>107</v>
      </c>
      <c r="G551" s="5" t="s">
        <v>1845</v>
      </c>
      <c r="H551" s="5" t="s">
        <v>83</v>
      </c>
      <c r="I551" s="5" t="s">
        <v>192</v>
      </c>
      <c r="J551" s="5"/>
      <c r="K551" s="18" t="s">
        <v>1931</v>
      </c>
      <c r="L551" s="6">
        <f t="shared" si="20"/>
        <v>6</v>
      </c>
      <c r="M551" s="6" t="str">
        <f t="shared" si="17"/>
        <v>Yes</v>
      </c>
      <c r="N551" s="5"/>
      <c r="O551" s="5" t="s">
        <v>1956</v>
      </c>
      <c r="P551" s="5"/>
      <c r="Q551" s="5"/>
      <c r="R551" s="5" t="s">
        <v>192</v>
      </c>
      <c r="S551" s="5"/>
      <c r="T551" s="5"/>
      <c r="U551" s="5" t="s">
        <v>50</v>
      </c>
      <c r="V551" s="5"/>
      <c r="W551" s="5" t="s">
        <v>51</v>
      </c>
      <c r="X551" s="5" t="s">
        <v>83</v>
      </c>
      <c r="Y551" s="5"/>
      <c r="Z551" s="5" t="s">
        <v>428</v>
      </c>
    </row>
    <row r="552" spans="1:26" x14ac:dyDescent="0.25">
      <c r="A552" s="5" t="s">
        <v>1543</v>
      </c>
      <c r="B552" s="5"/>
      <c r="C552" s="5" t="s">
        <v>43</v>
      </c>
      <c r="D552" s="5"/>
      <c r="E552" s="5" t="s">
        <v>252</v>
      </c>
      <c r="F552" s="5"/>
      <c r="G552" s="5" t="s">
        <v>57</v>
      </c>
      <c r="H552" s="5"/>
      <c r="I552" s="5"/>
      <c r="J552" s="5"/>
      <c r="K552" s="18" t="s">
        <v>1931</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1544</v>
      </c>
      <c r="B553" s="5"/>
      <c r="C553" s="5"/>
      <c r="D553" s="5"/>
      <c r="E553" s="5"/>
      <c r="F553" s="5" t="s">
        <v>46</v>
      </c>
      <c r="G553" s="5"/>
      <c r="H553" s="5" t="s">
        <v>77</v>
      </c>
      <c r="I553" s="5"/>
      <c r="J553" s="5"/>
      <c r="K553" s="18" t="s">
        <v>1931</v>
      </c>
      <c r="L553" s="6">
        <f t="shared" si="20"/>
        <v>2</v>
      </c>
      <c r="M553" s="6" t="str">
        <f t="shared" si="17"/>
        <v>No</v>
      </c>
      <c r="N553" s="5"/>
      <c r="O553" s="5" t="s">
        <v>1545</v>
      </c>
      <c r="P553" s="5" t="s">
        <v>105</v>
      </c>
      <c r="Q553" s="5"/>
      <c r="R553" s="5"/>
      <c r="S553" s="5"/>
      <c r="T553" s="5"/>
      <c r="U553" s="5" t="s">
        <v>66</v>
      </c>
      <c r="V553" s="5" t="s">
        <v>103</v>
      </c>
      <c r="W553" s="5" t="s">
        <v>51</v>
      </c>
      <c r="X553" s="5" t="s">
        <v>77</v>
      </c>
      <c r="Y553" s="5"/>
      <c r="Z553" s="5" t="s">
        <v>583</v>
      </c>
    </row>
    <row r="554" spans="1:26" x14ac:dyDescent="0.25">
      <c r="A554" s="5" t="s">
        <v>1546</v>
      </c>
      <c r="B554" s="5" t="s">
        <v>1547</v>
      </c>
      <c r="C554" s="5" t="s">
        <v>43</v>
      </c>
      <c r="D554" s="5"/>
      <c r="E554" s="5"/>
      <c r="F554" s="5"/>
      <c r="G554" s="5"/>
      <c r="H554" s="5" t="s">
        <v>902</v>
      </c>
      <c r="I554" s="5" t="s">
        <v>91</v>
      </c>
      <c r="J554" s="5"/>
      <c r="K554" s="18" t="s">
        <v>1931</v>
      </c>
      <c r="L554" s="6">
        <f t="shared" si="20"/>
        <v>2</v>
      </c>
      <c r="M554" s="6" t="str">
        <f t="shared" si="17"/>
        <v>No</v>
      </c>
      <c r="N554" s="5"/>
      <c r="O554" s="5" t="s">
        <v>1548</v>
      </c>
      <c r="P554" s="5" t="s">
        <v>43</v>
      </c>
      <c r="Q554" s="5"/>
      <c r="R554" s="5" t="s">
        <v>91</v>
      </c>
      <c r="S554" s="5"/>
      <c r="T554" s="5"/>
      <c r="U554" s="5" t="s">
        <v>50</v>
      </c>
      <c r="V554" s="5"/>
      <c r="W554" s="5" t="s">
        <v>51</v>
      </c>
      <c r="X554" s="5" t="s">
        <v>903</v>
      </c>
      <c r="Y554" s="5"/>
      <c r="Z554" s="5" t="s">
        <v>587</v>
      </c>
    </row>
    <row r="555" spans="1:26" x14ac:dyDescent="0.25">
      <c r="A555" s="5" t="s">
        <v>1549</v>
      </c>
      <c r="B555" s="5"/>
      <c r="C555" s="5" t="s">
        <v>43</v>
      </c>
      <c r="D555" s="5" t="s">
        <v>44</v>
      </c>
      <c r="E555" s="5" t="s">
        <v>45</v>
      </c>
      <c r="F555" s="5" t="s">
        <v>46</v>
      </c>
      <c r="G555" s="5"/>
      <c r="H555" s="5" t="s">
        <v>1088</v>
      </c>
      <c r="I555" s="5" t="s">
        <v>91</v>
      </c>
      <c r="J555" s="5"/>
      <c r="K555" s="18" t="s">
        <v>1931</v>
      </c>
      <c r="L555" s="6">
        <f t="shared" si="20"/>
        <v>5</v>
      </c>
      <c r="M555" s="6" t="str">
        <f t="shared" si="17"/>
        <v>No</v>
      </c>
      <c r="N555" s="5" t="s">
        <v>1550</v>
      </c>
      <c r="O555" s="5" t="s">
        <v>1551</v>
      </c>
      <c r="P555" s="5" t="s">
        <v>43</v>
      </c>
      <c r="Q555" s="5"/>
      <c r="R555" s="5" t="s">
        <v>91</v>
      </c>
      <c r="S555" s="5"/>
      <c r="T555" s="5"/>
      <c r="U555" s="5" t="s">
        <v>50</v>
      </c>
      <c r="V555" s="5"/>
      <c r="W555" s="5" t="s">
        <v>51</v>
      </c>
      <c r="X555" s="5" t="s">
        <v>1092</v>
      </c>
      <c r="Y555" s="5"/>
      <c r="Z555" s="5" t="s">
        <v>347</v>
      </c>
    </row>
    <row r="556" spans="1:26" x14ac:dyDescent="0.25">
      <c r="A556" s="5" t="s">
        <v>1947</v>
      </c>
      <c r="B556" s="5"/>
      <c r="C556" s="5" t="s">
        <v>128</v>
      </c>
      <c r="D556" s="5" t="s">
        <v>44</v>
      </c>
      <c r="E556" s="5" t="s">
        <v>45</v>
      </c>
      <c r="F556" s="5" t="s">
        <v>107</v>
      </c>
      <c r="G556" s="5" t="s">
        <v>47</v>
      </c>
      <c r="H556" s="5" t="s">
        <v>1934</v>
      </c>
      <c r="I556" s="5" t="s">
        <v>91</v>
      </c>
      <c r="J556" s="5" t="s">
        <v>119</v>
      </c>
      <c r="K556" s="18" t="s">
        <v>1943</v>
      </c>
      <c r="L556" s="6">
        <f t="shared" si="20"/>
        <v>6</v>
      </c>
      <c r="M556" s="6" t="str">
        <f t="shared" si="17"/>
        <v>Yes</v>
      </c>
      <c r="N556" s="5"/>
      <c r="O556" s="5" t="s">
        <v>1948</v>
      </c>
      <c r="P556" s="5" t="s">
        <v>105</v>
      </c>
      <c r="Q556" s="5"/>
      <c r="R556" s="5"/>
      <c r="S556" s="5"/>
      <c r="T556" s="5"/>
      <c r="U556" s="5" t="s">
        <v>66</v>
      </c>
      <c r="V556" s="5" t="s">
        <v>103</v>
      </c>
      <c r="W556" s="5" t="s">
        <v>51</v>
      </c>
      <c r="X556" s="5"/>
      <c r="Y556" s="5"/>
      <c r="Z556" s="5"/>
    </row>
    <row r="557" spans="1:26" x14ac:dyDescent="0.25">
      <c r="A557" s="5" t="s">
        <v>1552</v>
      </c>
      <c r="B557" s="5"/>
      <c r="C557" s="5"/>
      <c r="D557" s="5"/>
      <c r="E557" s="5"/>
      <c r="F557" s="5"/>
      <c r="G557" s="5"/>
      <c r="H557" s="5"/>
      <c r="I557" s="5"/>
      <c r="J557" s="5"/>
      <c r="K557" s="18" t="s">
        <v>1931</v>
      </c>
      <c r="L557" s="6">
        <f t="shared" si="20"/>
        <v>0</v>
      </c>
      <c r="M557" s="6" t="str">
        <f t="shared" si="17"/>
        <v>No</v>
      </c>
      <c r="N557" s="5"/>
      <c r="O557" s="5" t="s">
        <v>1553</v>
      </c>
      <c r="P557" s="5" t="s">
        <v>105</v>
      </c>
      <c r="Q557" s="5"/>
      <c r="R557" s="5"/>
      <c r="S557" s="5"/>
      <c r="T557" s="5"/>
      <c r="U557" s="5" t="s">
        <v>66</v>
      </c>
      <c r="V557" s="5" t="s">
        <v>103</v>
      </c>
      <c r="W557" s="5" t="s">
        <v>51</v>
      </c>
      <c r="X557" s="5"/>
      <c r="Y557" s="5"/>
      <c r="Z557" s="5"/>
    </row>
    <row r="558" spans="1:26" x14ac:dyDescent="0.25">
      <c r="A558" s="5" t="s">
        <v>1554</v>
      </c>
      <c r="B558" s="5"/>
      <c r="C558" s="5" t="s">
        <v>70</v>
      </c>
      <c r="D558" s="5" t="s">
        <v>244</v>
      </c>
      <c r="E558" s="5"/>
      <c r="F558" s="5"/>
      <c r="G558" s="5" t="s">
        <v>47</v>
      </c>
      <c r="H558" s="5" t="s">
        <v>245</v>
      </c>
      <c r="I558" s="5" t="s">
        <v>123</v>
      </c>
      <c r="J558" s="5"/>
      <c r="K558" s="18" t="s">
        <v>1931</v>
      </c>
      <c r="L558" s="6">
        <f t="shared" si="20"/>
        <v>4</v>
      </c>
      <c r="M558" s="6" t="str">
        <f t="shared" si="17"/>
        <v>No</v>
      </c>
      <c r="N558" s="5"/>
      <c r="O558" s="5"/>
      <c r="P558" s="5"/>
      <c r="Q558" s="5"/>
      <c r="R558" s="5" t="s">
        <v>123</v>
      </c>
      <c r="S558" s="5"/>
      <c r="T558" s="5"/>
      <c r="U558" s="5" t="s">
        <v>124</v>
      </c>
      <c r="V558" s="5"/>
      <c r="W558" s="5" t="s">
        <v>125</v>
      </c>
      <c r="X558" s="5" t="s">
        <v>1555</v>
      </c>
      <c r="Y558" s="5" t="s">
        <v>47</v>
      </c>
      <c r="Z558" s="5" t="s">
        <v>285</v>
      </c>
    </row>
    <row r="559" spans="1:26" x14ac:dyDescent="0.25">
      <c r="A559" s="5" t="s">
        <v>1556</v>
      </c>
      <c r="B559" s="5"/>
      <c r="C559" s="5" t="s">
        <v>43</v>
      </c>
      <c r="D559" s="5" t="s">
        <v>44</v>
      </c>
      <c r="E559" s="5" t="s">
        <v>331</v>
      </c>
      <c r="F559" s="5" t="s">
        <v>46</v>
      </c>
      <c r="G559" s="5" t="s">
        <v>47</v>
      </c>
      <c r="H559" s="5" t="s">
        <v>1123</v>
      </c>
      <c r="I559" s="5" t="s">
        <v>123</v>
      </c>
      <c r="J559" s="5"/>
      <c r="K559" s="18" t="s">
        <v>1931</v>
      </c>
      <c r="L559" s="6">
        <f t="shared" si="20"/>
        <v>6</v>
      </c>
      <c r="M559" s="6" t="str">
        <f t="shared" si="17"/>
        <v>Yes</v>
      </c>
      <c r="N559" s="5"/>
      <c r="O559" s="5" t="s">
        <v>1558</v>
      </c>
      <c r="P559" s="5" t="s">
        <v>43</v>
      </c>
      <c r="Q559" s="5" t="s">
        <v>87</v>
      </c>
      <c r="R559" s="5" t="s">
        <v>123</v>
      </c>
      <c r="S559" s="5"/>
      <c r="T559" s="5"/>
      <c r="U559" s="5" t="s">
        <v>50</v>
      </c>
      <c r="V559" s="5" t="s">
        <v>225</v>
      </c>
      <c r="W559" s="5" t="s">
        <v>51</v>
      </c>
      <c r="X559" s="5" t="s">
        <v>1557</v>
      </c>
      <c r="Y559" s="5" t="s">
        <v>1430</v>
      </c>
      <c r="Z559" s="5" t="s">
        <v>1559</v>
      </c>
    </row>
    <row r="560" spans="1:26" x14ac:dyDescent="0.25">
      <c r="A560" s="5" t="s">
        <v>1893</v>
      </c>
      <c r="B560" s="5" t="s">
        <v>730</v>
      </c>
      <c r="C560" s="5" t="s">
        <v>43</v>
      </c>
      <c r="D560" s="5" t="s">
        <v>76</v>
      </c>
      <c r="E560" s="5" t="s">
        <v>331</v>
      </c>
      <c r="F560" s="5" t="s">
        <v>107</v>
      </c>
      <c r="G560" s="5" t="s">
        <v>57</v>
      </c>
      <c r="H560" s="5" t="s">
        <v>1860</v>
      </c>
      <c r="I560" s="5" t="s">
        <v>72</v>
      </c>
      <c r="J560" s="5" t="s">
        <v>71</v>
      </c>
      <c r="K560" s="18" t="s">
        <v>1931</v>
      </c>
      <c r="L560" s="6">
        <f t="shared" si="20"/>
        <v>6</v>
      </c>
      <c r="M560" s="6" t="str">
        <f t="shared" si="17"/>
        <v>Yes</v>
      </c>
      <c r="N560" s="5" t="s">
        <v>1876</v>
      </c>
      <c r="O560" s="5" t="s">
        <v>1892</v>
      </c>
      <c r="P560" s="5"/>
      <c r="Q560" s="5"/>
      <c r="R560" s="5" t="s">
        <v>72</v>
      </c>
      <c r="S560" s="5"/>
      <c r="T560" s="5"/>
      <c r="U560" s="5" t="s">
        <v>124</v>
      </c>
      <c r="V560" s="5"/>
      <c r="W560" s="5" t="s">
        <v>125</v>
      </c>
      <c r="X560" s="5" t="s">
        <v>332</v>
      </c>
      <c r="Y560" s="5" t="s">
        <v>57</v>
      </c>
      <c r="Z560" s="5" t="s">
        <v>1519</v>
      </c>
    </row>
    <row r="561" spans="1:26" x14ac:dyDescent="0.25">
      <c r="A561" s="5" t="s">
        <v>1560</v>
      </c>
      <c r="B561" s="5"/>
      <c r="C561" s="5" t="s">
        <v>128</v>
      </c>
      <c r="D561" s="5"/>
      <c r="E561" s="5"/>
      <c r="F561" s="5"/>
      <c r="G561" s="5"/>
      <c r="H561" s="5" t="s">
        <v>318</v>
      </c>
      <c r="I561" s="5"/>
      <c r="J561" s="5"/>
      <c r="K561" s="18" t="s">
        <v>1931</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1561</v>
      </c>
      <c r="B562" s="5"/>
      <c r="C562" s="5" t="s">
        <v>43</v>
      </c>
      <c r="D562" s="5" t="s">
        <v>44</v>
      </c>
      <c r="E562" s="5" t="s">
        <v>45</v>
      </c>
      <c r="F562" s="5" t="s">
        <v>46</v>
      </c>
      <c r="G562" s="5" t="s">
        <v>47</v>
      </c>
      <c r="H562" s="5" t="s">
        <v>214</v>
      </c>
      <c r="I562" s="5" t="s">
        <v>71</v>
      </c>
      <c r="J562" s="5"/>
      <c r="K562" s="18" t="s">
        <v>1931</v>
      </c>
      <c r="L562" s="6">
        <f t="shared" si="20"/>
        <v>6</v>
      </c>
      <c r="M562" s="6" t="str">
        <f t="shared" si="17"/>
        <v>Yes</v>
      </c>
      <c r="N562" s="5" t="s">
        <v>1562</v>
      </c>
      <c r="O562" s="5" t="s">
        <v>1563</v>
      </c>
      <c r="P562" s="5" t="s">
        <v>43</v>
      </c>
      <c r="Q562" s="5" t="s">
        <v>675</v>
      </c>
      <c r="R562" s="5" t="s">
        <v>71</v>
      </c>
      <c r="S562" s="5"/>
      <c r="T562" s="5"/>
      <c r="U562" s="5" t="s">
        <v>50</v>
      </c>
      <c r="V562" s="5"/>
      <c r="W562" s="5" t="s">
        <v>51</v>
      </c>
      <c r="X562" s="5" t="s">
        <v>214</v>
      </c>
      <c r="Y562" s="5" t="s">
        <v>181</v>
      </c>
      <c r="Z562" s="5" t="s">
        <v>55</v>
      </c>
    </row>
    <row r="563" spans="1:26" x14ac:dyDescent="0.25">
      <c r="A563" s="5" t="s">
        <v>1564</v>
      </c>
      <c r="B563" s="5"/>
      <c r="C563" s="5" t="s">
        <v>43</v>
      </c>
      <c r="D563" s="5" t="s">
        <v>76</v>
      </c>
      <c r="E563" s="5" t="s">
        <v>45</v>
      </c>
      <c r="F563" s="5" t="s">
        <v>46</v>
      </c>
      <c r="G563" s="5" t="s">
        <v>1845</v>
      </c>
      <c r="H563" s="5" t="s">
        <v>77</v>
      </c>
      <c r="I563" s="5" t="s">
        <v>119</v>
      </c>
      <c r="J563" s="5" t="s">
        <v>91</v>
      </c>
      <c r="K563" s="18" t="s">
        <v>1931</v>
      </c>
      <c r="L563" s="6">
        <f t="shared" si="20"/>
        <v>6</v>
      </c>
      <c r="M563" s="6" t="str">
        <f t="shared" si="17"/>
        <v>Yes</v>
      </c>
      <c r="N563" s="5" t="s">
        <v>1566</v>
      </c>
      <c r="O563" s="5" t="s">
        <v>1567</v>
      </c>
      <c r="P563" s="5" t="s">
        <v>43</v>
      </c>
      <c r="Q563" s="5" t="s">
        <v>471</v>
      </c>
      <c r="R563" s="5" t="s">
        <v>1565</v>
      </c>
      <c r="S563" s="5"/>
      <c r="T563" s="5"/>
      <c r="U563" s="5" t="s">
        <v>66</v>
      </c>
      <c r="V563" s="5"/>
      <c r="W563" s="5" t="s">
        <v>51</v>
      </c>
      <c r="X563" s="5" t="s">
        <v>77</v>
      </c>
      <c r="Y563" s="5"/>
      <c r="Z563" s="5" t="s">
        <v>242</v>
      </c>
    </row>
    <row r="564" spans="1:26" x14ac:dyDescent="0.25">
      <c r="A564" s="5" t="s">
        <v>1568</v>
      </c>
      <c r="B564" s="5"/>
      <c r="C564" s="5"/>
      <c r="D564" s="5"/>
      <c r="E564" s="5"/>
      <c r="F564" s="5"/>
      <c r="G564" s="5"/>
      <c r="H564" s="5" t="s">
        <v>557</v>
      </c>
      <c r="I564" s="5" t="s">
        <v>119</v>
      </c>
      <c r="J564" s="5" t="s">
        <v>91</v>
      </c>
      <c r="K564" s="18" t="s">
        <v>1931</v>
      </c>
      <c r="L564" s="6">
        <f t="shared" si="20"/>
        <v>2</v>
      </c>
      <c r="M564" s="6" t="str">
        <f t="shared" si="17"/>
        <v>No</v>
      </c>
      <c r="N564" s="5"/>
      <c r="O564" s="5" t="s">
        <v>1570</v>
      </c>
      <c r="P564" s="5" t="s">
        <v>105</v>
      </c>
      <c r="Q564" s="5"/>
      <c r="R564" s="5" t="s">
        <v>1569</v>
      </c>
      <c r="S564" s="5"/>
      <c r="T564" s="5"/>
      <c r="U564" s="5" t="s">
        <v>66</v>
      </c>
      <c r="V564" s="5" t="s">
        <v>103</v>
      </c>
      <c r="W564" s="5" t="s">
        <v>51</v>
      </c>
      <c r="X564" s="5" t="s">
        <v>557</v>
      </c>
      <c r="Y564" s="5"/>
      <c r="Z564" s="5"/>
    </row>
    <row r="565" spans="1:26" x14ac:dyDescent="0.25">
      <c r="A565" s="5" t="s">
        <v>1571</v>
      </c>
      <c r="B565" s="5"/>
      <c r="C565" s="5" t="s">
        <v>70</v>
      </c>
      <c r="D565" s="5"/>
      <c r="E565" s="5"/>
      <c r="F565" s="5"/>
      <c r="G565" s="5"/>
      <c r="H565" s="5" t="s">
        <v>205</v>
      </c>
      <c r="I565" s="5"/>
      <c r="J565" s="5"/>
      <c r="K565" s="18" t="s">
        <v>1931</v>
      </c>
      <c r="L565" s="6">
        <f t="shared" si="20"/>
        <v>1</v>
      </c>
      <c r="M565" s="6" t="str">
        <f t="shared" si="17"/>
        <v>No</v>
      </c>
      <c r="N565" s="5"/>
      <c r="O565" s="5" t="s">
        <v>1572</v>
      </c>
      <c r="P565" s="5"/>
      <c r="Q565" s="5"/>
      <c r="R565" s="5"/>
      <c r="S565" s="5"/>
      <c r="T565" s="5"/>
      <c r="U565" s="5" t="s">
        <v>50</v>
      </c>
      <c r="V565" s="5"/>
      <c r="W565" s="5" t="s">
        <v>51</v>
      </c>
      <c r="X565" s="5" t="s">
        <v>205</v>
      </c>
      <c r="Y565" s="5"/>
      <c r="Z565" s="5" t="s">
        <v>74</v>
      </c>
    </row>
    <row r="566" spans="1:26" x14ac:dyDescent="0.25">
      <c r="A566" s="5" t="s">
        <v>1573</v>
      </c>
      <c r="B566" s="5"/>
      <c r="C566" s="5" t="s">
        <v>43</v>
      </c>
      <c r="D566" s="5"/>
      <c r="E566" s="5"/>
      <c r="F566" s="5"/>
      <c r="G566" s="5"/>
      <c r="H566" s="5" t="s">
        <v>902</v>
      </c>
      <c r="I566" s="5"/>
      <c r="J566" s="5"/>
      <c r="K566" s="18" t="s">
        <v>1931</v>
      </c>
      <c r="L566" s="6">
        <f t="shared" si="20"/>
        <v>1</v>
      </c>
      <c r="M566" s="6" t="str">
        <f t="shared" si="17"/>
        <v>No</v>
      </c>
      <c r="N566" s="5"/>
      <c r="O566" s="5" t="s">
        <v>1574</v>
      </c>
      <c r="P566" s="5" t="s">
        <v>43</v>
      </c>
      <c r="Q566" s="5"/>
      <c r="R566" s="5"/>
      <c r="S566" s="5"/>
      <c r="T566" s="5"/>
      <c r="U566" s="5" t="s">
        <v>66</v>
      </c>
      <c r="V566" s="5"/>
      <c r="W566" s="5" t="s">
        <v>51</v>
      </c>
      <c r="X566" s="5" t="s">
        <v>903</v>
      </c>
      <c r="Y566" s="5"/>
      <c r="Z566" s="5"/>
    </row>
    <row r="567" spans="1:26" x14ac:dyDescent="0.25">
      <c r="A567" s="5" t="s">
        <v>1575</v>
      </c>
      <c r="B567" s="5"/>
      <c r="C567" s="5" t="s">
        <v>43</v>
      </c>
      <c r="D567" s="5"/>
      <c r="E567" s="5"/>
      <c r="F567" s="5"/>
      <c r="G567" s="5"/>
      <c r="H567" s="5" t="s">
        <v>902</v>
      </c>
      <c r="I567" s="5" t="s">
        <v>133</v>
      </c>
      <c r="J567" s="5"/>
      <c r="K567" s="18" t="s">
        <v>1931</v>
      </c>
      <c r="L567" s="6">
        <f t="shared" si="20"/>
        <v>2</v>
      </c>
      <c r="M567" s="6" t="str">
        <f t="shared" si="17"/>
        <v>No</v>
      </c>
      <c r="N567" s="5"/>
      <c r="O567" s="5" t="s">
        <v>1576</v>
      </c>
      <c r="P567" s="5" t="s">
        <v>43</v>
      </c>
      <c r="Q567" s="5"/>
      <c r="R567" s="5" t="s">
        <v>133</v>
      </c>
      <c r="S567" s="5"/>
      <c r="T567" s="5"/>
      <c r="U567" s="5" t="s">
        <v>66</v>
      </c>
      <c r="V567" s="5"/>
      <c r="W567" s="5" t="s">
        <v>51</v>
      </c>
      <c r="X567" s="5" t="s">
        <v>903</v>
      </c>
      <c r="Y567" s="5"/>
      <c r="Z567" s="5"/>
    </row>
    <row r="568" spans="1:26" x14ac:dyDescent="0.25">
      <c r="A568" s="5" t="s">
        <v>1577</v>
      </c>
      <c r="B568" s="5"/>
      <c r="C568" s="5" t="s">
        <v>128</v>
      </c>
      <c r="D568" s="5"/>
      <c r="E568" s="5"/>
      <c r="F568" s="5"/>
      <c r="G568" s="5" t="s">
        <v>57</v>
      </c>
      <c r="H568" s="5" t="s">
        <v>1322</v>
      </c>
      <c r="I568" s="5"/>
      <c r="J568" s="5"/>
      <c r="K568" s="18" t="s">
        <v>1931</v>
      </c>
      <c r="L568" s="6">
        <f t="shared" si="20"/>
        <v>2</v>
      </c>
      <c r="M568" s="6" t="str">
        <f t="shared" si="17"/>
        <v>No</v>
      </c>
      <c r="N568" s="5"/>
      <c r="O568" s="5"/>
      <c r="P568" s="5" t="s">
        <v>128</v>
      </c>
      <c r="Q568" s="5" t="s">
        <v>1323</v>
      </c>
      <c r="R568" s="5"/>
      <c r="S568" s="5"/>
      <c r="T568" s="5"/>
      <c r="U568" s="5" t="s">
        <v>66</v>
      </c>
      <c r="V568" s="5"/>
      <c r="W568" s="5" t="s">
        <v>51</v>
      </c>
      <c r="X568" s="5" t="s">
        <v>1322</v>
      </c>
      <c r="Y568" s="5" t="s">
        <v>57</v>
      </c>
      <c r="Z568" s="5"/>
    </row>
    <row r="569" spans="1:26" x14ac:dyDescent="0.25">
      <c r="A569" s="5" t="s">
        <v>1578</v>
      </c>
      <c r="B569" s="5"/>
      <c r="C569" s="5" t="s">
        <v>43</v>
      </c>
      <c r="D569" s="5" t="s">
        <v>44</v>
      </c>
      <c r="E569" s="5" t="s">
        <v>45</v>
      </c>
      <c r="F569" s="5" t="s">
        <v>46</v>
      </c>
      <c r="G569" s="5" t="s">
        <v>47</v>
      </c>
      <c r="H569" s="5" t="s">
        <v>313</v>
      </c>
      <c r="I569" s="5" t="s">
        <v>72</v>
      </c>
      <c r="J569" s="5" t="s">
        <v>1579</v>
      </c>
      <c r="K569" s="18" t="s">
        <v>1931</v>
      </c>
      <c r="L569" s="6">
        <f t="shared" si="20"/>
        <v>6</v>
      </c>
      <c r="M569" s="6" t="str">
        <f t="shared" si="17"/>
        <v>Yes</v>
      </c>
      <c r="N569" s="5"/>
      <c r="O569" s="5" t="s">
        <v>1581</v>
      </c>
      <c r="P569" s="5" t="s">
        <v>43</v>
      </c>
      <c r="Q569" s="5"/>
      <c r="R569" s="5" t="s">
        <v>1580</v>
      </c>
      <c r="S569" s="5"/>
      <c r="T569" s="5"/>
      <c r="U569" s="5" t="s">
        <v>50</v>
      </c>
      <c r="V569" s="5"/>
      <c r="W569" s="5" t="s">
        <v>51</v>
      </c>
      <c r="X569" s="5" t="s">
        <v>316</v>
      </c>
      <c r="Y569" s="5"/>
      <c r="Z569" s="5" t="s">
        <v>94</v>
      </c>
    </row>
    <row r="570" spans="1:26" x14ac:dyDescent="0.25">
      <c r="A570" s="5" t="s">
        <v>1658</v>
      </c>
      <c r="B570" s="5"/>
      <c r="C570" s="5" t="s">
        <v>43</v>
      </c>
      <c r="D570" s="5" t="s">
        <v>44</v>
      </c>
      <c r="E570" s="5" t="s">
        <v>45</v>
      </c>
      <c r="F570" s="5" t="s">
        <v>46</v>
      </c>
      <c r="G570" s="5" t="s">
        <v>1845</v>
      </c>
      <c r="H570" s="5" t="s">
        <v>1159</v>
      </c>
      <c r="I570" s="5" t="s">
        <v>49</v>
      </c>
      <c r="J570" s="5"/>
      <c r="K570" s="18" t="s">
        <v>1931</v>
      </c>
      <c r="L570" s="6">
        <f t="shared" si="20"/>
        <v>6</v>
      </c>
      <c r="M570" s="6" t="str">
        <f t="shared" si="17"/>
        <v>Yes</v>
      </c>
      <c r="N570" s="5"/>
      <c r="O570" s="5" t="s">
        <v>1582</v>
      </c>
      <c r="P570" s="5" t="s">
        <v>43</v>
      </c>
      <c r="Q570" s="5" t="s">
        <v>130</v>
      </c>
      <c r="R570" s="5" t="s">
        <v>49</v>
      </c>
      <c r="S570" s="5"/>
      <c r="T570" s="5"/>
      <c r="U570" s="5" t="s">
        <v>124</v>
      </c>
      <c r="V570" s="5"/>
      <c r="W570" s="5" t="s">
        <v>125</v>
      </c>
      <c r="X570" s="5" t="s">
        <v>1659</v>
      </c>
      <c r="Y570" s="5"/>
      <c r="Z570" s="5" t="s">
        <v>1660</v>
      </c>
    </row>
    <row r="571" spans="1:26" x14ac:dyDescent="0.25">
      <c r="A571" s="5" t="s">
        <v>1583</v>
      </c>
      <c r="B571" s="5"/>
      <c r="C571" s="5" t="s">
        <v>43</v>
      </c>
      <c r="D571" s="5"/>
      <c r="E571" s="5"/>
      <c r="F571" s="5"/>
      <c r="G571" s="5" t="s">
        <v>47</v>
      </c>
      <c r="H571" s="5"/>
      <c r="I571" s="5"/>
      <c r="J571" s="5"/>
      <c r="K571" s="18" t="s">
        <v>1931</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1584</v>
      </c>
      <c r="B572" s="5"/>
      <c r="C572" s="5"/>
      <c r="D572" s="5"/>
      <c r="E572" s="5"/>
      <c r="F572" s="5"/>
      <c r="G572" s="5"/>
      <c r="H572" s="5" t="s">
        <v>90</v>
      </c>
      <c r="I572" s="5"/>
      <c r="J572" s="5"/>
      <c r="K572" s="18" t="s">
        <v>1931</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1585</v>
      </c>
      <c r="B573" s="5"/>
      <c r="C573" s="5"/>
      <c r="D573" s="5"/>
      <c r="E573" s="5" t="s">
        <v>45</v>
      </c>
      <c r="F573" s="5" t="s">
        <v>46</v>
      </c>
      <c r="G573" s="5"/>
      <c r="H573" s="5" t="s">
        <v>90</v>
      </c>
      <c r="I573" s="5" t="s">
        <v>133</v>
      </c>
      <c r="J573" s="5"/>
      <c r="K573" s="18" t="s">
        <v>1931</v>
      </c>
      <c r="L573" s="6">
        <f t="shared" si="20"/>
        <v>4</v>
      </c>
      <c r="M573" s="6" t="str">
        <f t="shared" si="17"/>
        <v>No</v>
      </c>
      <c r="N573" s="5" t="s">
        <v>1586</v>
      </c>
      <c r="O573" s="5" t="s">
        <v>1587</v>
      </c>
      <c r="P573" s="5" t="s">
        <v>105</v>
      </c>
      <c r="Q573" s="5"/>
      <c r="R573" s="5" t="s">
        <v>133</v>
      </c>
      <c r="S573" s="5"/>
      <c r="T573" s="5"/>
      <c r="U573" s="5" t="s">
        <v>66</v>
      </c>
      <c r="V573" s="5" t="s">
        <v>103</v>
      </c>
      <c r="W573" s="5" t="s">
        <v>51</v>
      </c>
      <c r="X573" s="5" t="s">
        <v>90</v>
      </c>
      <c r="Y573" s="5"/>
      <c r="Z573" s="5" t="s">
        <v>203</v>
      </c>
    </row>
    <row r="574" spans="1:26" x14ac:dyDescent="0.25">
      <c r="A574" s="5" t="s">
        <v>1588</v>
      </c>
      <c r="B574" s="5"/>
      <c r="C574" s="5"/>
      <c r="D574" s="5"/>
      <c r="E574" s="5"/>
      <c r="F574" s="5"/>
      <c r="G574" s="5"/>
      <c r="H574" s="5" t="s">
        <v>259</v>
      </c>
      <c r="I574" s="5"/>
      <c r="J574" s="5"/>
      <c r="K574" s="18" t="s">
        <v>1931</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1589</v>
      </c>
      <c r="B575" s="5"/>
      <c r="C575" s="5" t="s">
        <v>43</v>
      </c>
      <c r="D575" s="5" t="s">
        <v>76</v>
      </c>
      <c r="E575" s="5" t="s">
        <v>45</v>
      </c>
      <c r="F575" s="5" t="s">
        <v>107</v>
      </c>
      <c r="G575" s="5" t="s">
        <v>1845</v>
      </c>
      <c r="H575" s="5" t="s">
        <v>77</v>
      </c>
      <c r="I575" s="5" t="s">
        <v>192</v>
      </c>
      <c r="J575" s="5"/>
      <c r="K575" s="18" t="s">
        <v>1931</v>
      </c>
      <c r="L575" s="6">
        <f t="shared" si="20"/>
        <v>6</v>
      </c>
      <c r="M575" s="6" t="str">
        <f t="shared" si="17"/>
        <v>Yes</v>
      </c>
      <c r="N575" s="5"/>
      <c r="O575" s="5" t="s">
        <v>1590</v>
      </c>
      <c r="P575" s="5" t="s">
        <v>43</v>
      </c>
      <c r="Q575" s="5"/>
      <c r="R575" s="5" t="s">
        <v>192</v>
      </c>
      <c r="S575" s="5"/>
      <c r="T575" s="5"/>
      <c r="U575" s="5" t="s">
        <v>50</v>
      </c>
      <c r="V575" s="5"/>
      <c r="W575" s="5" t="s">
        <v>51</v>
      </c>
      <c r="X575" s="5" t="s">
        <v>77</v>
      </c>
      <c r="Y575" s="5" t="s">
        <v>57</v>
      </c>
      <c r="Z575" s="5" t="s">
        <v>352</v>
      </c>
    </row>
    <row r="576" spans="1:26" x14ac:dyDescent="0.25">
      <c r="A576" s="5" t="s">
        <v>1591</v>
      </c>
      <c r="B576" s="5"/>
      <c r="C576" s="5" t="s">
        <v>43</v>
      </c>
      <c r="D576" s="5" t="s">
        <v>76</v>
      </c>
      <c r="E576" s="5"/>
      <c r="F576" s="5"/>
      <c r="G576" s="5" t="s">
        <v>57</v>
      </c>
      <c r="H576" s="5" t="s">
        <v>77</v>
      </c>
      <c r="I576" s="5" t="s">
        <v>133</v>
      </c>
      <c r="J576" s="5"/>
      <c r="K576" s="18" t="s">
        <v>1931</v>
      </c>
      <c r="L576" s="6">
        <f t="shared" si="20"/>
        <v>4</v>
      </c>
      <c r="M576" s="6" t="str">
        <f t="shared" si="17"/>
        <v>No</v>
      </c>
      <c r="N576" s="5"/>
      <c r="O576" s="5" t="s">
        <v>1592</v>
      </c>
      <c r="P576" s="5" t="s">
        <v>43</v>
      </c>
      <c r="Q576" s="5"/>
      <c r="R576" s="5" t="s">
        <v>133</v>
      </c>
      <c r="S576" s="5"/>
      <c r="T576" s="5"/>
      <c r="U576" s="5" t="s">
        <v>50</v>
      </c>
      <c r="V576" s="5"/>
      <c r="W576" s="5" t="s">
        <v>51</v>
      </c>
      <c r="X576" s="5" t="s">
        <v>77</v>
      </c>
      <c r="Y576" s="5"/>
      <c r="Z576" s="5" t="s">
        <v>64</v>
      </c>
    </row>
    <row r="577" spans="1:26" x14ac:dyDescent="0.25">
      <c r="A577" s="5" t="s">
        <v>1593</v>
      </c>
      <c r="B577" s="5"/>
      <c r="C577" s="5" t="s">
        <v>43</v>
      </c>
      <c r="D577" s="5" t="s">
        <v>44</v>
      </c>
      <c r="E577" s="5" t="s">
        <v>45</v>
      </c>
      <c r="F577" s="5" t="s">
        <v>46</v>
      </c>
      <c r="G577" s="5" t="s">
        <v>47</v>
      </c>
      <c r="H577" s="5" t="s">
        <v>1526</v>
      </c>
      <c r="I577" s="5" t="s">
        <v>192</v>
      </c>
      <c r="J577" s="5" t="s">
        <v>193</v>
      </c>
      <c r="K577" s="18" t="s">
        <v>1931</v>
      </c>
      <c r="L577" s="6">
        <f t="shared" si="20"/>
        <v>6</v>
      </c>
      <c r="M577" s="6" t="str">
        <f t="shared" si="17"/>
        <v>Yes</v>
      </c>
      <c r="N577" s="5"/>
      <c r="O577" s="5" t="s">
        <v>1596</v>
      </c>
      <c r="P577" s="5" t="s">
        <v>43</v>
      </c>
      <c r="Q577" s="5"/>
      <c r="R577" s="5" t="s">
        <v>1594</v>
      </c>
      <c r="S577" s="5"/>
      <c r="T577" s="5"/>
      <c r="U577" s="5" t="s">
        <v>50</v>
      </c>
      <c r="V577" s="5" t="s">
        <v>1595</v>
      </c>
      <c r="W577" s="5" t="s">
        <v>51</v>
      </c>
      <c r="X577" s="5" t="s">
        <v>635</v>
      </c>
      <c r="Y577" s="5" t="s">
        <v>1597</v>
      </c>
      <c r="Z577" s="5" t="s">
        <v>390</v>
      </c>
    </row>
    <row r="578" spans="1:26" x14ac:dyDescent="0.25">
      <c r="A578" s="5" t="s">
        <v>1598</v>
      </c>
      <c r="B578" s="5"/>
      <c r="C578" s="5" t="s">
        <v>70</v>
      </c>
      <c r="D578" s="5" t="s">
        <v>76</v>
      </c>
      <c r="E578" s="5"/>
      <c r="F578" s="5"/>
      <c r="G578" s="5"/>
      <c r="H578" s="5" t="s">
        <v>77</v>
      </c>
      <c r="I578" s="5" t="s">
        <v>72</v>
      </c>
      <c r="J578" s="5" t="s">
        <v>71</v>
      </c>
      <c r="K578" s="18" t="s">
        <v>1931</v>
      </c>
      <c r="L578" s="6">
        <f t="shared" si="20"/>
        <v>3</v>
      </c>
      <c r="M578" s="6" t="str">
        <f t="shared" si="17"/>
        <v>No</v>
      </c>
      <c r="N578" s="5"/>
      <c r="O578" s="5" t="s">
        <v>1600</v>
      </c>
      <c r="P578" s="5"/>
      <c r="Q578" s="5"/>
      <c r="R578" s="5" t="s">
        <v>1599</v>
      </c>
      <c r="S578" s="5"/>
      <c r="T578" s="5"/>
      <c r="U578" s="5" t="s">
        <v>50</v>
      </c>
      <c r="V578" s="5"/>
      <c r="W578" s="5" t="s">
        <v>51</v>
      </c>
      <c r="X578" s="5" t="s">
        <v>77</v>
      </c>
      <c r="Y578" s="5"/>
      <c r="Z578" s="5" t="s">
        <v>428</v>
      </c>
    </row>
    <row r="579" spans="1:26" x14ac:dyDescent="0.25">
      <c r="A579" s="5" t="s">
        <v>1601</v>
      </c>
      <c r="B579" s="5"/>
      <c r="C579" s="5"/>
      <c r="D579" s="5"/>
      <c r="E579" s="5" t="s">
        <v>45</v>
      </c>
      <c r="F579" s="5" t="s">
        <v>107</v>
      </c>
      <c r="G579" s="5"/>
      <c r="H579" s="5" t="s">
        <v>83</v>
      </c>
      <c r="I579" s="5" t="s">
        <v>59</v>
      </c>
      <c r="J579" s="5" t="s">
        <v>1602</v>
      </c>
      <c r="K579" s="18" t="s">
        <v>1931</v>
      </c>
      <c r="L579" s="6">
        <f t="shared" si="20"/>
        <v>4</v>
      </c>
      <c r="M579" s="6" t="str">
        <f t="shared" ref="M579:M643" si="21">IF(A579="","",IF(AND(L579=6,UPPER(S579)&lt;&gt;"Y",C579&lt;&gt;""),"Yes","No"))</f>
        <v>No</v>
      </c>
      <c r="N579" s="5" t="s">
        <v>1604</v>
      </c>
      <c r="O579" s="5" t="s">
        <v>1605</v>
      </c>
      <c r="P579" s="5" t="s">
        <v>105</v>
      </c>
      <c r="Q579" s="5"/>
      <c r="R579" s="5" t="s">
        <v>1603</v>
      </c>
      <c r="S579" s="5"/>
      <c r="T579" s="5"/>
      <c r="U579" s="5" t="s">
        <v>66</v>
      </c>
      <c r="V579" s="5" t="s">
        <v>103</v>
      </c>
      <c r="W579" s="5" t="s">
        <v>51</v>
      </c>
      <c r="X579" s="5" t="s">
        <v>83</v>
      </c>
      <c r="Y579" s="5"/>
      <c r="Z579" s="5" t="s">
        <v>203</v>
      </c>
    </row>
    <row r="580" spans="1:26" x14ac:dyDescent="0.25">
      <c r="A580" s="5" t="s">
        <v>1606</v>
      </c>
      <c r="B580" s="5"/>
      <c r="C580" s="5" t="s">
        <v>43</v>
      </c>
      <c r="D580" s="5" t="s">
        <v>76</v>
      </c>
      <c r="E580" s="5" t="s">
        <v>45</v>
      </c>
      <c r="F580" s="5" t="s">
        <v>46</v>
      </c>
      <c r="G580" s="5" t="s">
        <v>47</v>
      </c>
      <c r="H580" s="5" t="s">
        <v>77</v>
      </c>
      <c r="I580" s="5" t="s">
        <v>71</v>
      </c>
      <c r="J580" s="5"/>
      <c r="K580" s="18" t="s">
        <v>1931</v>
      </c>
      <c r="L580" s="6">
        <f t="shared" si="20"/>
        <v>6</v>
      </c>
      <c r="M580" s="6" t="str">
        <f t="shared" si="21"/>
        <v>Yes</v>
      </c>
      <c r="N580" s="5" t="s">
        <v>1607</v>
      </c>
      <c r="O580" s="5" t="s">
        <v>1608</v>
      </c>
      <c r="P580" s="5" t="s">
        <v>43</v>
      </c>
      <c r="Q580" s="5" t="s">
        <v>187</v>
      </c>
      <c r="R580" s="5" t="s">
        <v>71</v>
      </c>
      <c r="S580" s="5"/>
      <c r="T580" s="5"/>
      <c r="U580" s="5" t="s">
        <v>66</v>
      </c>
      <c r="V580" s="5"/>
      <c r="W580" s="5" t="s">
        <v>51</v>
      </c>
      <c r="X580" s="5" t="s">
        <v>77</v>
      </c>
      <c r="Y580" s="5" t="s">
        <v>67</v>
      </c>
      <c r="Z580" s="5" t="s">
        <v>88</v>
      </c>
    </row>
    <row r="581" spans="1:26" x14ac:dyDescent="0.25">
      <c r="A581" s="5" t="s">
        <v>1609</v>
      </c>
      <c r="B581" s="5"/>
      <c r="C581" s="5"/>
      <c r="D581" s="5"/>
      <c r="E581" s="5" t="s">
        <v>45</v>
      </c>
      <c r="F581" s="5" t="s">
        <v>107</v>
      </c>
      <c r="G581" s="5" t="s">
        <v>57</v>
      </c>
      <c r="H581" s="5" t="s">
        <v>58</v>
      </c>
      <c r="I581" s="5"/>
      <c r="J581" s="5"/>
      <c r="K581" s="18" t="s">
        <v>1931</v>
      </c>
      <c r="L581" s="6">
        <f t="shared" si="20"/>
        <v>4</v>
      </c>
      <c r="M581" s="6" t="str">
        <f t="shared" si="21"/>
        <v>No</v>
      </c>
      <c r="N581" s="5" t="s">
        <v>1610</v>
      </c>
      <c r="O581" s="5" t="s">
        <v>1611</v>
      </c>
      <c r="P581" s="5" t="s">
        <v>105</v>
      </c>
      <c r="Q581" s="5"/>
      <c r="R581" s="5"/>
      <c r="S581" s="5"/>
      <c r="T581" s="5"/>
      <c r="U581" s="5" t="s">
        <v>66</v>
      </c>
      <c r="V581" s="5" t="s">
        <v>103</v>
      </c>
      <c r="W581" s="5" t="s">
        <v>51</v>
      </c>
      <c r="X581" s="5" t="s">
        <v>63</v>
      </c>
      <c r="Y581" s="5" t="s">
        <v>57</v>
      </c>
      <c r="Z581" s="5" t="s">
        <v>1465</v>
      </c>
    </row>
    <row r="582" spans="1:26" x14ac:dyDescent="0.25">
      <c r="A582" s="5" t="s">
        <v>1612</v>
      </c>
      <c r="B582" s="5"/>
      <c r="C582" s="5" t="s">
        <v>70</v>
      </c>
      <c r="D582" s="5" t="s">
        <v>44</v>
      </c>
      <c r="E582" s="5"/>
      <c r="F582" s="5"/>
      <c r="G582" s="5"/>
      <c r="H582" s="5" t="s">
        <v>132</v>
      </c>
      <c r="I582" s="5" t="s">
        <v>91</v>
      </c>
      <c r="J582" s="5"/>
      <c r="K582" s="18" t="s">
        <v>1931</v>
      </c>
      <c r="L582" s="6">
        <f t="shared" si="20"/>
        <v>3</v>
      </c>
      <c r="M582" s="6" t="str">
        <f t="shared" si="21"/>
        <v>No</v>
      </c>
      <c r="N582" s="5"/>
      <c r="O582" s="5" t="s">
        <v>1613</v>
      </c>
      <c r="P582" s="5"/>
      <c r="Q582" s="5"/>
      <c r="R582" s="5" t="s">
        <v>91</v>
      </c>
      <c r="S582" s="5"/>
      <c r="T582" s="5"/>
      <c r="U582" s="5" t="s">
        <v>50</v>
      </c>
      <c r="V582" s="5"/>
      <c r="W582" s="5" t="s">
        <v>51</v>
      </c>
      <c r="X582" s="5" t="s">
        <v>132</v>
      </c>
      <c r="Y582" s="5"/>
      <c r="Z582" s="5" t="s">
        <v>428</v>
      </c>
    </row>
    <row r="583" spans="1:26" x14ac:dyDescent="0.25">
      <c r="A583" s="5" t="s">
        <v>1614</v>
      </c>
      <c r="B583" s="5"/>
      <c r="C583" s="5" t="s">
        <v>43</v>
      </c>
      <c r="D583" s="5" t="s">
        <v>44</v>
      </c>
      <c r="E583" s="5" t="s">
        <v>45</v>
      </c>
      <c r="F583" s="5" t="s">
        <v>46</v>
      </c>
      <c r="G583" s="5" t="s">
        <v>47</v>
      </c>
      <c r="H583" s="5" t="s">
        <v>1858</v>
      </c>
      <c r="I583" s="5" t="s">
        <v>49</v>
      </c>
      <c r="J583" s="5"/>
      <c r="K583" s="18" t="s">
        <v>1931</v>
      </c>
      <c r="L583" s="6">
        <f t="shared" si="20"/>
        <v>6</v>
      </c>
      <c r="M583" s="6" t="str">
        <f t="shared" si="21"/>
        <v>Yes</v>
      </c>
      <c r="N583" s="5"/>
      <c r="O583" s="5" t="s">
        <v>1615</v>
      </c>
      <c r="P583" s="5" t="s">
        <v>43</v>
      </c>
      <c r="Q583" s="5" t="s">
        <v>68</v>
      </c>
      <c r="R583" s="5" t="s">
        <v>133</v>
      </c>
      <c r="S583" s="5"/>
      <c r="T583" s="5"/>
      <c r="U583" s="5" t="s">
        <v>50</v>
      </c>
      <c r="V583" s="5"/>
      <c r="W583" s="5" t="s">
        <v>51</v>
      </c>
      <c r="X583" s="5" t="s">
        <v>99</v>
      </c>
      <c r="Y583" s="5"/>
      <c r="Z583" s="5" t="s">
        <v>81</v>
      </c>
    </row>
    <row r="584" spans="1:26" x14ac:dyDescent="0.25">
      <c r="A584" s="5" t="s">
        <v>1616</v>
      </c>
      <c r="B584" s="5"/>
      <c r="C584" s="5" t="s">
        <v>43</v>
      </c>
      <c r="D584" s="5" t="s">
        <v>76</v>
      </c>
      <c r="E584" s="5" t="s">
        <v>45</v>
      </c>
      <c r="F584" s="5" t="s">
        <v>46</v>
      </c>
      <c r="G584" s="5" t="s">
        <v>47</v>
      </c>
      <c r="H584" s="5" t="s">
        <v>58</v>
      </c>
      <c r="I584" s="5"/>
      <c r="J584" s="5"/>
      <c r="K584" s="18" t="s">
        <v>1931</v>
      </c>
      <c r="L584" s="6">
        <f t="shared" si="20"/>
        <v>5</v>
      </c>
      <c r="M584" s="6" t="str">
        <f t="shared" si="21"/>
        <v>No</v>
      </c>
      <c r="N584" s="5" t="s">
        <v>1886</v>
      </c>
      <c r="O584" s="5" t="s">
        <v>1885</v>
      </c>
      <c r="P584" s="5" t="s">
        <v>43</v>
      </c>
      <c r="Q584" s="5"/>
      <c r="R584" s="5"/>
      <c r="S584" s="5"/>
      <c r="T584" s="5"/>
      <c r="U584" s="5" t="s">
        <v>50</v>
      </c>
      <c r="V584" s="5"/>
      <c r="W584" s="5" t="s">
        <v>51</v>
      </c>
      <c r="X584" s="5"/>
      <c r="Y584" s="5" t="s">
        <v>47</v>
      </c>
      <c r="Z584" s="5" t="s">
        <v>136</v>
      </c>
    </row>
    <row r="585" spans="1:26" x14ac:dyDescent="0.25">
      <c r="A585" s="5" t="s">
        <v>1617</v>
      </c>
      <c r="B585" s="5"/>
      <c r="C585" s="5" t="s">
        <v>105</v>
      </c>
      <c r="D585" s="5"/>
      <c r="E585" s="5"/>
      <c r="F585" s="5"/>
      <c r="G585" s="5"/>
      <c r="H585" s="5" t="s">
        <v>557</v>
      </c>
      <c r="I585" s="5" t="s">
        <v>71</v>
      </c>
      <c r="J585" s="5" t="s">
        <v>1618</v>
      </c>
      <c r="K585" s="18" t="s">
        <v>1931</v>
      </c>
      <c r="L585" s="6">
        <f t="shared" si="20"/>
        <v>2</v>
      </c>
      <c r="M585" s="6" t="str">
        <f t="shared" si="21"/>
        <v>No</v>
      </c>
      <c r="N585" s="5"/>
      <c r="O585" s="5" t="s">
        <v>1620</v>
      </c>
      <c r="P585" s="5" t="s">
        <v>105</v>
      </c>
      <c r="Q585" s="5"/>
      <c r="R585" s="5" t="s">
        <v>1619</v>
      </c>
      <c r="S585" s="5"/>
      <c r="T585" s="5"/>
      <c r="U585" s="5" t="s">
        <v>66</v>
      </c>
      <c r="V585" s="5" t="s">
        <v>103</v>
      </c>
      <c r="W585" s="5" t="s">
        <v>51</v>
      </c>
      <c r="X585" s="5" t="s">
        <v>557</v>
      </c>
      <c r="Y585" s="5"/>
      <c r="Z585" s="5"/>
    </row>
    <row r="586" spans="1:26" x14ac:dyDescent="0.25">
      <c r="A586" s="5" t="s">
        <v>1621</v>
      </c>
      <c r="B586" s="5"/>
      <c r="C586" s="5" t="s">
        <v>43</v>
      </c>
      <c r="D586" s="5" t="s">
        <v>76</v>
      </c>
      <c r="E586" s="5" t="s">
        <v>45</v>
      </c>
      <c r="F586" s="5" t="s">
        <v>107</v>
      </c>
      <c r="G586" s="5" t="s">
        <v>57</v>
      </c>
      <c r="H586" s="5" t="s">
        <v>83</v>
      </c>
      <c r="I586" s="5" t="s">
        <v>91</v>
      </c>
      <c r="J586" s="5"/>
      <c r="K586" s="18" t="s">
        <v>1931</v>
      </c>
      <c r="L586" s="6">
        <f t="shared" si="20"/>
        <v>6</v>
      </c>
      <c r="M586" s="6" t="str">
        <f t="shared" si="21"/>
        <v>Yes</v>
      </c>
      <c r="N586" s="5" t="s">
        <v>1623</v>
      </c>
      <c r="O586" s="5" t="s">
        <v>1624</v>
      </c>
      <c r="P586" s="5" t="s">
        <v>43</v>
      </c>
      <c r="Q586" s="5" t="s">
        <v>471</v>
      </c>
      <c r="R586" s="5" t="s">
        <v>1622</v>
      </c>
      <c r="S586" s="5"/>
      <c r="T586" s="5"/>
      <c r="U586" s="5" t="s">
        <v>110</v>
      </c>
      <c r="V586" s="5" t="s">
        <v>225</v>
      </c>
      <c r="W586" s="5" t="s">
        <v>112</v>
      </c>
      <c r="X586" s="5" t="s">
        <v>1625</v>
      </c>
      <c r="Y586" s="5" t="s">
        <v>57</v>
      </c>
      <c r="Z586" s="5" t="s">
        <v>117</v>
      </c>
    </row>
    <row r="587" spans="1:26" x14ac:dyDescent="0.25">
      <c r="A587" s="5" t="s">
        <v>1626</v>
      </c>
      <c r="B587" s="5"/>
      <c r="C587" s="5" t="s">
        <v>43</v>
      </c>
      <c r="D587" s="5"/>
      <c r="E587" s="5"/>
      <c r="F587" s="5"/>
      <c r="G587" s="5" t="s">
        <v>47</v>
      </c>
      <c r="H587" s="5"/>
      <c r="I587" s="5"/>
      <c r="J587" s="5"/>
      <c r="K587" s="18" t="s">
        <v>1931</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1627</v>
      </c>
      <c r="B588" s="5"/>
      <c r="C588" s="5" t="s">
        <v>43</v>
      </c>
      <c r="D588" s="5"/>
      <c r="E588" s="5"/>
      <c r="F588" s="5"/>
      <c r="G588" s="5" t="s">
        <v>47</v>
      </c>
      <c r="H588" s="5"/>
      <c r="I588" s="5"/>
      <c r="J588" s="5"/>
      <c r="K588" s="18" t="s">
        <v>1931</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1628</v>
      </c>
      <c r="B589" s="5"/>
      <c r="C589" s="5" t="s">
        <v>70</v>
      </c>
      <c r="D589" s="5" t="s">
        <v>76</v>
      </c>
      <c r="E589" s="5"/>
      <c r="F589" s="5"/>
      <c r="G589" s="5"/>
      <c r="H589" s="5" t="s">
        <v>1629</v>
      </c>
      <c r="I589" s="5" t="s">
        <v>192</v>
      </c>
      <c r="J589" s="5"/>
      <c r="K589" s="18" t="s">
        <v>1931</v>
      </c>
      <c r="L589" s="6">
        <f t="shared" si="20"/>
        <v>3</v>
      </c>
      <c r="M589" s="6" t="str">
        <f t="shared" si="21"/>
        <v>No</v>
      </c>
      <c r="N589" s="5"/>
      <c r="O589" s="5"/>
      <c r="P589" s="5"/>
      <c r="Q589" s="5"/>
      <c r="R589" s="5" t="s">
        <v>192</v>
      </c>
      <c r="S589" s="5"/>
      <c r="T589" s="5"/>
      <c r="U589" s="5" t="s">
        <v>50</v>
      </c>
      <c r="V589" s="5"/>
      <c r="W589" s="5" t="s">
        <v>51</v>
      </c>
      <c r="X589" s="5" t="s">
        <v>1629</v>
      </c>
      <c r="Y589" s="5"/>
      <c r="Z589" s="5" t="s">
        <v>189</v>
      </c>
    </row>
    <row r="590" spans="1:26" x14ac:dyDescent="0.25">
      <c r="A590" s="5" t="s">
        <v>1630</v>
      </c>
      <c r="B590" s="5"/>
      <c r="C590" s="5" t="s">
        <v>43</v>
      </c>
      <c r="D590" s="5" t="s">
        <v>76</v>
      </c>
      <c r="E590" s="5" t="s">
        <v>45</v>
      </c>
      <c r="F590" s="5" t="s">
        <v>46</v>
      </c>
      <c r="G590" s="5" t="s">
        <v>57</v>
      </c>
      <c r="H590" s="5" t="s">
        <v>83</v>
      </c>
      <c r="I590" s="5" t="s">
        <v>59</v>
      </c>
      <c r="J590" s="5" t="s">
        <v>193</v>
      </c>
      <c r="K590" s="18" t="s">
        <v>1931</v>
      </c>
      <c r="L590" s="6">
        <f t="shared" si="20"/>
        <v>6</v>
      </c>
      <c r="M590" s="6" t="str">
        <f t="shared" si="21"/>
        <v>Yes</v>
      </c>
      <c r="N590" s="5"/>
      <c r="O590" s="5" t="s">
        <v>1632</v>
      </c>
      <c r="P590" s="5" t="s">
        <v>43</v>
      </c>
      <c r="Q590" s="5"/>
      <c r="R590" s="5" t="s">
        <v>1631</v>
      </c>
      <c r="S590" s="5"/>
      <c r="T590" s="5"/>
      <c r="U590" s="5" t="s">
        <v>50</v>
      </c>
      <c r="V590" s="5"/>
      <c r="W590" s="5" t="s">
        <v>51</v>
      </c>
      <c r="X590" s="5" t="s">
        <v>83</v>
      </c>
      <c r="Y590" s="5"/>
      <c r="Z590" s="5" t="s">
        <v>136</v>
      </c>
    </row>
    <row r="591" spans="1:26" x14ac:dyDescent="0.25">
      <c r="A591" s="5" t="s">
        <v>1633</v>
      </c>
      <c r="B591" s="5"/>
      <c r="C591" s="5" t="s">
        <v>43</v>
      </c>
      <c r="D591" s="5" t="s">
        <v>44</v>
      </c>
      <c r="E591" s="5" t="s">
        <v>45</v>
      </c>
      <c r="F591" s="5" t="s">
        <v>46</v>
      </c>
      <c r="G591" s="5" t="s">
        <v>1845</v>
      </c>
      <c r="H591" s="5" t="s">
        <v>1088</v>
      </c>
      <c r="I591" s="5" t="s">
        <v>49</v>
      </c>
      <c r="J591" s="5" t="s">
        <v>1634</v>
      </c>
      <c r="K591" s="18" t="s">
        <v>1932</v>
      </c>
      <c r="L591" s="6">
        <f t="shared" si="20"/>
        <v>6</v>
      </c>
      <c r="M591" s="6" t="str">
        <f t="shared" si="21"/>
        <v>Yes</v>
      </c>
      <c r="N591" s="5"/>
      <c r="O591" s="5" t="s">
        <v>1636</v>
      </c>
      <c r="P591" s="5"/>
      <c r="Q591" s="5">
        <v>25.3</v>
      </c>
      <c r="R591" s="5" t="s">
        <v>1635</v>
      </c>
      <c r="S591" s="5"/>
      <c r="T591" s="5"/>
      <c r="U591" s="5" t="s">
        <v>50</v>
      </c>
      <c r="V591" s="5"/>
      <c r="W591" s="5" t="s">
        <v>51</v>
      </c>
      <c r="X591" s="5" t="s">
        <v>63</v>
      </c>
      <c r="Y591" s="5"/>
      <c r="Z591" s="5" t="s">
        <v>428</v>
      </c>
    </row>
    <row r="592" spans="1:26" x14ac:dyDescent="0.25">
      <c r="A592" s="5" t="s">
        <v>1637</v>
      </c>
      <c r="B592" s="5"/>
      <c r="C592" s="5" t="s">
        <v>43</v>
      </c>
      <c r="D592" s="5"/>
      <c r="E592" s="5"/>
      <c r="F592" s="5"/>
      <c r="G592" s="5" t="s">
        <v>47</v>
      </c>
      <c r="H592" s="5"/>
      <c r="I592" s="5"/>
      <c r="J592" s="5"/>
      <c r="K592" s="18" t="s">
        <v>1931</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1638</v>
      </c>
      <c r="B593" s="5"/>
      <c r="C593" s="5" t="s">
        <v>43</v>
      </c>
      <c r="D593" s="5" t="s">
        <v>76</v>
      </c>
      <c r="E593" s="5" t="s">
        <v>331</v>
      </c>
      <c r="F593" s="5" t="s">
        <v>46</v>
      </c>
      <c r="G593" s="5" t="s">
        <v>57</v>
      </c>
      <c r="H593" s="5" t="s">
        <v>332</v>
      </c>
      <c r="I593" s="5" t="s">
        <v>72</v>
      </c>
      <c r="J593" s="5" t="s">
        <v>178</v>
      </c>
      <c r="K593" s="18" t="s">
        <v>1931</v>
      </c>
      <c r="L593" s="6">
        <f t="shared" si="20"/>
        <v>6</v>
      </c>
      <c r="M593" s="6" t="str">
        <f t="shared" si="21"/>
        <v>Yes</v>
      </c>
      <c r="N593" s="5"/>
      <c r="O593" s="5" t="s">
        <v>1640</v>
      </c>
      <c r="P593" s="5" t="s">
        <v>43</v>
      </c>
      <c r="Q593" s="5" t="s">
        <v>1641</v>
      </c>
      <c r="R593" s="5" t="s">
        <v>1639</v>
      </c>
      <c r="S593" s="5"/>
      <c r="T593" s="5"/>
      <c r="U593" s="5" t="s">
        <v>110</v>
      </c>
      <c r="V593" s="5" t="s">
        <v>225</v>
      </c>
      <c r="W593" s="5" t="s">
        <v>112</v>
      </c>
      <c r="X593" s="5" t="s">
        <v>746</v>
      </c>
      <c r="Y593" s="5"/>
      <c r="Z593" s="5" t="s">
        <v>1642</v>
      </c>
    </row>
    <row r="594" spans="1:26" x14ac:dyDescent="0.25">
      <c r="A594" s="5" t="s">
        <v>1643</v>
      </c>
      <c r="B594" s="5"/>
      <c r="C594" s="5" t="s">
        <v>105</v>
      </c>
      <c r="D594" s="5"/>
      <c r="E594" s="5" t="s">
        <v>331</v>
      </c>
      <c r="F594" s="5"/>
      <c r="G594" s="5"/>
      <c r="H594" s="5"/>
      <c r="I594" s="5"/>
      <c r="J594" s="5"/>
      <c r="K594" s="18" t="s">
        <v>1931</v>
      </c>
      <c r="L594" s="6">
        <f t="shared" si="20"/>
        <v>1</v>
      </c>
      <c r="M594" s="6" t="str">
        <f t="shared" si="21"/>
        <v>No</v>
      </c>
      <c r="N594" s="5"/>
      <c r="O594" s="5" t="s">
        <v>331</v>
      </c>
      <c r="P594" s="5" t="s">
        <v>105</v>
      </c>
      <c r="Q594" s="5"/>
      <c r="R594" s="5"/>
      <c r="S594" s="5"/>
      <c r="T594" s="5"/>
      <c r="U594" s="5" t="s">
        <v>66</v>
      </c>
      <c r="V594" s="5" t="s">
        <v>103</v>
      </c>
      <c r="W594" s="5" t="s">
        <v>51</v>
      </c>
      <c r="X594" s="5"/>
      <c r="Y594" s="5"/>
      <c r="Z594" s="5" t="s">
        <v>1368</v>
      </c>
    </row>
    <row r="595" spans="1:26" x14ac:dyDescent="0.25">
      <c r="A595" s="5" t="s">
        <v>1644</v>
      </c>
      <c r="B595" s="5"/>
      <c r="C595" s="5"/>
      <c r="D595" s="5"/>
      <c r="E595" s="5"/>
      <c r="F595" s="5"/>
      <c r="G595" s="5"/>
      <c r="H595" s="5" t="s">
        <v>437</v>
      </c>
      <c r="I595" s="5"/>
      <c r="J595" s="5"/>
      <c r="K595" s="18" t="s">
        <v>1931</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1645</v>
      </c>
      <c r="B596" s="5"/>
      <c r="C596" s="5" t="s">
        <v>43</v>
      </c>
      <c r="D596" s="5" t="s">
        <v>44</v>
      </c>
      <c r="E596" s="5" t="s">
        <v>45</v>
      </c>
      <c r="F596" s="5" t="s">
        <v>107</v>
      </c>
      <c r="G596" s="5" t="s">
        <v>47</v>
      </c>
      <c r="H596" s="5" t="s">
        <v>1123</v>
      </c>
      <c r="I596" s="5" t="s">
        <v>91</v>
      </c>
      <c r="J596" s="5"/>
      <c r="K596" s="18" t="s">
        <v>1931</v>
      </c>
      <c r="L596" s="6">
        <f t="shared" ref="L596:L660" si="22">IF(A596="","",COUNTA(D596:F596)+COUNTA(G596:G596)+COUNTA(H596:H596)+COUNTA(I596:I596))</f>
        <v>6</v>
      </c>
      <c r="M596" s="6" t="str">
        <f t="shared" si="21"/>
        <v>Yes</v>
      </c>
      <c r="N596" s="5"/>
      <c r="O596" s="5" t="s">
        <v>1646</v>
      </c>
      <c r="P596" s="5" t="s">
        <v>43</v>
      </c>
      <c r="Q596" s="5" t="s">
        <v>68</v>
      </c>
      <c r="R596" s="5" t="s">
        <v>91</v>
      </c>
      <c r="S596" s="5"/>
      <c r="T596" s="5"/>
      <c r="U596" s="5" t="s">
        <v>50</v>
      </c>
      <c r="V596" s="5"/>
      <c r="W596" s="5" t="s">
        <v>51</v>
      </c>
      <c r="X596" s="5" t="s">
        <v>1123</v>
      </c>
      <c r="Y596" s="5"/>
      <c r="Z596" s="5" t="s">
        <v>81</v>
      </c>
    </row>
    <row r="597" spans="1:26" x14ac:dyDescent="0.25">
      <c r="A597" s="5" t="s">
        <v>1647</v>
      </c>
      <c r="B597" s="5"/>
      <c r="C597" s="5" t="s">
        <v>128</v>
      </c>
      <c r="D597" s="5"/>
      <c r="E597" s="5"/>
      <c r="F597" s="5"/>
      <c r="G597" s="5"/>
      <c r="H597" s="5" t="s">
        <v>58</v>
      </c>
      <c r="I597" s="5"/>
      <c r="J597" s="5"/>
      <c r="K597" s="18" t="s">
        <v>1931</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1648</v>
      </c>
      <c r="B598" s="5"/>
      <c r="C598" s="5" t="s">
        <v>128</v>
      </c>
      <c r="D598" s="5" t="s">
        <v>76</v>
      </c>
      <c r="E598" s="5" t="s">
        <v>45</v>
      </c>
      <c r="F598" s="5" t="s">
        <v>46</v>
      </c>
      <c r="G598" s="5" t="s">
        <v>47</v>
      </c>
      <c r="H598" s="5" t="s">
        <v>1858</v>
      </c>
      <c r="I598" s="5" t="s">
        <v>91</v>
      </c>
      <c r="J598" s="5" t="s">
        <v>49</v>
      </c>
      <c r="K598" s="18" t="s">
        <v>1931</v>
      </c>
      <c r="L598" s="6">
        <f t="shared" si="22"/>
        <v>6</v>
      </c>
      <c r="M598" s="6" t="str">
        <f t="shared" si="21"/>
        <v>Yes</v>
      </c>
      <c r="N598" s="5"/>
      <c r="O598" s="5" t="s">
        <v>1957</v>
      </c>
      <c r="P598" s="5" t="s">
        <v>128</v>
      </c>
      <c r="Q598" s="5" t="s">
        <v>130</v>
      </c>
      <c r="R598" s="5"/>
      <c r="S598" s="5"/>
      <c r="T598" s="5"/>
      <c r="U598" s="5" t="s">
        <v>66</v>
      </c>
      <c r="V598" s="5"/>
      <c r="W598" s="5" t="s">
        <v>51</v>
      </c>
      <c r="X598" s="5"/>
      <c r="Y598" s="5" t="s">
        <v>57</v>
      </c>
      <c r="Z598" s="5"/>
    </row>
    <row r="599" spans="1:26" x14ac:dyDescent="0.25">
      <c r="A599" s="5" t="s">
        <v>1959</v>
      </c>
      <c r="B599" s="5"/>
      <c r="C599" s="5" t="s">
        <v>128</v>
      </c>
      <c r="D599" s="5" t="s">
        <v>76</v>
      </c>
      <c r="E599" s="5" t="s">
        <v>45</v>
      </c>
      <c r="F599" s="5" t="s">
        <v>107</v>
      </c>
      <c r="G599" s="5" t="s">
        <v>1845</v>
      </c>
      <c r="H599" s="5" t="s">
        <v>772</v>
      </c>
      <c r="I599" s="5" t="s">
        <v>72</v>
      </c>
      <c r="J599" s="5"/>
      <c r="K599" s="18" t="s">
        <v>1931</v>
      </c>
      <c r="L599" s="6">
        <f t="shared" ref="L599" si="23">IF(A599="","",COUNTA(D599:F599)+COUNTA(G599:G599)+COUNTA(H599:H599)+COUNTA(I599:I599))</f>
        <v>6</v>
      </c>
      <c r="M599" s="6" t="str">
        <f t="shared" ref="M599" si="24">IF(A599="","",IF(AND(L599=6,UPPER(S599)&lt;&gt;"Y",C599&lt;&gt;""),"Yes","No"))</f>
        <v>Yes</v>
      </c>
      <c r="N599" s="5"/>
      <c r="O599" s="5" t="s">
        <v>1960</v>
      </c>
      <c r="P599" s="5"/>
      <c r="Q599" s="5"/>
      <c r="R599" s="5" t="s">
        <v>192</v>
      </c>
      <c r="S599" s="5"/>
      <c r="T599" s="5"/>
      <c r="U599" s="5" t="s">
        <v>124</v>
      </c>
      <c r="V599" s="5"/>
      <c r="W599" s="5" t="s">
        <v>125</v>
      </c>
      <c r="X599" s="5" t="s">
        <v>1649</v>
      </c>
      <c r="Y599" s="5" t="s">
        <v>47</v>
      </c>
      <c r="Z599" s="5" t="s">
        <v>575</v>
      </c>
    </row>
    <row r="600" spans="1:26" x14ac:dyDescent="0.25">
      <c r="A600" s="5" t="s">
        <v>1412</v>
      </c>
      <c r="B600" s="5"/>
      <c r="C600" s="5" t="s">
        <v>43</v>
      </c>
      <c r="D600" s="5" t="s">
        <v>44</v>
      </c>
      <c r="E600" s="5" t="s">
        <v>45</v>
      </c>
      <c r="F600" s="5" t="s">
        <v>46</v>
      </c>
      <c r="G600" s="5" t="s">
        <v>47</v>
      </c>
      <c r="H600" s="5" t="s">
        <v>313</v>
      </c>
      <c r="I600" s="5" t="s">
        <v>192</v>
      </c>
      <c r="J600" s="5"/>
      <c r="K600" s="18" t="s">
        <v>1931</v>
      </c>
      <c r="L600" s="6">
        <f t="shared" si="22"/>
        <v>6</v>
      </c>
      <c r="M600" s="6" t="str">
        <f t="shared" si="21"/>
        <v>Yes</v>
      </c>
      <c r="N600" s="5"/>
      <c r="O600" s="5" t="s">
        <v>1958</v>
      </c>
      <c r="P600" s="5"/>
      <c r="Q600" s="5"/>
      <c r="R600" s="5" t="s">
        <v>192</v>
      </c>
      <c r="S600" s="5"/>
      <c r="T600" s="5"/>
      <c r="U600" s="5" t="s">
        <v>124</v>
      </c>
      <c r="V600" s="5"/>
      <c r="W600" s="5" t="s">
        <v>125</v>
      </c>
      <c r="X600" s="5" t="s">
        <v>1649</v>
      </c>
      <c r="Y600" s="5" t="s">
        <v>47</v>
      </c>
      <c r="Z600" s="5" t="s">
        <v>575</v>
      </c>
    </row>
    <row r="601" spans="1:26" x14ac:dyDescent="0.25">
      <c r="A601" s="5" t="s">
        <v>1650</v>
      </c>
      <c r="B601" s="5"/>
      <c r="C601" s="5" t="s">
        <v>43</v>
      </c>
      <c r="D601" s="5" t="s">
        <v>44</v>
      </c>
      <c r="E601" s="5" t="s">
        <v>45</v>
      </c>
      <c r="F601" s="5" t="s">
        <v>107</v>
      </c>
      <c r="G601" s="5" t="s">
        <v>47</v>
      </c>
      <c r="H601" s="5" t="s">
        <v>313</v>
      </c>
      <c r="I601" s="5" t="s">
        <v>91</v>
      </c>
      <c r="J601" s="5"/>
      <c r="K601" s="18" t="s">
        <v>1931</v>
      </c>
      <c r="L601" s="6">
        <f t="shared" si="22"/>
        <v>6</v>
      </c>
      <c r="M601" s="6" t="str">
        <f t="shared" si="21"/>
        <v>Yes</v>
      </c>
      <c r="N601" s="5"/>
      <c r="O601" s="5" t="s">
        <v>1651</v>
      </c>
      <c r="P601" s="5" t="s">
        <v>43</v>
      </c>
      <c r="Q601" s="5"/>
      <c r="R601" s="5" t="s">
        <v>91</v>
      </c>
      <c r="S601" s="5"/>
      <c r="T601" s="5"/>
      <c r="U601" s="5" t="s">
        <v>50</v>
      </c>
      <c r="V601" s="5"/>
      <c r="W601" s="5" t="s">
        <v>51</v>
      </c>
      <c r="X601" s="5" t="s">
        <v>316</v>
      </c>
      <c r="Y601" s="5"/>
      <c r="Z601" s="5" t="s">
        <v>1652</v>
      </c>
    </row>
    <row r="602" spans="1:26" x14ac:dyDescent="0.25">
      <c r="A602" s="5" t="s">
        <v>1653</v>
      </c>
      <c r="B602" s="5"/>
      <c r="C602" s="5" t="s">
        <v>43</v>
      </c>
      <c r="D602" s="5"/>
      <c r="E602" s="5"/>
      <c r="F602" s="5"/>
      <c r="G602" s="5" t="s">
        <v>47</v>
      </c>
      <c r="H602" s="5"/>
      <c r="I602" s="5"/>
      <c r="J602" s="5"/>
      <c r="K602" s="18" t="s">
        <v>1931</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1931</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1654</v>
      </c>
      <c r="B604" s="5"/>
      <c r="C604" s="5" t="s">
        <v>43</v>
      </c>
      <c r="D604" s="5" t="s">
        <v>76</v>
      </c>
      <c r="E604" s="5"/>
      <c r="F604" s="5"/>
      <c r="G604" s="5"/>
      <c r="H604" s="5" t="s">
        <v>83</v>
      </c>
      <c r="I604" s="5" t="s">
        <v>59</v>
      </c>
      <c r="J604" s="5" t="s">
        <v>71</v>
      </c>
      <c r="K604" s="18" t="s">
        <v>1931</v>
      </c>
      <c r="L604" s="6">
        <f t="shared" si="22"/>
        <v>3</v>
      </c>
      <c r="M604" s="6" t="str">
        <f t="shared" si="21"/>
        <v>No</v>
      </c>
      <c r="N604" s="5"/>
      <c r="O604" s="5"/>
      <c r="P604" s="5" t="s">
        <v>43</v>
      </c>
      <c r="Q604" s="5"/>
      <c r="R604" s="5" t="s">
        <v>1655</v>
      </c>
      <c r="S604" s="5"/>
      <c r="T604" s="5"/>
      <c r="U604" s="5" t="s">
        <v>50</v>
      </c>
      <c r="V604" s="5"/>
      <c r="W604" s="5" t="s">
        <v>51</v>
      </c>
      <c r="X604" s="5" t="s">
        <v>83</v>
      </c>
      <c r="Y604" s="5"/>
      <c r="Z604" s="5" t="s">
        <v>352</v>
      </c>
    </row>
    <row r="605" spans="1:26" x14ac:dyDescent="0.25">
      <c r="A605" s="5" t="s">
        <v>1656</v>
      </c>
      <c r="B605" s="5"/>
      <c r="C605" s="5" t="s">
        <v>43</v>
      </c>
      <c r="D605" s="5"/>
      <c r="E605" s="5" t="s">
        <v>45</v>
      </c>
      <c r="F605" s="5"/>
      <c r="G605" s="5" t="s">
        <v>47</v>
      </c>
      <c r="H605" s="5"/>
      <c r="I605" s="5"/>
      <c r="J605" s="5"/>
      <c r="K605" s="18" t="s">
        <v>1931</v>
      </c>
      <c r="L605" s="6">
        <f t="shared" si="22"/>
        <v>2</v>
      </c>
      <c r="M605" s="6" t="str">
        <f t="shared" si="21"/>
        <v>No</v>
      </c>
      <c r="N605" s="5" t="s">
        <v>1657</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1661</v>
      </c>
      <c r="B1" s="4" t="s">
        <v>1662</v>
      </c>
      <c r="C1" s="4" t="s">
        <v>1663</v>
      </c>
      <c r="D1" s="4" t="s">
        <v>1664</v>
      </c>
      <c r="E1" s="4" t="s">
        <v>1665</v>
      </c>
      <c r="F1" s="4" t="s">
        <v>1666</v>
      </c>
    </row>
    <row r="2" spans="1:6" x14ac:dyDescent="0.25">
      <c r="A2" s="7">
        <v>1</v>
      </c>
      <c r="B2" s="7" t="s">
        <v>1667</v>
      </c>
      <c r="C2" s="7" t="s">
        <v>1852</v>
      </c>
      <c r="D2" s="7" t="s">
        <v>1668</v>
      </c>
      <c r="E2" s="8">
        <f>COUNTA(Roster!D2:D715)</f>
        <v>356</v>
      </c>
      <c r="F2" s="9">
        <f>IF(COUNTA(Roster!A2:A715)=0,0,E2/COUNTA(Roster!A2:A715))</f>
        <v>0.58940397350993379</v>
      </c>
    </row>
    <row r="3" spans="1:6" x14ac:dyDescent="0.25">
      <c r="A3" s="7">
        <v>2</v>
      </c>
      <c r="B3" s="7" t="s">
        <v>21</v>
      </c>
      <c r="C3" s="7" t="s">
        <v>1669</v>
      </c>
      <c r="D3" s="7" t="s">
        <v>1670</v>
      </c>
      <c r="E3" s="8">
        <f>COUNTA(Roster!E2:E715)</f>
        <v>314</v>
      </c>
      <c r="F3" s="9">
        <f>IF(COUNTA(Roster!A2:A715)=0,0,E3/COUNTA(Roster!A2:A715))</f>
        <v>0.51986754966887416</v>
      </c>
    </row>
    <row r="4" spans="1:6" x14ac:dyDescent="0.25">
      <c r="A4" s="7">
        <v>3</v>
      </c>
      <c r="B4" s="7" t="s">
        <v>22</v>
      </c>
      <c r="C4" s="7" t="s">
        <v>1671</v>
      </c>
      <c r="D4" s="7" t="s">
        <v>1672</v>
      </c>
      <c r="E4" s="8">
        <f>COUNTA(Roster!F2:F715)</f>
        <v>304</v>
      </c>
      <c r="F4" s="9">
        <f>IF(COUNTA(Roster!A2:A715)=0,0,E4/COUNTA(Roster!A2:A715))</f>
        <v>0.50331125827814571</v>
      </c>
    </row>
    <row r="5" spans="1:6" x14ac:dyDescent="0.25">
      <c r="A5" s="7">
        <v>4</v>
      </c>
      <c r="B5" s="7" t="s">
        <v>1673</v>
      </c>
      <c r="C5" s="7" t="s">
        <v>1674</v>
      </c>
      <c r="D5" s="7" t="s">
        <v>1675</v>
      </c>
      <c r="E5" s="8">
        <f>COUNTA(Roster!G2:G715)</f>
        <v>378</v>
      </c>
      <c r="F5" s="9">
        <f>IF(COUNTA(Roster!A2:A715)=0,0,E5/COUNTA(Roster!A2:A715))</f>
        <v>0.6258278145695364</v>
      </c>
    </row>
    <row r="6" spans="1:6" x14ac:dyDescent="0.25">
      <c r="A6" s="7">
        <v>5</v>
      </c>
      <c r="B6" s="7" t="s">
        <v>1676</v>
      </c>
      <c r="C6" s="7" t="s">
        <v>1677</v>
      </c>
      <c r="D6" s="7" t="s">
        <v>1678</v>
      </c>
      <c r="E6" s="8">
        <f>COUNTA(Roster!H2:H715)</f>
        <v>480</v>
      </c>
      <c r="F6" s="9">
        <f>IF(COUNTA(Roster!A2:A715)=0,0,E6/COUNTA(Roster!A2:A715))</f>
        <v>0.79470198675496684</v>
      </c>
    </row>
    <row r="7" spans="1:6" ht="25.5" x14ac:dyDescent="0.25">
      <c r="A7" s="7">
        <v>6</v>
      </c>
      <c r="B7" s="7" t="s">
        <v>1679</v>
      </c>
      <c r="C7" s="7" t="s">
        <v>1680</v>
      </c>
      <c r="D7" s="7" t="s">
        <v>1681</v>
      </c>
      <c r="E7" s="8">
        <f>COUNTA(Roster!I2:I715)</f>
        <v>353</v>
      </c>
      <c r="F7" s="9">
        <f>IF(COUNTA(Roster!A2:A715)=0,0,E7/COUNTA(Roster!A2:A715))</f>
        <v>0.58443708609271527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1682</v>
      </c>
      <c r="B1" s="4" t="s">
        <v>1683</v>
      </c>
      <c r="C1" s="4" t="s">
        <v>1684</v>
      </c>
      <c r="D1" s="4" t="s">
        <v>1685</v>
      </c>
    </row>
    <row r="2" spans="1:4" x14ac:dyDescent="0.25">
      <c r="A2" s="6" t="s">
        <v>71</v>
      </c>
      <c r="B2" s="6" t="s">
        <v>1686</v>
      </c>
      <c r="C2" s="6">
        <f>COUNTIF(Roster!$I$2:$I$715,A2)</f>
        <v>27</v>
      </c>
      <c r="D2" s="10">
        <f t="shared" ref="D2:D13" si="0">IF(SUM($C$2:$C$13)=0,0,C2/SUM($C$2:$C$13))</f>
        <v>7.6487252124645896E-2</v>
      </c>
    </row>
    <row r="3" spans="1:4" x14ac:dyDescent="0.25">
      <c r="A3" s="6" t="s">
        <v>91</v>
      </c>
      <c r="B3" s="6" t="s">
        <v>1687</v>
      </c>
      <c r="C3" s="6">
        <f>COUNTIF(Roster!$I$2:$I$715,A3)</f>
        <v>48</v>
      </c>
      <c r="D3" s="10">
        <f t="shared" si="0"/>
        <v>0.1359773371104816</v>
      </c>
    </row>
    <row r="4" spans="1:4" x14ac:dyDescent="0.25">
      <c r="A4" s="6" t="s">
        <v>72</v>
      </c>
      <c r="B4" s="6" t="s">
        <v>1688</v>
      </c>
      <c r="C4" s="6">
        <f>COUNTIF(Roster!$I$2:$I$715,A4)</f>
        <v>32</v>
      </c>
      <c r="D4" s="10">
        <f t="shared" si="0"/>
        <v>9.0651558073654395E-2</v>
      </c>
    </row>
    <row r="5" spans="1:4" x14ac:dyDescent="0.25">
      <c r="A5" s="6" t="s">
        <v>59</v>
      </c>
      <c r="B5" s="6" t="s">
        <v>1689</v>
      </c>
      <c r="C5" s="6">
        <f>COUNTIF(Roster!$I$2:$I$715,A5)</f>
        <v>20</v>
      </c>
      <c r="D5" s="10">
        <f t="shared" si="0"/>
        <v>5.6657223796033995E-2</v>
      </c>
    </row>
    <row r="6" spans="1:4" x14ac:dyDescent="0.25">
      <c r="A6" s="6" t="s">
        <v>192</v>
      </c>
      <c r="B6" s="6" t="s">
        <v>1690</v>
      </c>
      <c r="C6" s="6">
        <f>COUNTIF(Roster!$I$2:$I$715,A6)</f>
        <v>42</v>
      </c>
      <c r="D6" s="10">
        <f t="shared" si="0"/>
        <v>0.11898016997167139</v>
      </c>
    </row>
    <row r="7" spans="1:4" x14ac:dyDescent="0.25">
      <c r="A7" s="6" t="s">
        <v>123</v>
      </c>
      <c r="B7" s="6" t="s">
        <v>1691</v>
      </c>
      <c r="C7" s="6">
        <f>COUNTIF(Roster!$I$2:$I$715,A7)</f>
        <v>46</v>
      </c>
      <c r="D7" s="10">
        <f t="shared" si="0"/>
        <v>0.13031161473087818</v>
      </c>
    </row>
    <row r="8" spans="1:4" x14ac:dyDescent="0.25">
      <c r="A8" s="6" t="s">
        <v>119</v>
      </c>
      <c r="B8" s="6" t="s">
        <v>1692</v>
      </c>
      <c r="C8" s="6">
        <f>COUNTIF(Roster!$I$2:$I$715,A8)</f>
        <v>39</v>
      </c>
      <c r="D8" s="10">
        <f t="shared" si="0"/>
        <v>0.11048158640226628</v>
      </c>
    </row>
    <row r="9" spans="1:4" x14ac:dyDescent="0.25">
      <c r="A9" s="6" t="s">
        <v>49</v>
      </c>
      <c r="B9" s="6" t="s">
        <v>1693</v>
      </c>
      <c r="C9" s="6">
        <f>COUNTIF(Roster!$I$2:$I$715,A9)</f>
        <v>38</v>
      </c>
      <c r="D9" s="10">
        <f t="shared" si="0"/>
        <v>0.10764872521246459</v>
      </c>
    </row>
    <row r="10" spans="1:4" x14ac:dyDescent="0.25">
      <c r="A10" s="6" t="s">
        <v>78</v>
      </c>
      <c r="B10" s="6" t="s">
        <v>1694</v>
      </c>
      <c r="C10" s="6">
        <f>COUNTIF(Roster!$I$2:$I$715,A10)</f>
        <v>23</v>
      </c>
      <c r="D10" s="10">
        <f t="shared" si="0"/>
        <v>6.5155807365439092E-2</v>
      </c>
    </row>
    <row r="11" spans="1:4" x14ac:dyDescent="0.25">
      <c r="A11" s="6" t="s">
        <v>178</v>
      </c>
      <c r="B11" s="6" t="s">
        <v>1695</v>
      </c>
      <c r="C11" s="6">
        <f>COUNTIF(Roster!$I$2:$I$715,A11)</f>
        <v>12</v>
      </c>
      <c r="D11" s="10">
        <f t="shared" si="0"/>
        <v>3.39943342776204E-2</v>
      </c>
    </row>
    <row r="12" spans="1:4" x14ac:dyDescent="0.25">
      <c r="A12" s="6" t="s">
        <v>133</v>
      </c>
      <c r="B12" s="6" t="s">
        <v>1696</v>
      </c>
      <c r="C12" s="6">
        <f>COUNTIF(Roster!$I$2:$I$715,A12)</f>
        <v>14</v>
      </c>
      <c r="D12" s="10">
        <f t="shared" si="0"/>
        <v>3.9660056657223795E-2</v>
      </c>
    </row>
    <row r="13" spans="1:4" x14ac:dyDescent="0.25">
      <c r="A13" s="6" t="s">
        <v>193</v>
      </c>
      <c r="B13" s="6" t="s">
        <v>1697</v>
      </c>
      <c r="C13" s="6">
        <f>COUNTIF(Roster!$I$2:$I$715,A13)</f>
        <v>12</v>
      </c>
      <c r="D13" s="10">
        <f t="shared" si="0"/>
        <v>3.39943342776204E-2</v>
      </c>
    </row>
    <row r="14" spans="1:4" x14ac:dyDescent="0.25">
      <c r="A14" s="11" t="s">
        <v>1698</v>
      </c>
      <c r="C14" s="11">
        <f>SUM(C2:C13)</f>
        <v>353</v>
      </c>
    </row>
    <row r="16" spans="1:4" x14ac:dyDescent="0.25">
      <c r="A16" s="8" t="s">
        <v>1699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1700</v>
      </c>
      <c r="B1" s="4" t="s">
        <v>1701</v>
      </c>
      <c r="C1" s="4" t="s">
        <v>1702</v>
      </c>
    </row>
    <row r="2" spans="1:3" x14ac:dyDescent="0.25">
      <c r="A2" s="8" t="s">
        <v>1703</v>
      </c>
      <c r="B2" s="8">
        <f>COUNTA('Clue Ladder'!B2:B7)</f>
        <v>6</v>
      </c>
      <c r="C2" s="8" t="s">
        <v>1704</v>
      </c>
    </row>
    <row r="3" spans="1:3" x14ac:dyDescent="0.25">
      <c r="A3" s="8" t="s">
        <v>1705</v>
      </c>
      <c r="B3" s="12">
        <v>0</v>
      </c>
      <c r="C3" s="8" t="s">
        <v>1706</v>
      </c>
    </row>
    <row r="4" spans="1:3" x14ac:dyDescent="0.25">
      <c r="A4" s="8" t="s">
        <v>1707</v>
      </c>
      <c r="B4" s="8">
        <f>B2+1</f>
        <v>7</v>
      </c>
      <c r="C4" s="8" t="s">
        <v>1708</v>
      </c>
    </row>
    <row r="5" spans="1:3" x14ac:dyDescent="0.25">
      <c r="A5" s="8" t="s">
        <v>1709</v>
      </c>
      <c r="B5" s="12">
        <v>150</v>
      </c>
      <c r="C5" s="8" t="s">
        <v>1710</v>
      </c>
    </row>
    <row r="6" spans="1:3" x14ac:dyDescent="0.25">
      <c r="A6" s="8" t="s">
        <v>1711</v>
      </c>
      <c r="B6" s="12">
        <v>250</v>
      </c>
      <c r="C6" s="8" t="s">
        <v>1712</v>
      </c>
    </row>
    <row r="7" spans="1:3" x14ac:dyDescent="0.25">
      <c r="A7" s="8" t="s">
        <v>1713</v>
      </c>
      <c r="B7" s="12">
        <v>300</v>
      </c>
      <c r="C7" s="8" t="s">
        <v>1714</v>
      </c>
    </row>
    <row r="8" spans="1:3" x14ac:dyDescent="0.25">
      <c r="A8" s="8" t="s">
        <v>1715</v>
      </c>
      <c r="B8" s="8" t="s">
        <v>1716</v>
      </c>
      <c r="C8" s="8" t="s">
        <v>1717</v>
      </c>
    </row>
    <row r="9" spans="1:3" x14ac:dyDescent="0.25">
      <c r="A9" s="11" t="s">
        <v>1718</v>
      </c>
      <c r="B9" s="8"/>
      <c r="C9" s="8"/>
    </row>
    <row r="10" spans="1:3" x14ac:dyDescent="0.25">
      <c r="A10" s="8" t="s">
        <v>1719</v>
      </c>
      <c r="B10" s="8">
        <f>COUNTA(Roster!A2:A715)</f>
        <v>604</v>
      </c>
      <c r="C10" s="8" t="s">
        <v>1720</v>
      </c>
    </row>
    <row r="11" spans="1:3" x14ac:dyDescent="0.25">
      <c r="A11" s="8" t="s">
        <v>1721</v>
      </c>
      <c r="B11" s="8">
        <f>COUNTIF(Roster!M2:M715,"Yes")</f>
        <v>227</v>
      </c>
      <c r="C11" s="8" t="s">
        <v>1720</v>
      </c>
    </row>
    <row r="12" spans="1:3" x14ac:dyDescent="0.25">
      <c r="A12" s="8" t="s">
        <v>1722</v>
      </c>
      <c r="B12" s="9">
        <f>IF(B5=0,0,B11/B5)</f>
        <v>1.5133333333333334</v>
      </c>
      <c r="C12" s="8" t="s">
        <v>1720</v>
      </c>
    </row>
    <row r="13" spans="1:3" x14ac:dyDescent="0.25">
      <c r="A13" s="8" t="s">
        <v>1723</v>
      </c>
      <c r="B13" s="13">
        <f>IFERROR(AVERAGE(Roster!L2:L715),0)</f>
        <v>3.6175496688741724</v>
      </c>
      <c r="C13" s="8" t="s">
        <v>1720</v>
      </c>
    </row>
    <row r="14" spans="1:3" x14ac:dyDescent="0.25">
      <c r="A14" s="8" t="s">
        <v>1724</v>
      </c>
      <c r="B14" s="8">
        <f>COUNTIF(Roster!S2:S715,"Y")</f>
        <v>0</v>
      </c>
      <c r="C14" s="8" t="s">
        <v>1720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1725</v>
      </c>
      <c r="B1" s="4" t="s">
        <v>1726</v>
      </c>
    </row>
    <row r="2" spans="1:2" x14ac:dyDescent="0.25">
      <c r="A2" s="7" t="s">
        <v>1673</v>
      </c>
      <c r="B2" s="7" t="s">
        <v>1727</v>
      </c>
    </row>
    <row r="3" spans="1:2" ht="25.5" x14ac:dyDescent="0.25">
      <c r="A3" s="7" t="s">
        <v>1667</v>
      </c>
      <c r="B3" s="7" t="s">
        <v>1728</v>
      </c>
    </row>
    <row r="4" spans="1:2" x14ac:dyDescent="0.25">
      <c r="A4" s="7" t="s">
        <v>1676</v>
      </c>
      <c r="B4" s="7" t="s">
        <v>1729</v>
      </c>
    </row>
    <row r="5" spans="1:2" x14ac:dyDescent="0.25">
      <c r="A5" s="7" t="s">
        <v>1679</v>
      </c>
      <c r="B5" s="7" t="s">
        <v>1730</v>
      </c>
    </row>
    <row r="6" spans="1:2" x14ac:dyDescent="0.25">
      <c r="A6" s="7" t="s">
        <v>22</v>
      </c>
      <c r="B6" s="7" t="s">
        <v>1731</v>
      </c>
    </row>
    <row r="7" spans="1:2" x14ac:dyDescent="0.25">
      <c r="A7" s="7" t="s">
        <v>1732</v>
      </c>
      <c r="B7" s="7" t="s">
        <v>1733</v>
      </c>
    </row>
    <row r="8" spans="1:2" x14ac:dyDescent="0.25">
      <c r="A8" s="7" t="s">
        <v>1734</v>
      </c>
      <c r="B8" s="7" t="s">
        <v>1735</v>
      </c>
    </row>
    <row r="9" spans="1:2" x14ac:dyDescent="0.25">
      <c r="A9" s="7" t="s">
        <v>1736</v>
      </c>
      <c r="B9" s="7" t="s">
        <v>1737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1738</v>
      </c>
      <c r="B1" s="4" t="s">
        <v>1739</v>
      </c>
      <c r="C1" s="4" t="s">
        <v>1740</v>
      </c>
    </row>
    <row r="2" spans="1:3" x14ac:dyDescent="0.25">
      <c r="A2" s="7" t="s">
        <v>1741</v>
      </c>
      <c r="B2" s="7" t="s">
        <v>1742</v>
      </c>
      <c r="C2" s="7" t="s">
        <v>1743</v>
      </c>
    </row>
    <row r="3" spans="1:3" x14ac:dyDescent="0.25">
      <c r="A3" s="7" t="s">
        <v>1744</v>
      </c>
      <c r="B3" s="7" t="s">
        <v>1745</v>
      </c>
      <c r="C3" s="7" t="s">
        <v>1746</v>
      </c>
    </row>
    <row r="4" spans="1:3" x14ac:dyDescent="0.25">
      <c r="A4" s="7" t="s">
        <v>1747</v>
      </c>
      <c r="B4" s="7" t="s">
        <v>1748</v>
      </c>
      <c r="C4" s="7" t="s">
        <v>1749</v>
      </c>
    </row>
    <row r="5" spans="1:3" x14ac:dyDescent="0.25">
      <c r="A5" s="7" t="s">
        <v>1750</v>
      </c>
      <c r="B5" s="7" t="s">
        <v>1751</v>
      </c>
      <c r="C5" s="7" t="s">
        <v>1752</v>
      </c>
    </row>
    <row r="6" spans="1:3" ht="25.5" x14ac:dyDescent="0.25">
      <c r="A6" s="7" t="s">
        <v>1753</v>
      </c>
      <c r="B6" s="7" t="s">
        <v>1754</v>
      </c>
      <c r="C6" s="7" t="s">
        <v>1755</v>
      </c>
    </row>
    <row r="7" spans="1:3" x14ac:dyDescent="0.25">
      <c r="A7" s="7" t="s">
        <v>1756</v>
      </c>
      <c r="B7" s="7" t="s">
        <v>1757</v>
      </c>
      <c r="C7" s="7" t="s">
        <v>1758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1759</v>
      </c>
      <c r="B1" s="4" t="s">
        <v>1760</v>
      </c>
      <c r="C1" s="4" t="s">
        <v>1761</v>
      </c>
      <c r="D1" s="4" t="s">
        <v>31</v>
      </c>
    </row>
    <row r="2" spans="1:4" x14ac:dyDescent="0.25">
      <c r="A2" s="7" t="s">
        <v>1762</v>
      </c>
      <c r="B2" s="7" t="s">
        <v>1763</v>
      </c>
      <c r="C2" s="7" t="s">
        <v>1764</v>
      </c>
      <c r="D2" s="7" t="s">
        <v>1765</v>
      </c>
    </row>
    <row r="3" spans="1:4" x14ac:dyDescent="0.25">
      <c r="A3" s="7" t="s">
        <v>1679</v>
      </c>
      <c r="B3" s="7" t="s">
        <v>1763</v>
      </c>
      <c r="C3" s="7" t="s">
        <v>1764</v>
      </c>
      <c r="D3" s="7" t="s">
        <v>1766</v>
      </c>
    </row>
    <row r="4" spans="1:4" x14ac:dyDescent="0.25">
      <c r="A4" s="7" t="s">
        <v>1767</v>
      </c>
      <c r="B4" s="7" t="s">
        <v>1768</v>
      </c>
      <c r="C4" s="7" t="s">
        <v>1769</v>
      </c>
      <c r="D4" s="7" t="s">
        <v>1770</v>
      </c>
    </row>
    <row r="5" spans="1:4" x14ac:dyDescent="0.25">
      <c r="A5" s="7" t="s">
        <v>1771</v>
      </c>
      <c r="B5" s="7" t="s">
        <v>1772</v>
      </c>
      <c r="C5" s="7" t="s">
        <v>1773</v>
      </c>
      <c r="D5" s="7" t="s">
        <v>1774</v>
      </c>
    </row>
    <row r="6" spans="1:4" x14ac:dyDescent="0.25">
      <c r="A6" s="7" t="s">
        <v>1775</v>
      </c>
      <c r="B6" s="7" t="s">
        <v>1776</v>
      </c>
      <c r="C6" s="7" t="s">
        <v>1777</v>
      </c>
      <c r="D6" s="7"/>
    </row>
    <row r="7" spans="1:4" x14ac:dyDescent="0.25">
      <c r="A7" s="7" t="s">
        <v>1778</v>
      </c>
      <c r="B7" s="7" t="s">
        <v>1779</v>
      </c>
      <c r="C7" s="7" t="s">
        <v>1780</v>
      </c>
      <c r="D7" s="7" t="s">
        <v>1781</v>
      </c>
    </row>
    <row r="8" spans="1:4" x14ac:dyDescent="0.25">
      <c r="A8" s="7" t="s">
        <v>1782</v>
      </c>
      <c r="B8" s="7" t="s">
        <v>1783</v>
      </c>
      <c r="C8" s="7" t="s">
        <v>1784</v>
      </c>
      <c r="D8" s="7" t="s">
        <v>1785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1786</v>
      </c>
      <c r="B1" s="4" t="s">
        <v>1787</v>
      </c>
      <c r="C1" s="4" t="s">
        <v>1673</v>
      </c>
      <c r="D1" s="4" t="s">
        <v>1788</v>
      </c>
    </row>
    <row r="2" spans="1:4" x14ac:dyDescent="0.25">
      <c r="A2" s="7" t="s">
        <v>1789</v>
      </c>
      <c r="B2" s="7" t="s">
        <v>1790</v>
      </c>
      <c r="C2" s="14" t="s">
        <v>1791</v>
      </c>
      <c r="D2" s="15"/>
    </row>
    <row r="3" spans="1:4" x14ac:dyDescent="0.25">
      <c r="A3" s="7" t="s">
        <v>1789</v>
      </c>
      <c r="B3" s="7" t="s">
        <v>1792</v>
      </c>
      <c r="C3" s="14" t="s">
        <v>1791</v>
      </c>
      <c r="D3" s="15"/>
    </row>
    <row r="4" spans="1:4" x14ac:dyDescent="0.25">
      <c r="A4" s="7" t="s">
        <v>1789</v>
      </c>
      <c r="B4" s="7" t="s">
        <v>1793</v>
      </c>
      <c r="C4" s="14" t="s">
        <v>1791</v>
      </c>
      <c r="D4" s="15"/>
    </row>
    <row r="5" spans="1:4" x14ac:dyDescent="0.25">
      <c r="A5" s="7" t="s">
        <v>1789</v>
      </c>
      <c r="B5" s="7" t="s">
        <v>1794</v>
      </c>
      <c r="C5" s="14" t="s">
        <v>1791</v>
      </c>
      <c r="D5" s="15"/>
    </row>
    <row r="6" spans="1:4" x14ac:dyDescent="0.25">
      <c r="A6" s="7" t="s">
        <v>1789</v>
      </c>
      <c r="B6" s="7" t="s">
        <v>1795</v>
      </c>
      <c r="C6" s="14" t="s">
        <v>1791</v>
      </c>
      <c r="D6" s="15"/>
    </row>
    <row r="7" spans="1:4" x14ac:dyDescent="0.25">
      <c r="A7" s="7" t="s">
        <v>1796</v>
      </c>
      <c r="B7" s="7" t="s">
        <v>1797</v>
      </c>
      <c r="C7" s="14" t="s">
        <v>1791</v>
      </c>
      <c r="D7" s="15"/>
    </row>
    <row r="8" spans="1:4" x14ac:dyDescent="0.25">
      <c r="A8" s="7" t="s">
        <v>1796</v>
      </c>
      <c r="B8" s="7" t="s">
        <v>1798</v>
      </c>
      <c r="C8" s="14" t="s">
        <v>1791</v>
      </c>
      <c r="D8" s="15"/>
    </row>
    <row r="9" spans="1:4" x14ac:dyDescent="0.25">
      <c r="A9" s="7" t="s">
        <v>1796</v>
      </c>
      <c r="B9" s="7" t="s">
        <v>1799</v>
      </c>
      <c r="C9" s="14" t="s">
        <v>1791</v>
      </c>
      <c r="D9" s="15"/>
    </row>
    <row r="10" spans="1:4" x14ac:dyDescent="0.25">
      <c r="A10" s="7" t="s">
        <v>1796</v>
      </c>
      <c r="B10" s="7" t="s">
        <v>1800</v>
      </c>
      <c r="C10" s="14" t="s">
        <v>1791</v>
      </c>
      <c r="D10" s="15"/>
    </row>
    <row r="11" spans="1:4" x14ac:dyDescent="0.25">
      <c r="A11" s="7" t="s">
        <v>1801</v>
      </c>
      <c r="B11" s="7" t="s">
        <v>1802</v>
      </c>
      <c r="C11" s="14" t="s">
        <v>1791</v>
      </c>
      <c r="D11" s="15"/>
    </row>
    <row r="12" spans="1:4" x14ac:dyDescent="0.25">
      <c r="A12" s="7" t="s">
        <v>1801</v>
      </c>
      <c r="B12" s="7" t="s">
        <v>1803</v>
      </c>
      <c r="C12" s="14" t="s">
        <v>1791</v>
      </c>
      <c r="D12" s="15"/>
    </row>
    <row r="13" spans="1:4" x14ac:dyDescent="0.25">
      <c r="A13" s="7" t="s">
        <v>1801</v>
      </c>
      <c r="B13" s="7" t="s">
        <v>1804</v>
      </c>
      <c r="C13" s="14" t="s">
        <v>1791</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1805</v>
      </c>
      <c r="B1" s="4" t="s">
        <v>1806</v>
      </c>
      <c r="C1" s="4" t="s">
        <v>1850</v>
      </c>
    </row>
    <row r="2" spans="1:3" x14ac:dyDescent="0.25">
      <c r="A2" s="7" t="s">
        <v>1807</v>
      </c>
      <c r="B2" s="7" t="s">
        <v>1808</v>
      </c>
      <c r="C2" s="14"/>
    </row>
    <row r="3" spans="1:3" x14ac:dyDescent="0.25">
      <c r="A3" s="7" t="s">
        <v>1809</v>
      </c>
      <c r="B3" s="7" t="s">
        <v>1810</v>
      </c>
      <c r="C3" s="14"/>
    </row>
    <row r="4" spans="1:3" x14ac:dyDescent="0.25">
      <c r="A4" s="7" t="s">
        <v>1811</v>
      </c>
      <c r="B4" s="7" t="s">
        <v>1812</v>
      </c>
      <c r="C4" s="14"/>
    </row>
    <row r="5" spans="1:3" x14ac:dyDescent="0.25">
      <c r="A5" s="7" t="s">
        <v>1813</v>
      </c>
      <c r="B5" s="7" t="s">
        <v>1814</v>
      </c>
      <c r="C5" s="14"/>
    </row>
    <row r="6" spans="1:3" x14ac:dyDescent="0.25">
      <c r="A6" s="7" t="s">
        <v>1815</v>
      </c>
      <c r="B6" s="7" t="s">
        <v>1814</v>
      </c>
      <c r="C6" s="14"/>
    </row>
    <row r="7" spans="1:3" ht="25.5" x14ac:dyDescent="0.25">
      <c r="A7" s="7" t="s">
        <v>1816</v>
      </c>
      <c r="B7" s="7" t="s">
        <v>1817</v>
      </c>
      <c r="C7" s="14"/>
    </row>
    <row r="8" spans="1:3" x14ac:dyDescent="0.25">
      <c r="A8" s="7" t="s">
        <v>1818</v>
      </c>
      <c r="B8" s="7" t="s">
        <v>1814</v>
      </c>
      <c r="C8" s="14"/>
    </row>
    <row r="9" spans="1:3" x14ac:dyDescent="0.25">
      <c r="A9" s="7" t="s">
        <v>1819</v>
      </c>
      <c r="B9" s="7" t="s">
        <v>1820</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1821</v>
      </c>
      <c r="B1" s="16" t="s">
        <v>1759</v>
      </c>
      <c r="C1" s="16" t="s">
        <v>1822</v>
      </c>
      <c r="D1" s="16" t="s">
        <v>1823</v>
      </c>
      <c r="E1" s="16" t="s">
        <v>1824</v>
      </c>
      <c r="F1" s="16" t="s">
        <v>1825</v>
      </c>
    </row>
    <row r="2" spans="1:6" x14ac:dyDescent="0.25">
      <c r="A2" s="8" t="s">
        <v>42</v>
      </c>
      <c r="B2" s="8" t="s">
        <v>1667</v>
      </c>
      <c r="C2" s="8"/>
      <c r="D2" s="8" t="s">
        <v>44</v>
      </c>
      <c r="E2" s="8" t="s">
        <v>1826</v>
      </c>
      <c r="F2" s="8"/>
    </row>
    <row r="3" spans="1:6" x14ac:dyDescent="0.25">
      <c r="A3" s="8" t="s">
        <v>56</v>
      </c>
      <c r="B3" s="8" t="s">
        <v>1667</v>
      </c>
      <c r="C3" s="8"/>
      <c r="D3" s="8" t="s">
        <v>44</v>
      </c>
      <c r="E3" s="8" t="s">
        <v>1826</v>
      </c>
      <c r="F3" s="8"/>
    </row>
    <row r="4" spans="1:6" x14ac:dyDescent="0.25">
      <c r="A4" s="8" t="s">
        <v>56</v>
      </c>
      <c r="B4" s="8" t="s">
        <v>1673</v>
      </c>
      <c r="C4" s="8"/>
      <c r="D4" s="8" t="s">
        <v>57</v>
      </c>
      <c r="E4" s="8" t="s">
        <v>1826</v>
      </c>
      <c r="F4" s="8"/>
    </row>
    <row r="5" spans="1:6" x14ac:dyDescent="0.25">
      <c r="A5" s="8" t="s">
        <v>75</v>
      </c>
      <c r="B5" s="8" t="s">
        <v>1667</v>
      </c>
      <c r="C5" s="8"/>
      <c r="D5" s="8" t="s">
        <v>76</v>
      </c>
      <c r="E5" s="8" t="s">
        <v>1826</v>
      </c>
      <c r="F5" s="8"/>
    </row>
    <row r="6" spans="1:6" x14ac:dyDescent="0.25">
      <c r="A6" s="8" t="s">
        <v>75</v>
      </c>
      <c r="B6" s="8" t="s">
        <v>1673</v>
      </c>
      <c r="C6" s="8"/>
      <c r="D6" s="8" t="s">
        <v>57</v>
      </c>
      <c r="E6" s="8" t="s">
        <v>1826</v>
      </c>
      <c r="F6" s="8"/>
    </row>
    <row r="7" spans="1:6" x14ac:dyDescent="0.25">
      <c r="A7" s="8" t="s">
        <v>75</v>
      </c>
      <c r="B7" s="8" t="s">
        <v>1679</v>
      </c>
      <c r="C7" s="8"/>
      <c r="D7" s="8" t="s">
        <v>78</v>
      </c>
      <c r="E7" s="8" t="s">
        <v>1826</v>
      </c>
      <c r="F7" s="8"/>
    </row>
    <row r="8" spans="1:6" x14ac:dyDescent="0.25">
      <c r="A8" s="8" t="s">
        <v>82</v>
      </c>
      <c r="B8" s="8" t="s">
        <v>1679</v>
      </c>
      <c r="C8" s="8" t="s">
        <v>72</v>
      </c>
      <c r="D8" s="8" t="s">
        <v>71</v>
      </c>
      <c r="E8" s="8" t="s">
        <v>1827</v>
      </c>
      <c r="F8" s="8"/>
    </row>
    <row r="9" spans="1:6" x14ac:dyDescent="0.25">
      <c r="A9" s="8" t="s">
        <v>89</v>
      </c>
      <c r="B9" s="8" t="s">
        <v>1667</v>
      </c>
      <c r="C9" s="8"/>
      <c r="D9" s="8" t="s">
        <v>44</v>
      </c>
      <c r="E9" s="8" t="s">
        <v>1826</v>
      </c>
      <c r="F9" s="8"/>
    </row>
    <row r="10" spans="1:6" x14ac:dyDescent="0.25">
      <c r="A10" s="8" t="s">
        <v>89</v>
      </c>
      <c r="B10" s="8" t="s">
        <v>1673</v>
      </c>
      <c r="C10" s="8"/>
      <c r="D10" s="8" t="s">
        <v>47</v>
      </c>
      <c r="E10" s="8" t="s">
        <v>1826</v>
      </c>
      <c r="F10" s="8"/>
    </row>
    <row r="11" spans="1:6" x14ac:dyDescent="0.25">
      <c r="A11" s="8" t="s">
        <v>89</v>
      </c>
      <c r="B11" s="8" t="s">
        <v>1679</v>
      </c>
      <c r="C11" s="8"/>
      <c r="D11" s="8" t="s">
        <v>91</v>
      </c>
      <c r="E11" s="8" t="s">
        <v>1826</v>
      </c>
      <c r="F11" s="8"/>
    </row>
    <row r="12" spans="1:6" x14ac:dyDescent="0.25">
      <c r="A12" s="8" t="s">
        <v>95</v>
      </c>
      <c r="B12" s="8" t="s">
        <v>1673</v>
      </c>
      <c r="C12" s="8"/>
      <c r="D12" s="8" t="s">
        <v>47</v>
      </c>
      <c r="E12" s="8" t="s">
        <v>1826</v>
      </c>
      <c r="F12" s="8"/>
    </row>
    <row r="13" spans="1:6" x14ac:dyDescent="0.25">
      <c r="A13" s="8" t="s">
        <v>106</v>
      </c>
      <c r="B13" s="8" t="s">
        <v>1676</v>
      </c>
      <c r="C13" s="8" t="s">
        <v>115</v>
      </c>
      <c r="D13" s="8" t="s">
        <v>77</v>
      </c>
      <c r="E13" s="8" t="s">
        <v>1828</v>
      </c>
      <c r="F13" s="8"/>
    </row>
    <row r="14" spans="1:6" x14ac:dyDescent="0.25">
      <c r="A14" s="8" t="s">
        <v>106</v>
      </c>
      <c r="B14" s="8" t="s">
        <v>1679</v>
      </c>
      <c r="C14" s="8" t="s">
        <v>72</v>
      </c>
      <c r="D14" s="8" t="s">
        <v>71</v>
      </c>
      <c r="E14" s="8" t="s">
        <v>1827</v>
      </c>
      <c r="F14" s="8"/>
    </row>
    <row r="15" spans="1:6" x14ac:dyDescent="0.25">
      <c r="A15" s="8" t="s">
        <v>131</v>
      </c>
      <c r="B15" s="8" t="s">
        <v>1667</v>
      </c>
      <c r="C15" s="8"/>
      <c r="D15" s="8" t="s">
        <v>44</v>
      </c>
      <c r="E15" s="8" t="s">
        <v>1826</v>
      </c>
      <c r="F15" s="8"/>
    </row>
    <row r="16" spans="1:6" x14ac:dyDescent="0.25">
      <c r="A16" s="8" t="s">
        <v>131</v>
      </c>
      <c r="B16" s="8" t="s">
        <v>1679</v>
      </c>
      <c r="C16" s="8" t="s">
        <v>133</v>
      </c>
      <c r="D16" s="8" t="s">
        <v>178</v>
      </c>
      <c r="E16" s="8" t="s">
        <v>1827</v>
      </c>
      <c r="F16" s="8"/>
    </row>
    <row r="17" spans="1:6" x14ac:dyDescent="0.25">
      <c r="A17" s="8" t="s">
        <v>142</v>
      </c>
      <c r="B17" s="8" t="s">
        <v>1673</v>
      </c>
      <c r="C17" s="8"/>
      <c r="D17" s="8" t="s">
        <v>47</v>
      </c>
      <c r="E17" s="8" t="s">
        <v>1826</v>
      </c>
      <c r="F17" s="8"/>
    </row>
    <row r="18" spans="1:6" x14ac:dyDescent="0.25">
      <c r="A18" s="8" t="s">
        <v>148</v>
      </c>
      <c r="B18" s="8" t="s">
        <v>1667</v>
      </c>
      <c r="C18" s="8"/>
      <c r="D18" s="8" t="s">
        <v>76</v>
      </c>
      <c r="E18" s="8" t="s">
        <v>1826</v>
      </c>
      <c r="F18" s="8"/>
    </row>
    <row r="19" spans="1:6" x14ac:dyDescent="0.25">
      <c r="A19" s="8" t="s">
        <v>148</v>
      </c>
      <c r="B19" s="8" t="s">
        <v>1676</v>
      </c>
      <c r="C19" s="8"/>
      <c r="D19" s="8" t="s">
        <v>149</v>
      </c>
      <c r="E19" s="8" t="s">
        <v>1826</v>
      </c>
      <c r="F19" s="8"/>
    </row>
    <row r="20" spans="1:6" x14ac:dyDescent="0.25">
      <c r="A20" s="8" t="s">
        <v>168</v>
      </c>
      <c r="B20" s="8" t="s">
        <v>1673</v>
      </c>
      <c r="C20" s="8"/>
      <c r="D20" s="8" t="s">
        <v>57</v>
      </c>
      <c r="E20" s="8" t="s">
        <v>1826</v>
      </c>
      <c r="F20" s="8"/>
    </row>
    <row r="21" spans="1:6" x14ac:dyDescent="0.25">
      <c r="A21" s="8" t="s">
        <v>174</v>
      </c>
      <c r="B21" s="8" t="s">
        <v>1667</v>
      </c>
      <c r="C21" s="8"/>
      <c r="D21" s="8" t="s">
        <v>76</v>
      </c>
      <c r="E21" s="8" t="s">
        <v>1826</v>
      </c>
      <c r="F21" s="8"/>
    </row>
    <row r="22" spans="1:6" x14ac:dyDescent="0.25">
      <c r="A22" s="8" t="s">
        <v>174</v>
      </c>
      <c r="B22" s="8" t="s">
        <v>1676</v>
      </c>
      <c r="C22" s="8"/>
      <c r="D22" s="8" t="s">
        <v>149</v>
      </c>
      <c r="E22" s="8" t="s">
        <v>1826</v>
      </c>
      <c r="F22" s="8"/>
    </row>
    <row r="23" spans="1:6" x14ac:dyDescent="0.25">
      <c r="A23" s="8" t="s">
        <v>177</v>
      </c>
      <c r="B23" s="8" t="s">
        <v>1667</v>
      </c>
      <c r="C23" s="8"/>
      <c r="D23" s="8" t="s">
        <v>44</v>
      </c>
      <c r="E23" s="8" t="s">
        <v>1826</v>
      </c>
      <c r="F23" s="8"/>
    </row>
    <row r="24" spans="1:6" x14ac:dyDescent="0.25">
      <c r="A24" s="8" t="s">
        <v>188</v>
      </c>
      <c r="B24" s="8" t="s">
        <v>1667</v>
      </c>
      <c r="C24" s="8"/>
      <c r="D24" s="8" t="s">
        <v>76</v>
      </c>
      <c r="E24" s="8" t="s">
        <v>1826</v>
      </c>
      <c r="F24" s="8"/>
    </row>
    <row r="25" spans="1:6" x14ac:dyDescent="0.25">
      <c r="A25" s="8" t="s">
        <v>188</v>
      </c>
      <c r="B25" s="8" t="s">
        <v>1676</v>
      </c>
      <c r="C25" s="8" t="s">
        <v>83</v>
      </c>
      <c r="D25" s="8" t="s">
        <v>77</v>
      </c>
      <c r="E25" s="8" t="s">
        <v>1827</v>
      </c>
      <c r="F25" s="8"/>
    </row>
    <row r="26" spans="1:6" x14ac:dyDescent="0.25">
      <c r="A26" s="8" t="s">
        <v>190</v>
      </c>
      <c r="B26" s="8" t="s">
        <v>1667</v>
      </c>
      <c r="C26" s="8"/>
      <c r="D26" s="8" t="s">
        <v>44</v>
      </c>
      <c r="E26" s="8" t="s">
        <v>1826</v>
      </c>
      <c r="F26" s="8"/>
    </row>
    <row r="27" spans="1:6" x14ac:dyDescent="0.25">
      <c r="A27" s="8" t="s">
        <v>213</v>
      </c>
      <c r="B27" s="8" t="s">
        <v>1667</v>
      </c>
      <c r="C27" s="8"/>
      <c r="D27" s="8" t="s">
        <v>44</v>
      </c>
      <c r="E27" s="8" t="s">
        <v>1826</v>
      </c>
      <c r="F27" s="8"/>
    </row>
    <row r="28" spans="1:6" x14ac:dyDescent="0.25">
      <c r="A28" s="8" t="s">
        <v>213</v>
      </c>
      <c r="B28" s="8" t="s">
        <v>1673</v>
      </c>
      <c r="C28" s="8"/>
      <c r="D28" s="8" t="s">
        <v>57</v>
      </c>
      <c r="E28" s="8" t="s">
        <v>1826</v>
      </c>
      <c r="F28" s="8"/>
    </row>
    <row r="29" spans="1:6" x14ac:dyDescent="0.25">
      <c r="A29" s="8" t="s">
        <v>213</v>
      </c>
      <c r="B29" s="8" t="s">
        <v>1679</v>
      </c>
      <c r="C29" s="8" t="s">
        <v>78</v>
      </c>
      <c r="D29" s="8" t="s">
        <v>119</v>
      </c>
      <c r="E29" s="8" t="s">
        <v>1827</v>
      </c>
      <c r="F29" s="8"/>
    </row>
    <row r="30" spans="1:6" x14ac:dyDescent="0.25">
      <c r="A30" s="8" t="s">
        <v>196</v>
      </c>
      <c r="B30" s="8" t="s">
        <v>1667</v>
      </c>
      <c r="C30" s="8"/>
      <c r="D30" s="8" t="s">
        <v>44</v>
      </c>
      <c r="E30" s="8" t="s">
        <v>1826</v>
      </c>
      <c r="F30" s="8"/>
    </row>
    <row r="31" spans="1:6" x14ac:dyDescent="0.25">
      <c r="A31" s="8" t="s">
        <v>196</v>
      </c>
      <c r="B31" s="8" t="s">
        <v>1676</v>
      </c>
      <c r="C31" s="8" t="s">
        <v>58</v>
      </c>
      <c r="D31" s="8" t="s">
        <v>191</v>
      </c>
      <c r="E31" s="8" t="s">
        <v>1827</v>
      </c>
      <c r="F31" s="8"/>
    </row>
    <row r="32" spans="1:6" x14ac:dyDescent="0.25">
      <c r="A32" s="8" t="s">
        <v>223</v>
      </c>
      <c r="B32" s="8" t="s">
        <v>1667</v>
      </c>
      <c r="C32" s="8"/>
      <c r="D32" s="8" t="s">
        <v>44</v>
      </c>
      <c r="E32" s="8" t="s">
        <v>1826</v>
      </c>
      <c r="F32" s="8"/>
    </row>
    <row r="33" spans="1:6" x14ac:dyDescent="0.25">
      <c r="A33" s="8" t="s">
        <v>223</v>
      </c>
      <c r="B33" s="8" t="s">
        <v>1673</v>
      </c>
      <c r="C33" s="8"/>
      <c r="D33" s="8" t="s">
        <v>57</v>
      </c>
      <c r="E33" s="8" t="s">
        <v>1826</v>
      </c>
      <c r="F33" s="8"/>
    </row>
    <row r="34" spans="1:6" x14ac:dyDescent="0.25">
      <c r="A34" s="8" t="s">
        <v>223</v>
      </c>
      <c r="B34" s="8" t="s">
        <v>1676</v>
      </c>
      <c r="C34" s="8" t="s">
        <v>227</v>
      </c>
      <c r="D34" s="8" t="s">
        <v>224</v>
      </c>
      <c r="E34" s="8" t="s">
        <v>1828</v>
      </c>
      <c r="F34" s="8"/>
    </row>
    <row r="35" spans="1:6" x14ac:dyDescent="0.25">
      <c r="A35" s="8" t="s">
        <v>223</v>
      </c>
      <c r="B35" s="8" t="s">
        <v>1679</v>
      </c>
      <c r="C35" s="8"/>
      <c r="D35" s="8" t="s">
        <v>119</v>
      </c>
      <c r="E35" s="8" t="s">
        <v>1826</v>
      </c>
      <c r="F35" s="8"/>
    </row>
    <row r="36" spans="1:6" x14ac:dyDescent="0.25">
      <c r="A36" s="8" t="s">
        <v>230</v>
      </c>
      <c r="B36" s="8" t="s">
        <v>1667</v>
      </c>
      <c r="C36" s="8"/>
      <c r="D36" s="8" t="s">
        <v>44</v>
      </c>
      <c r="E36" s="8" t="s">
        <v>1826</v>
      </c>
      <c r="F36" s="8"/>
    </row>
    <row r="37" spans="1:6" x14ac:dyDescent="0.25">
      <c r="A37" s="8" t="s">
        <v>235</v>
      </c>
      <c r="B37" s="8" t="s">
        <v>1673</v>
      </c>
      <c r="C37" s="8"/>
      <c r="D37" s="8" t="s">
        <v>47</v>
      </c>
      <c r="E37" s="8" t="s">
        <v>1826</v>
      </c>
      <c r="F37" s="8"/>
    </row>
    <row r="38" spans="1:6" x14ac:dyDescent="0.25">
      <c r="A38" s="8" t="s">
        <v>235</v>
      </c>
      <c r="B38" s="8" t="s">
        <v>1679</v>
      </c>
      <c r="C38" s="8" t="s">
        <v>71</v>
      </c>
      <c r="D38" s="8" t="s">
        <v>91</v>
      </c>
      <c r="E38" s="8" t="s">
        <v>1827</v>
      </c>
      <c r="F38" s="8"/>
    </row>
    <row r="39" spans="1:6" x14ac:dyDescent="0.25">
      <c r="A39" s="8" t="s">
        <v>243</v>
      </c>
      <c r="B39" s="8" t="s">
        <v>1667</v>
      </c>
      <c r="C39" s="8"/>
      <c r="D39" s="8" t="s">
        <v>244</v>
      </c>
      <c r="E39" s="8" t="s">
        <v>1826</v>
      </c>
      <c r="F39" s="8"/>
    </row>
    <row r="40" spans="1:6" x14ac:dyDescent="0.25">
      <c r="A40" s="8" t="s">
        <v>243</v>
      </c>
      <c r="B40" s="8" t="s">
        <v>1673</v>
      </c>
      <c r="C40" s="8"/>
      <c r="D40" s="8" t="s">
        <v>47</v>
      </c>
      <c r="E40" s="8" t="s">
        <v>1826</v>
      </c>
      <c r="F40" s="8"/>
    </row>
    <row r="41" spans="1:6" x14ac:dyDescent="0.25">
      <c r="A41" s="8" t="s">
        <v>250</v>
      </c>
      <c r="B41" s="8" t="s">
        <v>1673</v>
      </c>
      <c r="C41" s="8"/>
      <c r="D41" s="8" t="s">
        <v>47</v>
      </c>
      <c r="E41" s="8" t="s">
        <v>1826</v>
      </c>
      <c r="F41" s="8"/>
    </row>
    <row r="42" spans="1:6" x14ac:dyDescent="0.25">
      <c r="A42" s="8" t="s">
        <v>265</v>
      </c>
      <c r="B42" s="8" t="s">
        <v>1667</v>
      </c>
      <c r="C42" s="8"/>
      <c r="D42" s="8" t="s">
        <v>244</v>
      </c>
      <c r="E42" s="8" t="s">
        <v>1826</v>
      </c>
      <c r="F42" s="8"/>
    </row>
    <row r="43" spans="1:6" x14ac:dyDescent="0.25">
      <c r="A43" s="8" t="s">
        <v>265</v>
      </c>
      <c r="B43" s="8" t="s">
        <v>1673</v>
      </c>
      <c r="C43" s="8"/>
      <c r="D43" s="8" t="s">
        <v>47</v>
      </c>
      <c r="E43" s="8" t="s">
        <v>1826</v>
      </c>
      <c r="F43" s="8"/>
    </row>
    <row r="44" spans="1:6" x14ac:dyDescent="0.25">
      <c r="A44" s="8" t="s">
        <v>269</v>
      </c>
      <c r="B44" s="8" t="s">
        <v>1667</v>
      </c>
      <c r="C44" s="8"/>
      <c r="D44" s="8" t="s">
        <v>44</v>
      </c>
      <c r="E44" s="8" t="s">
        <v>1826</v>
      </c>
      <c r="F44" s="8"/>
    </row>
    <row r="45" spans="1:6" x14ac:dyDescent="0.25">
      <c r="A45" s="8" t="s">
        <v>276</v>
      </c>
      <c r="B45" s="8" t="s">
        <v>1667</v>
      </c>
      <c r="C45" s="8"/>
      <c r="D45" s="8" t="s">
        <v>44</v>
      </c>
      <c r="E45" s="8" t="s">
        <v>1826</v>
      </c>
      <c r="F45" s="8"/>
    </row>
    <row r="46" spans="1:6" x14ac:dyDescent="0.25">
      <c r="A46" s="8" t="s">
        <v>276</v>
      </c>
      <c r="B46" s="8" t="s">
        <v>1676</v>
      </c>
      <c r="C46" s="8" t="s">
        <v>227</v>
      </c>
      <c r="D46" s="8" t="s">
        <v>224</v>
      </c>
      <c r="E46" s="8" t="s">
        <v>1828</v>
      </c>
      <c r="F46" s="8"/>
    </row>
    <row r="47" spans="1:6" x14ac:dyDescent="0.25">
      <c r="A47" s="8" t="s">
        <v>279</v>
      </c>
      <c r="B47" s="8" t="s">
        <v>1667</v>
      </c>
      <c r="C47" s="8"/>
      <c r="D47" s="8" t="s">
        <v>44</v>
      </c>
      <c r="E47" s="8" t="s">
        <v>1826</v>
      </c>
      <c r="F47" s="8"/>
    </row>
    <row r="48" spans="1:6" x14ac:dyDescent="0.25">
      <c r="A48" s="8" t="s">
        <v>279</v>
      </c>
      <c r="B48" s="8" t="s">
        <v>1673</v>
      </c>
      <c r="C48" s="8"/>
      <c r="D48" s="8" t="s">
        <v>57</v>
      </c>
      <c r="E48" s="8" t="s">
        <v>1826</v>
      </c>
      <c r="F48" s="8"/>
    </row>
    <row r="49" spans="1:6" x14ac:dyDescent="0.25">
      <c r="A49" s="8" t="s">
        <v>286</v>
      </c>
      <c r="B49" s="8" t="s">
        <v>1667</v>
      </c>
      <c r="C49" s="8"/>
      <c r="D49" s="8" t="s">
        <v>44</v>
      </c>
      <c r="E49" s="8" t="s">
        <v>1826</v>
      </c>
      <c r="F49" s="8"/>
    </row>
    <row r="50" spans="1:6" x14ac:dyDescent="0.25">
      <c r="A50" s="8" t="s">
        <v>298</v>
      </c>
      <c r="B50" s="8" t="s">
        <v>1667</v>
      </c>
      <c r="C50" s="8"/>
      <c r="D50" s="8" t="s">
        <v>76</v>
      </c>
      <c r="E50" s="8" t="s">
        <v>1826</v>
      </c>
      <c r="F50" s="8"/>
    </row>
    <row r="51" spans="1:6" x14ac:dyDescent="0.25">
      <c r="A51" s="8" t="s">
        <v>298</v>
      </c>
      <c r="B51" s="8" t="s">
        <v>1679</v>
      </c>
      <c r="C51" s="8"/>
      <c r="D51" s="8" t="s">
        <v>78</v>
      </c>
      <c r="E51" s="8" t="s">
        <v>1826</v>
      </c>
      <c r="F51" s="8"/>
    </row>
    <row r="52" spans="1:6" x14ac:dyDescent="0.25">
      <c r="A52" s="8" t="s">
        <v>306</v>
      </c>
      <c r="B52" s="8" t="s">
        <v>1667</v>
      </c>
      <c r="C52" s="8"/>
      <c r="D52" s="8" t="s">
        <v>44</v>
      </c>
      <c r="E52" s="8" t="s">
        <v>1826</v>
      </c>
      <c r="F52" s="8"/>
    </row>
    <row r="53" spans="1:6" x14ac:dyDescent="0.25">
      <c r="A53" s="8" t="s">
        <v>312</v>
      </c>
      <c r="B53" s="8" t="s">
        <v>1673</v>
      </c>
      <c r="C53" s="8"/>
      <c r="D53" s="8" t="s">
        <v>57</v>
      </c>
      <c r="E53" s="8" t="s">
        <v>1826</v>
      </c>
      <c r="F53" s="8"/>
    </row>
    <row r="54" spans="1:6" x14ac:dyDescent="0.25">
      <c r="A54" s="8" t="s">
        <v>321</v>
      </c>
      <c r="B54" s="8" t="s">
        <v>1673</v>
      </c>
      <c r="C54" s="8"/>
      <c r="D54" s="8" t="s">
        <v>57</v>
      </c>
      <c r="E54" s="8" t="s">
        <v>1826</v>
      </c>
      <c r="F54" s="8"/>
    </row>
    <row r="55" spans="1:6" x14ac:dyDescent="0.25">
      <c r="A55" s="8" t="s">
        <v>326</v>
      </c>
      <c r="B55" s="8" t="s">
        <v>1667</v>
      </c>
      <c r="C55" s="8"/>
      <c r="D55" s="8" t="s">
        <v>76</v>
      </c>
      <c r="E55" s="8" t="s">
        <v>1826</v>
      </c>
      <c r="F55" s="8"/>
    </row>
    <row r="56" spans="1:6" x14ac:dyDescent="0.25">
      <c r="A56" s="8" t="s">
        <v>326</v>
      </c>
      <c r="B56" s="8" t="s">
        <v>1676</v>
      </c>
      <c r="C56" s="8"/>
      <c r="D56" s="8" t="s">
        <v>77</v>
      </c>
      <c r="E56" s="8" t="s">
        <v>1826</v>
      </c>
      <c r="F56" s="8"/>
    </row>
    <row r="57" spans="1:6" x14ac:dyDescent="0.25">
      <c r="A57" s="8" t="s">
        <v>328</v>
      </c>
      <c r="B57" s="8" t="s">
        <v>1673</v>
      </c>
      <c r="C57" s="8"/>
      <c r="D57" s="8" t="s">
        <v>47</v>
      </c>
      <c r="E57" s="8" t="s">
        <v>1826</v>
      </c>
      <c r="F57" s="8"/>
    </row>
    <row r="58" spans="1:6" x14ac:dyDescent="0.25">
      <c r="A58" s="8" t="s">
        <v>330</v>
      </c>
      <c r="B58" s="8" t="s">
        <v>1667</v>
      </c>
      <c r="C58" s="8"/>
      <c r="D58" s="8" t="s">
        <v>76</v>
      </c>
      <c r="E58" s="8" t="s">
        <v>1826</v>
      </c>
      <c r="F58" s="8"/>
    </row>
    <row r="59" spans="1:6" x14ac:dyDescent="0.25">
      <c r="A59" s="8" t="s">
        <v>330</v>
      </c>
      <c r="B59" s="8" t="s">
        <v>21</v>
      </c>
      <c r="C59" s="8"/>
      <c r="D59" s="8" t="s">
        <v>331</v>
      </c>
      <c r="E59" s="8" t="s">
        <v>1826</v>
      </c>
      <c r="F59" s="8"/>
    </row>
    <row r="60" spans="1:6" x14ac:dyDescent="0.25">
      <c r="A60" s="8" t="s">
        <v>337</v>
      </c>
      <c r="B60" s="8" t="s">
        <v>1667</v>
      </c>
      <c r="C60" s="8"/>
      <c r="D60" s="8" t="s">
        <v>76</v>
      </c>
      <c r="E60" s="8" t="s">
        <v>1826</v>
      </c>
      <c r="F60" s="8"/>
    </row>
    <row r="61" spans="1:6" x14ac:dyDescent="0.25">
      <c r="A61" s="8" t="s">
        <v>337</v>
      </c>
      <c r="B61" s="8" t="s">
        <v>1676</v>
      </c>
      <c r="C61" s="8" t="s">
        <v>339</v>
      </c>
      <c r="D61" s="8" t="s">
        <v>83</v>
      </c>
      <c r="E61" s="8" t="s">
        <v>1828</v>
      </c>
      <c r="F61" s="8"/>
    </row>
    <row r="62" spans="1:6" x14ac:dyDescent="0.25">
      <c r="A62" s="8" t="s">
        <v>337</v>
      </c>
      <c r="B62" s="8" t="s">
        <v>1679</v>
      </c>
      <c r="C62" s="8" t="s">
        <v>72</v>
      </c>
      <c r="D62" s="8" t="s">
        <v>59</v>
      </c>
      <c r="E62" s="8" t="s">
        <v>1827</v>
      </c>
      <c r="F62" s="8"/>
    </row>
    <row r="63" spans="1:6" x14ac:dyDescent="0.25">
      <c r="A63" s="8" t="s">
        <v>342</v>
      </c>
      <c r="B63" s="8" t="s">
        <v>1667</v>
      </c>
      <c r="C63" s="8"/>
      <c r="D63" s="8" t="s">
        <v>44</v>
      </c>
      <c r="E63" s="8" t="s">
        <v>1826</v>
      </c>
      <c r="F63" s="8"/>
    </row>
    <row r="64" spans="1:6" x14ac:dyDescent="0.25">
      <c r="A64" s="8" t="s">
        <v>342</v>
      </c>
      <c r="B64" s="8" t="s">
        <v>1679</v>
      </c>
      <c r="C64" s="8"/>
      <c r="D64" s="8" t="s">
        <v>119</v>
      </c>
      <c r="E64" s="8" t="s">
        <v>1826</v>
      </c>
      <c r="F64" s="8"/>
    </row>
    <row r="65" spans="1:6" x14ac:dyDescent="0.25">
      <c r="A65" s="8" t="s">
        <v>348</v>
      </c>
      <c r="B65" s="8" t="s">
        <v>1667</v>
      </c>
      <c r="C65" s="8"/>
      <c r="D65" s="8" t="s">
        <v>44</v>
      </c>
      <c r="E65" s="8" t="s">
        <v>1826</v>
      </c>
      <c r="F65" s="8"/>
    </row>
    <row r="66" spans="1:6" x14ac:dyDescent="0.25">
      <c r="A66" s="8" t="s">
        <v>348</v>
      </c>
      <c r="B66" s="8" t="s">
        <v>1679</v>
      </c>
      <c r="C66" s="8"/>
      <c r="D66" s="8" t="s">
        <v>72</v>
      </c>
      <c r="E66" s="8" t="s">
        <v>1826</v>
      </c>
      <c r="F66" s="8"/>
    </row>
    <row r="67" spans="1:6" x14ac:dyDescent="0.25">
      <c r="A67" s="8" t="s">
        <v>374</v>
      </c>
      <c r="B67" s="8" t="s">
        <v>1667</v>
      </c>
      <c r="C67" s="8"/>
      <c r="D67" s="8" t="s">
        <v>76</v>
      </c>
      <c r="E67" s="8" t="s">
        <v>1826</v>
      </c>
      <c r="F67" s="8"/>
    </row>
    <row r="68" spans="1:6" x14ac:dyDescent="0.25">
      <c r="A68" s="8" t="s">
        <v>374</v>
      </c>
      <c r="B68" s="8" t="s">
        <v>1673</v>
      </c>
      <c r="C68" s="8"/>
      <c r="D68" s="8" t="s">
        <v>57</v>
      </c>
      <c r="E68" s="8" t="s">
        <v>1826</v>
      </c>
      <c r="F68" s="8"/>
    </row>
    <row r="69" spans="1:6" x14ac:dyDescent="0.25">
      <c r="A69" s="8" t="s">
        <v>374</v>
      </c>
      <c r="B69" s="8" t="s">
        <v>1679</v>
      </c>
      <c r="C69" s="8"/>
      <c r="D69" s="8" t="s">
        <v>91</v>
      </c>
      <c r="E69" s="8" t="s">
        <v>1826</v>
      </c>
      <c r="F69" s="8"/>
    </row>
    <row r="70" spans="1:6" x14ac:dyDescent="0.25">
      <c r="A70" s="8" t="s">
        <v>376</v>
      </c>
      <c r="B70" s="8" t="s">
        <v>1667</v>
      </c>
      <c r="C70" s="8"/>
      <c r="D70" s="8" t="s">
        <v>76</v>
      </c>
      <c r="E70" s="8" t="s">
        <v>1826</v>
      </c>
      <c r="F70" s="8"/>
    </row>
    <row r="71" spans="1:6" x14ac:dyDescent="0.25">
      <c r="A71" s="8" t="s">
        <v>383</v>
      </c>
      <c r="B71" s="8" t="s">
        <v>1667</v>
      </c>
      <c r="C71" s="8"/>
      <c r="D71" s="8" t="s">
        <v>76</v>
      </c>
      <c r="E71" s="8" t="s">
        <v>1826</v>
      </c>
      <c r="F71" s="8"/>
    </row>
    <row r="72" spans="1:6" x14ac:dyDescent="0.25">
      <c r="A72" s="8" t="s">
        <v>383</v>
      </c>
      <c r="B72" s="8" t="s">
        <v>1676</v>
      </c>
      <c r="C72" s="8" t="s">
        <v>83</v>
      </c>
      <c r="D72" s="8" t="s">
        <v>77</v>
      </c>
      <c r="E72" s="8" t="s">
        <v>1827</v>
      </c>
      <c r="F72" s="8"/>
    </row>
    <row r="73" spans="1:6" x14ac:dyDescent="0.25">
      <c r="A73" s="8" t="s">
        <v>385</v>
      </c>
      <c r="B73" s="8" t="s">
        <v>1673</v>
      </c>
      <c r="C73" s="8"/>
      <c r="D73" s="8" t="s">
        <v>57</v>
      </c>
      <c r="E73" s="8" t="s">
        <v>1826</v>
      </c>
      <c r="F73" s="8"/>
    </row>
    <row r="74" spans="1:6" x14ac:dyDescent="0.25">
      <c r="A74" s="8" t="s">
        <v>394</v>
      </c>
      <c r="B74" s="8" t="s">
        <v>1667</v>
      </c>
      <c r="C74" s="8"/>
      <c r="D74" s="8" t="s">
        <v>44</v>
      </c>
      <c r="E74" s="8" t="s">
        <v>1826</v>
      </c>
      <c r="F74" s="8"/>
    </row>
    <row r="75" spans="1:6" x14ac:dyDescent="0.25">
      <c r="A75" s="8" t="s">
        <v>394</v>
      </c>
      <c r="B75" s="8" t="s">
        <v>1679</v>
      </c>
      <c r="C75" s="8"/>
      <c r="D75" s="8" t="s">
        <v>72</v>
      </c>
      <c r="E75" s="8" t="s">
        <v>1826</v>
      </c>
      <c r="F75" s="8"/>
    </row>
    <row r="76" spans="1:6" x14ac:dyDescent="0.25">
      <c r="A76" s="8" t="s">
        <v>407</v>
      </c>
      <c r="B76" s="8" t="s">
        <v>1667</v>
      </c>
      <c r="C76" s="8"/>
      <c r="D76" s="8" t="s">
        <v>76</v>
      </c>
      <c r="E76" s="8" t="s">
        <v>1826</v>
      </c>
      <c r="F76" s="8"/>
    </row>
    <row r="77" spans="1:6" x14ac:dyDescent="0.25">
      <c r="A77" s="8" t="s">
        <v>407</v>
      </c>
      <c r="B77" s="8" t="s">
        <v>1673</v>
      </c>
      <c r="C77" s="8"/>
      <c r="D77" s="8" t="s">
        <v>57</v>
      </c>
      <c r="E77" s="8" t="s">
        <v>1826</v>
      </c>
      <c r="F77" s="8"/>
    </row>
    <row r="78" spans="1:6" x14ac:dyDescent="0.25">
      <c r="A78" s="8" t="s">
        <v>407</v>
      </c>
      <c r="B78" s="8" t="s">
        <v>1676</v>
      </c>
      <c r="C78" s="8" t="s">
        <v>410</v>
      </c>
      <c r="D78" s="8" t="s">
        <v>83</v>
      </c>
      <c r="E78" s="8" t="s">
        <v>1828</v>
      </c>
      <c r="F78" s="8"/>
    </row>
    <row r="79" spans="1:6" x14ac:dyDescent="0.25">
      <c r="A79" s="8" t="s">
        <v>413</v>
      </c>
      <c r="B79" s="8" t="s">
        <v>1673</v>
      </c>
      <c r="C79" s="8"/>
      <c r="D79" s="8" t="s">
        <v>57</v>
      </c>
      <c r="E79" s="8" t="s">
        <v>1826</v>
      </c>
      <c r="F79" s="8"/>
    </row>
    <row r="80" spans="1:6" x14ac:dyDescent="0.25">
      <c r="A80" s="8" t="s">
        <v>418</v>
      </c>
      <c r="B80" s="8" t="s">
        <v>1673</v>
      </c>
      <c r="C80" s="8"/>
      <c r="D80" s="8" t="s">
        <v>57</v>
      </c>
      <c r="E80" s="8" t="s">
        <v>1826</v>
      </c>
      <c r="F80" s="8"/>
    </row>
    <row r="81" spans="1:6" x14ac:dyDescent="0.25">
      <c r="A81" s="8" t="s">
        <v>418</v>
      </c>
      <c r="B81" s="8" t="s">
        <v>1676</v>
      </c>
      <c r="C81" s="8" t="s">
        <v>420</v>
      </c>
      <c r="D81" s="8" t="s">
        <v>77</v>
      </c>
      <c r="E81" s="8" t="s">
        <v>1828</v>
      </c>
      <c r="F81" s="8"/>
    </row>
    <row r="82" spans="1:6" x14ac:dyDescent="0.25">
      <c r="A82" s="8" t="s">
        <v>426</v>
      </c>
      <c r="B82" s="8" t="s">
        <v>1667</v>
      </c>
      <c r="C82" s="8"/>
      <c r="D82" s="8" t="s">
        <v>76</v>
      </c>
      <c r="E82" s="8" t="s">
        <v>1826</v>
      </c>
      <c r="F82" s="8"/>
    </row>
    <row r="83" spans="1:6" x14ac:dyDescent="0.25">
      <c r="A83" s="8" t="s">
        <v>426</v>
      </c>
      <c r="B83" s="8" t="s">
        <v>1679</v>
      </c>
      <c r="C83" s="8"/>
      <c r="D83" s="8" t="s">
        <v>71</v>
      </c>
      <c r="E83" s="8" t="s">
        <v>1826</v>
      </c>
      <c r="F83" s="8"/>
    </row>
    <row r="84" spans="1:6" x14ac:dyDescent="0.25">
      <c r="A84" s="8" t="s">
        <v>429</v>
      </c>
      <c r="B84" s="8" t="s">
        <v>1667</v>
      </c>
      <c r="C84" s="8"/>
      <c r="D84" s="8" t="s">
        <v>76</v>
      </c>
      <c r="E84" s="8" t="s">
        <v>1826</v>
      </c>
      <c r="F84" s="8"/>
    </row>
    <row r="85" spans="1:6" x14ac:dyDescent="0.25">
      <c r="A85" s="8" t="s">
        <v>429</v>
      </c>
      <c r="B85" s="8" t="s">
        <v>1676</v>
      </c>
      <c r="C85" s="8"/>
      <c r="D85" s="8" t="s">
        <v>77</v>
      </c>
      <c r="E85" s="8" t="s">
        <v>1826</v>
      </c>
      <c r="F85" s="8"/>
    </row>
    <row r="86" spans="1:6" x14ac:dyDescent="0.25">
      <c r="A86" s="8" t="s">
        <v>434</v>
      </c>
      <c r="B86" s="8" t="s">
        <v>1673</v>
      </c>
      <c r="C86" s="8"/>
      <c r="D86" s="8" t="s">
        <v>47</v>
      </c>
      <c r="E86" s="8" t="s">
        <v>1826</v>
      </c>
      <c r="F86" s="8"/>
    </row>
    <row r="87" spans="1:6" x14ac:dyDescent="0.25">
      <c r="A87" s="8" t="s">
        <v>443</v>
      </c>
      <c r="B87" s="8" t="s">
        <v>1667</v>
      </c>
      <c r="C87" s="8"/>
      <c r="D87" s="8" t="s">
        <v>44</v>
      </c>
      <c r="E87" s="8" t="s">
        <v>1826</v>
      </c>
      <c r="F87" s="8"/>
    </row>
    <row r="88" spans="1:6" x14ac:dyDescent="0.25">
      <c r="A88" s="8" t="s">
        <v>443</v>
      </c>
      <c r="B88" s="8" t="s">
        <v>1673</v>
      </c>
      <c r="C88" s="8"/>
      <c r="D88" s="8" t="s">
        <v>57</v>
      </c>
      <c r="E88" s="8" t="s">
        <v>1826</v>
      </c>
      <c r="F88" s="8"/>
    </row>
    <row r="89" spans="1:6" x14ac:dyDescent="0.25">
      <c r="A89" s="8" t="s">
        <v>443</v>
      </c>
      <c r="B89" s="8" t="s">
        <v>1679</v>
      </c>
      <c r="C89" s="8"/>
      <c r="D89" s="8" t="s">
        <v>49</v>
      </c>
      <c r="E89" s="8" t="s">
        <v>1826</v>
      </c>
      <c r="F89" s="8"/>
    </row>
    <row r="90" spans="1:6" x14ac:dyDescent="0.25">
      <c r="A90" s="8" t="s">
        <v>436</v>
      </c>
      <c r="B90" s="8" t="s">
        <v>1667</v>
      </c>
      <c r="C90" s="8"/>
      <c r="D90" s="8" t="s">
        <v>44</v>
      </c>
      <c r="E90" s="8" t="s">
        <v>1826</v>
      </c>
      <c r="F90" s="8"/>
    </row>
    <row r="91" spans="1:6" x14ac:dyDescent="0.25">
      <c r="A91" s="8" t="s">
        <v>452</v>
      </c>
      <c r="B91" s="8" t="s">
        <v>1667</v>
      </c>
      <c r="C91" s="8"/>
      <c r="D91" s="8" t="s">
        <v>44</v>
      </c>
      <c r="E91" s="8" t="s">
        <v>1826</v>
      </c>
      <c r="F91" s="8"/>
    </row>
    <row r="92" spans="1:6" x14ac:dyDescent="0.25">
      <c r="A92" s="8" t="s">
        <v>452</v>
      </c>
      <c r="B92" s="8" t="s">
        <v>1673</v>
      </c>
      <c r="C92" s="8"/>
      <c r="D92" s="8" t="s">
        <v>57</v>
      </c>
      <c r="E92" s="8" t="s">
        <v>1826</v>
      </c>
      <c r="F92" s="8"/>
    </row>
    <row r="93" spans="1:6" x14ac:dyDescent="0.25">
      <c r="A93" s="8" t="s">
        <v>459</v>
      </c>
      <c r="B93" s="8" t="s">
        <v>1667</v>
      </c>
      <c r="C93" s="8"/>
      <c r="D93" s="8" t="s">
        <v>76</v>
      </c>
      <c r="E93" s="8" t="s">
        <v>1826</v>
      </c>
      <c r="F93" s="8"/>
    </row>
    <row r="94" spans="1:6" x14ac:dyDescent="0.25">
      <c r="A94" s="8" t="s">
        <v>459</v>
      </c>
      <c r="B94" s="8" t="s">
        <v>1676</v>
      </c>
      <c r="C94" s="8" t="s">
        <v>77</v>
      </c>
      <c r="D94" s="8" t="s">
        <v>149</v>
      </c>
      <c r="E94" s="8" t="s">
        <v>1827</v>
      </c>
      <c r="F94" s="8"/>
    </row>
    <row r="95" spans="1:6" x14ac:dyDescent="0.25">
      <c r="A95" s="8" t="s">
        <v>467</v>
      </c>
      <c r="B95" s="8" t="s">
        <v>1676</v>
      </c>
      <c r="C95" s="8" t="s">
        <v>83</v>
      </c>
      <c r="D95" s="8" t="s">
        <v>77</v>
      </c>
      <c r="E95" s="8" t="s">
        <v>1827</v>
      </c>
      <c r="F95" s="8"/>
    </row>
    <row r="96" spans="1:6" x14ac:dyDescent="0.25">
      <c r="A96" s="8" t="s">
        <v>472</v>
      </c>
      <c r="B96" s="8" t="s">
        <v>1667</v>
      </c>
      <c r="C96" s="8"/>
      <c r="D96" s="8" t="s">
        <v>76</v>
      </c>
      <c r="E96" s="8" t="s">
        <v>1826</v>
      </c>
      <c r="F96" s="8"/>
    </row>
    <row r="97" spans="1:6" x14ac:dyDescent="0.25">
      <c r="A97" s="8" t="s">
        <v>472</v>
      </c>
      <c r="B97" s="8" t="s">
        <v>1676</v>
      </c>
      <c r="C97" s="8"/>
      <c r="D97" s="8" t="s">
        <v>149</v>
      </c>
      <c r="E97" s="8" t="s">
        <v>1826</v>
      </c>
      <c r="F97" s="8"/>
    </row>
    <row r="98" spans="1:6" x14ac:dyDescent="0.25">
      <c r="A98" s="8" t="s">
        <v>475</v>
      </c>
      <c r="B98" s="8" t="s">
        <v>1667</v>
      </c>
      <c r="C98" s="8"/>
      <c r="D98" s="8" t="s">
        <v>44</v>
      </c>
      <c r="E98" s="8" t="s">
        <v>1826</v>
      </c>
      <c r="F98" s="8"/>
    </row>
    <row r="99" spans="1:6" x14ac:dyDescent="0.25">
      <c r="A99" s="8" t="s">
        <v>479</v>
      </c>
      <c r="B99" s="8" t="s">
        <v>1676</v>
      </c>
      <c r="C99" s="8" t="s">
        <v>58</v>
      </c>
      <c r="D99" s="8" t="s">
        <v>637</v>
      </c>
      <c r="E99" s="8" t="s">
        <v>1827</v>
      </c>
      <c r="F99" s="8"/>
    </row>
    <row r="100" spans="1:6" x14ac:dyDescent="0.25">
      <c r="A100" s="8" t="s">
        <v>483</v>
      </c>
      <c r="B100" s="8" t="s">
        <v>1667</v>
      </c>
      <c r="C100" s="8"/>
      <c r="D100" s="8" t="s">
        <v>44</v>
      </c>
      <c r="E100" s="8" t="s">
        <v>1826</v>
      </c>
      <c r="F100" s="8"/>
    </row>
    <row r="101" spans="1:6" x14ac:dyDescent="0.25">
      <c r="A101" s="8" t="s">
        <v>483</v>
      </c>
      <c r="B101" s="8" t="s">
        <v>1673</v>
      </c>
      <c r="C101" s="8"/>
      <c r="D101" s="8" t="s">
        <v>57</v>
      </c>
      <c r="E101" s="8" t="s">
        <v>1826</v>
      </c>
      <c r="F101" s="8"/>
    </row>
    <row r="102" spans="1:6" x14ac:dyDescent="0.25">
      <c r="A102" s="8" t="s">
        <v>492</v>
      </c>
      <c r="B102" s="8" t="s">
        <v>1667</v>
      </c>
      <c r="C102" s="8"/>
      <c r="D102" s="8" t="s">
        <v>44</v>
      </c>
      <c r="E102" s="8" t="s">
        <v>1826</v>
      </c>
      <c r="F102" s="8"/>
    </row>
    <row r="103" spans="1:6" x14ac:dyDescent="0.25">
      <c r="A103" s="8" t="s">
        <v>492</v>
      </c>
      <c r="B103" s="8" t="s">
        <v>1673</v>
      </c>
      <c r="C103" s="8"/>
      <c r="D103" s="8" t="s">
        <v>57</v>
      </c>
      <c r="E103" s="8" t="s">
        <v>1826</v>
      </c>
      <c r="F103" s="8"/>
    </row>
    <row r="104" spans="1:6" x14ac:dyDescent="0.25">
      <c r="A104" s="8" t="s">
        <v>495</v>
      </c>
      <c r="B104" s="8" t="s">
        <v>1667</v>
      </c>
      <c r="C104" s="8"/>
      <c r="D104" s="8" t="s">
        <v>44</v>
      </c>
      <c r="E104" s="8" t="s">
        <v>1826</v>
      </c>
      <c r="F104" s="8"/>
    </row>
    <row r="105" spans="1:6" x14ac:dyDescent="0.25">
      <c r="A105" s="8" t="s">
        <v>495</v>
      </c>
      <c r="B105" s="8" t="s">
        <v>1673</v>
      </c>
      <c r="C105" s="8"/>
      <c r="D105" s="8" t="s">
        <v>47</v>
      </c>
      <c r="E105" s="8" t="s">
        <v>1826</v>
      </c>
      <c r="F105" s="8"/>
    </row>
    <row r="106" spans="1:6" x14ac:dyDescent="0.25">
      <c r="A106" s="8" t="s">
        <v>495</v>
      </c>
      <c r="B106" s="8" t="s">
        <v>1679</v>
      </c>
      <c r="C106" s="8" t="s">
        <v>91</v>
      </c>
      <c r="D106" s="8" t="s">
        <v>49</v>
      </c>
      <c r="E106" s="8" t="s">
        <v>1827</v>
      </c>
      <c r="F106" s="8"/>
    </row>
    <row r="107" spans="1:6" x14ac:dyDescent="0.25">
      <c r="A107" s="8" t="s">
        <v>499</v>
      </c>
      <c r="B107" s="8" t="s">
        <v>1667</v>
      </c>
      <c r="C107" s="8"/>
      <c r="D107" s="8" t="s">
        <v>244</v>
      </c>
      <c r="E107" s="8" t="s">
        <v>1826</v>
      </c>
      <c r="F107" s="8"/>
    </row>
    <row r="108" spans="1:6" x14ac:dyDescent="0.25">
      <c r="A108" s="8" t="s">
        <v>499</v>
      </c>
      <c r="B108" s="8" t="s">
        <v>1673</v>
      </c>
      <c r="C108" s="8"/>
      <c r="D108" s="8" t="s">
        <v>47</v>
      </c>
      <c r="E108" s="8" t="s">
        <v>1826</v>
      </c>
      <c r="F108" s="8"/>
    </row>
    <row r="109" spans="1:6" x14ac:dyDescent="0.25">
      <c r="A109" s="8" t="s">
        <v>501</v>
      </c>
      <c r="B109" s="8" t="s">
        <v>1679</v>
      </c>
      <c r="C109" s="8" t="s">
        <v>72</v>
      </c>
      <c r="D109" s="8" t="s">
        <v>178</v>
      </c>
      <c r="E109" s="8" t="s">
        <v>1827</v>
      </c>
      <c r="F109" s="8"/>
    </row>
    <row r="110" spans="1:6" x14ac:dyDescent="0.25">
      <c r="A110" s="8" t="s">
        <v>506</v>
      </c>
      <c r="B110" s="8" t="s">
        <v>1676</v>
      </c>
      <c r="C110" s="8" t="s">
        <v>96</v>
      </c>
      <c r="D110" s="8" t="s">
        <v>1127</v>
      </c>
      <c r="E110" s="8" t="s">
        <v>1827</v>
      </c>
      <c r="F110" s="8"/>
    </row>
    <row r="111" spans="1:6" x14ac:dyDescent="0.25">
      <c r="A111" s="8" t="s">
        <v>506</v>
      </c>
      <c r="B111" s="8" t="s">
        <v>1679</v>
      </c>
      <c r="C111" s="8" t="s">
        <v>59</v>
      </c>
      <c r="D111" s="8" t="s">
        <v>91</v>
      </c>
      <c r="E111" s="8" t="s">
        <v>1827</v>
      </c>
      <c r="F111" s="8"/>
    </row>
    <row r="112" spans="1:6" x14ac:dyDescent="0.25">
      <c r="A112" s="8" t="s">
        <v>509</v>
      </c>
      <c r="B112" s="8" t="s">
        <v>1673</v>
      </c>
      <c r="C112" s="8"/>
      <c r="D112" s="8" t="s">
        <v>47</v>
      </c>
      <c r="E112" s="8" t="s">
        <v>1826</v>
      </c>
      <c r="F112" s="8"/>
    </row>
    <row r="113" spans="1:6" x14ac:dyDescent="0.25">
      <c r="A113" s="8" t="s">
        <v>511</v>
      </c>
      <c r="B113" s="8" t="s">
        <v>1667</v>
      </c>
      <c r="C113" s="8"/>
      <c r="D113" s="8" t="s">
        <v>76</v>
      </c>
      <c r="E113" s="8" t="s">
        <v>1826</v>
      </c>
      <c r="F113" s="8"/>
    </row>
    <row r="114" spans="1:6" x14ac:dyDescent="0.25">
      <c r="A114" s="8" t="s">
        <v>514</v>
      </c>
      <c r="B114" s="8" t="s">
        <v>1673</v>
      </c>
      <c r="C114" s="8"/>
      <c r="D114" s="8" t="s">
        <v>47</v>
      </c>
      <c r="E114" s="8" t="s">
        <v>1826</v>
      </c>
      <c r="F114" s="8" t="s">
        <v>1829</v>
      </c>
    </row>
    <row r="115" spans="1:6" x14ac:dyDescent="0.25">
      <c r="A115" s="8" t="s">
        <v>514</v>
      </c>
      <c r="B115" s="8" t="s">
        <v>1676</v>
      </c>
      <c r="C115" s="8" t="s">
        <v>1146</v>
      </c>
      <c r="D115" s="8" t="s">
        <v>515</v>
      </c>
      <c r="E115" s="8" t="s">
        <v>1828</v>
      </c>
      <c r="F115" s="8"/>
    </row>
    <row r="116" spans="1:6" x14ac:dyDescent="0.25">
      <c r="A116" s="8" t="s">
        <v>525</v>
      </c>
      <c r="B116" s="8" t="s">
        <v>1667</v>
      </c>
      <c r="C116" s="8"/>
      <c r="D116" s="8" t="s">
        <v>76</v>
      </c>
      <c r="E116" s="8" t="s">
        <v>1826</v>
      </c>
      <c r="F116" s="8"/>
    </row>
    <row r="117" spans="1:6" x14ac:dyDescent="0.25">
      <c r="A117" s="8" t="s">
        <v>525</v>
      </c>
      <c r="B117" s="8" t="s">
        <v>1679</v>
      </c>
      <c r="C117" s="8"/>
      <c r="D117" s="8" t="s">
        <v>78</v>
      </c>
      <c r="E117" s="8" t="s">
        <v>1826</v>
      </c>
      <c r="F117" s="8"/>
    </row>
    <row r="118" spans="1:6" x14ac:dyDescent="0.25">
      <c r="A118" s="8" t="s">
        <v>531</v>
      </c>
      <c r="B118" s="8" t="s">
        <v>1667</v>
      </c>
      <c r="C118" s="8"/>
      <c r="D118" s="8" t="s">
        <v>44</v>
      </c>
      <c r="E118" s="8" t="s">
        <v>1826</v>
      </c>
      <c r="F118" s="8"/>
    </row>
    <row r="119" spans="1:6" x14ac:dyDescent="0.25">
      <c r="A119" s="8" t="s">
        <v>531</v>
      </c>
      <c r="B119" s="8" t="s">
        <v>1676</v>
      </c>
      <c r="C119" s="8" t="s">
        <v>58</v>
      </c>
      <c r="D119" s="8" t="s">
        <v>1830</v>
      </c>
      <c r="E119" s="8" t="s">
        <v>1827</v>
      </c>
      <c r="F119" s="8"/>
    </row>
    <row r="120" spans="1:6" x14ac:dyDescent="0.25">
      <c r="A120" s="8" t="s">
        <v>534</v>
      </c>
      <c r="B120" s="8" t="s">
        <v>1676</v>
      </c>
      <c r="C120" s="8" t="s">
        <v>1831</v>
      </c>
      <c r="D120" s="8" t="s">
        <v>313</v>
      </c>
      <c r="E120" s="8" t="s">
        <v>1828</v>
      </c>
      <c r="F120" s="8"/>
    </row>
    <row r="121" spans="1:6" x14ac:dyDescent="0.25">
      <c r="A121" s="8" t="s">
        <v>534</v>
      </c>
      <c r="B121" s="8" t="s">
        <v>1679</v>
      </c>
      <c r="C121" s="8" t="s">
        <v>71</v>
      </c>
      <c r="D121" s="8" t="s">
        <v>91</v>
      </c>
      <c r="E121" s="8" t="s">
        <v>1827</v>
      </c>
      <c r="F121" s="8"/>
    </row>
    <row r="122" spans="1:6" x14ac:dyDescent="0.25">
      <c r="A122" s="8" t="s">
        <v>546</v>
      </c>
      <c r="B122" s="8" t="s">
        <v>1673</v>
      </c>
      <c r="C122" s="8"/>
      <c r="D122" s="8" t="s">
        <v>47</v>
      </c>
      <c r="E122" s="8" t="s">
        <v>1826</v>
      </c>
      <c r="F122" s="8"/>
    </row>
    <row r="123" spans="1:6" x14ac:dyDescent="0.25">
      <c r="A123" s="8" t="s">
        <v>548</v>
      </c>
      <c r="B123" s="8" t="s">
        <v>1673</v>
      </c>
      <c r="C123" s="8"/>
      <c r="D123" s="8" t="s">
        <v>47</v>
      </c>
      <c r="E123" s="8" t="s">
        <v>1826</v>
      </c>
      <c r="F123" s="8"/>
    </row>
    <row r="124" spans="1:6" x14ac:dyDescent="0.25">
      <c r="A124" s="8" t="s">
        <v>554</v>
      </c>
      <c r="B124" s="8" t="s">
        <v>1667</v>
      </c>
      <c r="C124" s="8"/>
      <c r="D124" s="8" t="s">
        <v>44</v>
      </c>
      <c r="E124" s="8" t="s">
        <v>1826</v>
      </c>
      <c r="F124" s="8"/>
    </row>
    <row r="125" spans="1:6" x14ac:dyDescent="0.25">
      <c r="A125" s="8" t="s">
        <v>555</v>
      </c>
      <c r="B125" s="8" t="s">
        <v>1673</v>
      </c>
      <c r="C125" s="8"/>
      <c r="D125" s="8" t="s">
        <v>47</v>
      </c>
      <c r="E125" s="8" t="s">
        <v>1826</v>
      </c>
      <c r="F125" s="8"/>
    </row>
    <row r="126" spans="1:6" x14ac:dyDescent="0.25">
      <c r="A126" s="8" t="s">
        <v>168</v>
      </c>
      <c r="B126" s="8" t="s">
        <v>1676</v>
      </c>
      <c r="C126" s="8" t="s">
        <v>77</v>
      </c>
      <c r="D126" s="8" t="s">
        <v>594</v>
      </c>
      <c r="E126" s="8" t="s">
        <v>1827</v>
      </c>
      <c r="F126" s="8"/>
    </row>
    <row r="127" spans="1:6" x14ac:dyDescent="0.25">
      <c r="A127" s="8" t="s">
        <v>567</v>
      </c>
      <c r="B127" s="8" t="s">
        <v>1667</v>
      </c>
      <c r="C127" s="8"/>
      <c r="D127" s="8" t="s">
        <v>76</v>
      </c>
      <c r="E127" s="8" t="s">
        <v>1826</v>
      </c>
      <c r="F127" s="8"/>
    </row>
    <row r="128" spans="1:6" x14ac:dyDescent="0.25">
      <c r="A128" s="8" t="s">
        <v>567</v>
      </c>
      <c r="B128" s="8" t="s">
        <v>1679</v>
      </c>
      <c r="C128" s="8"/>
      <c r="D128" s="8" t="s">
        <v>72</v>
      </c>
      <c r="E128" s="8" t="s">
        <v>1826</v>
      </c>
      <c r="F128" s="8"/>
    </row>
    <row r="129" spans="1:6" x14ac:dyDescent="0.25">
      <c r="A129" s="8" t="s">
        <v>564</v>
      </c>
      <c r="B129" s="8" t="s">
        <v>1667</v>
      </c>
      <c r="C129" s="8"/>
      <c r="D129" s="8" t="s">
        <v>244</v>
      </c>
      <c r="E129" s="8" t="s">
        <v>1826</v>
      </c>
      <c r="F129" s="8"/>
    </row>
    <row r="130" spans="1:6" x14ac:dyDescent="0.25">
      <c r="A130" s="8" t="s">
        <v>564</v>
      </c>
      <c r="B130" s="8" t="s">
        <v>1673</v>
      </c>
      <c r="C130" s="8"/>
      <c r="D130" s="8" t="s">
        <v>57</v>
      </c>
      <c r="E130" s="8" t="s">
        <v>1826</v>
      </c>
      <c r="F130" s="8"/>
    </row>
    <row r="131" spans="1:6" x14ac:dyDescent="0.25">
      <c r="A131" s="8" t="s">
        <v>576</v>
      </c>
      <c r="B131" s="8" t="s">
        <v>1667</v>
      </c>
      <c r="C131" s="8"/>
      <c r="D131" s="8" t="s">
        <v>244</v>
      </c>
      <c r="E131" s="8" t="s">
        <v>1826</v>
      </c>
      <c r="F131" s="8"/>
    </row>
    <row r="132" spans="1:6" x14ac:dyDescent="0.25">
      <c r="A132" s="8" t="s">
        <v>576</v>
      </c>
      <c r="B132" s="8" t="s">
        <v>1673</v>
      </c>
      <c r="C132" s="8"/>
      <c r="D132" s="8" t="s">
        <v>47</v>
      </c>
      <c r="E132" s="8" t="s">
        <v>1826</v>
      </c>
      <c r="F132" s="8"/>
    </row>
    <row r="133" spans="1:6" x14ac:dyDescent="0.25">
      <c r="A133" s="8" t="s">
        <v>584</v>
      </c>
      <c r="B133" s="8" t="s">
        <v>1679</v>
      </c>
      <c r="C133" s="8"/>
      <c r="D133" s="8" t="s">
        <v>71</v>
      </c>
      <c r="E133" s="8" t="s">
        <v>1826</v>
      </c>
      <c r="F133" s="8"/>
    </row>
    <row r="134" spans="1:6" x14ac:dyDescent="0.25">
      <c r="A134" s="8" t="s">
        <v>588</v>
      </c>
      <c r="B134" s="8" t="s">
        <v>1667</v>
      </c>
      <c r="C134" s="8"/>
      <c r="D134" s="8" t="s">
        <v>76</v>
      </c>
      <c r="E134" s="8" t="s">
        <v>1826</v>
      </c>
      <c r="F134" s="8"/>
    </row>
    <row r="135" spans="1:6" x14ac:dyDescent="0.25">
      <c r="A135" s="8" t="s">
        <v>588</v>
      </c>
      <c r="B135" s="8" t="s">
        <v>1676</v>
      </c>
      <c r="C135" s="8" t="s">
        <v>149</v>
      </c>
      <c r="D135" s="8" t="s">
        <v>77</v>
      </c>
      <c r="E135" s="8" t="s">
        <v>1827</v>
      </c>
      <c r="F135" s="8"/>
    </row>
    <row r="136" spans="1:6" x14ac:dyDescent="0.25">
      <c r="A136" s="8" t="s">
        <v>588</v>
      </c>
      <c r="B136" s="8" t="s">
        <v>1679</v>
      </c>
      <c r="C136" s="8"/>
      <c r="D136" s="8" t="s">
        <v>71</v>
      </c>
      <c r="E136" s="8" t="s">
        <v>1826</v>
      </c>
      <c r="F136" s="8"/>
    </row>
    <row r="137" spans="1:6" x14ac:dyDescent="0.25">
      <c r="A137" s="8" t="s">
        <v>592</v>
      </c>
      <c r="B137" s="8" t="s">
        <v>1676</v>
      </c>
      <c r="C137" s="8" t="s">
        <v>1832</v>
      </c>
      <c r="D137" s="8" t="s">
        <v>594</v>
      </c>
      <c r="E137" s="8" t="s">
        <v>1828</v>
      </c>
      <c r="F137" s="8"/>
    </row>
    <row r="138" spans="1:6" x14ac:dyDescent="0.25">
      <c r="A138" s="8" t="s">
        <v>605</v>
      </c>
      <c r="B138" s="8" t="s">
        <v>1676</v>
      </c>
      <c r="C138" s="8" t="s">
        <v>611</v>
      </c>
      <c r="D138" s="8" t="s">
        <v>77</v>
      </c>
      <c r="E138" s="8" t="s">
        <v>1828</v>
      </c>
      <c r="F138" s="8"/>
    </row>
    <row r="139" spans="1:6" x14ac:dyDescent="0.25">
      <c r="A139" s="8" t="s">
        <v>605</v>
      </c>
      <c r="B139" s="8" t="s">
        <v>1679</v>
      </c>
      <c r="C139" s="8" t="s">
        <v>78</v>
      </c>
      <c r="D139" s="8" t="s">
        <v>192</v>
      </c>
      <c r="E139" s="8" t="s">
        <v>1827</v>
      </c>
      <c r="F139" s="8"/>
    </row>
    <row r="140" spans="1:6" x14ac:dyDescent="0.25">
      <c r="A140" s="8" t="s">
        <v>617</v>
      </c>
      <c r="B140" s="8" t="s">
        <v>1667</v>
      </c>
      <c r="C140" s="8"/>
      <c r="D140" s="8" t="s">
        <v>76</v>
      </c>
      <c r="E140" s="8" t="s">
        <v>1826</v>
      </c>
      <c r="F140" s="8"/>
    </row>
    <row r="141" spans="1:6" x14ac:dyDescent="0.25">
      <c r="A141" s="8" t="s">
        <v>617</v>
      </c>
      <c r="B141" s="8" t="s">
        <v>1676</v>
      </c>
      <c r="C141" s="8" t="s">
        <v>58</v>
      </c>
      <c r="D141" s="8" t="s">
        <v>77</v>
      </c>
      <c r="E141" s="8" t="s">
        <v>1827</v>
      </c>
      <c r="F141" s="8"/>
    </row>
    <row r="142" spans="1:6" x14ac:dyDescent="0.25">
      <c r="A142" s="8" t="s">
        <v>624</v>
      </c>
      <c r="B142" s="8" t="s">
        <v>1676</v>
      </c>
      <c r="C142" s="8" t="s">
        <v>115</v>
      </c>
      <c r="D142" s="8" t="s">
        <v>77</v>
      </c>
      <c r="E142" s="8" t="s">
        <v>1828</v>
      </c>
      <c r="F142" s="8"/>
    </row>
    <row r="143" spans="1:6" x14ac:dyDescent="0.25">
      <c r="A143" s="8" t="s">
        <v>632</v>
      </c>
      <c r="B143" s="8" t="s">
        <v>1667</v>
      </c>
      <c r="C143" s="8"/>
      <c r="D143" s="8" t="s">
        <v>44</v>
      </c>
      <c r="E143" s="8" t="s">
        <v>1826</v>
      </c>
      <c r="F143" s="8"/>
    </row>
    <row r="144" spans="1:6" x14ac:dyDescent="0.25">
      <c r="A144" s="8" t="s">
        <v>632</v>
      </c>
      <c r="B144" s="8" t="s">
        <v>1679</v>
      </c>
      <c r="C144" s="8"/>
      <c r="D144" s="8" t="s">
        <v>119</v>
      </c>
      <c r="E144" s="8" t="s">
        <v>1826</v>
      </c>
      <c r="F144" s="8"/>
    </row>
    <row r="145" spans="1:6" x14ac:dyDescent="0.25">
      <c r="A145" s="8" t="s">
        <v>644</v>
      </c>
      <c r="B145" s="8" t="s">
        <v>1667</v>
      </c>
      <c r="C145" s="8"/>
      <c r="D145" s="8" t="s">
        <v>44</v>
      </c>
      <c r="E145" s="8" t="s">
        <v>1826</v>
      </c>
      <c r="F145" s="8"/>
    </row>
    <row r="146" spans="1:6" x14ac:dyDescent="0.25">
      <c r="A146" s="8" t="s">
        <v>655</v>
      </c>
      <c r="B146" s="8" t="s">
        <v>1667</v>
      </c>
      <c r="C146" s="8"/>
      <c r="D146" s="8" t="s">
        <v>76</v>
      </c>
      <c r="E146" s="8" t="s">
        <v>1826</v>
      </c>
      <c r="F146" s="8"/>
    </row>
    <row r="147" spans="1:6" x14ac:dyDescent="0.25">
      <c r="A147" s="8" t="s">
        <v>661</v>
      </c>
      <c r="B147" s="8" t="s">
        <v>1667</v>
      </c>
      <c r="C147" s="8"/>
      <c r="D147" s="8" t="s">
        <v>44</v>
      </c>
      <c r="E147" s="8" t="s">
        <v>1826</v>
      </c>
      <c r="F147" s="8"/>
    </row>
    <row r="148" spans="1:6" x14ac:dyDescent="0.25">
      <c r="A148" s="8" t="s">
        <v>668</v>
      </c>
      <c r="B148" s="8" t="s">
        <v>1667</v>
      </c>
      <c r="C148" s="8"/>
      <c r="D148" s="8" t="s">
        <v>44</v>
      </c>
      <c r="E148" s="8" t="s">
        <v>1826</v>
      </c>
      <c r="F148" s="8"/>
    </row>
    <row r="149" spans="1:6" x14ac:dyDescent="0.25">
      <c r="A149" s="8" t="s">
        <v>671</v>
      </c>
      <c r="B149" s="8" t="s">
        <v>1667</v>
      </c>
      <c r="C149" s="8"/>
      <c r="D149" s="8" t="s">
        <v>44</v>
      </c>
      <c r="E149" s="8" t="s">
        <v>1826</v>
      </c>
      <c r="F149" s="8"/>
    </row>
    <row r="150" spans="1:6" x14ac:dyDescent="0.25">
      <c r="A150" s="8" t="s">
        <v>671</v>
      </c>
      <c r="B150" s="8" t="s">
        <v>1679</v>
      </c>
      <c r="C150" s="8"/>
      <c r="D150" s="8" t="s">
        <v>59</v>
      </c>
      <c r="E150" s="8" t="s">
        <v>1826</v>
      </c>
      <c r="F150" s="8"/>
    </row>
    <row r="151" spans="1:6" x14ac:dyDescent="0.25">
      <c r="A151" s="8" t="s">
        <v>678</v>
      </c>
      <c r="B151" s="8" t="s">
        <v>1667</v>
      </c>
      <c r="C151" s="8"/>
      <c r="D151" s="8" t="s">
        <v>76</v>
      </c>
      <c r="E151" s="8" t="s">
        <v>1826</v>
      </c>
      <c r="F151" s="8"/>
    </row>
    <row r="152" spans="1:6" x14ac:dyDescent="0.25">
      <c r="A152" s="8" t="s">
        <v>678</v>
      </c>
      <c r="B152" s="8" t="s">
        <v>1676</v>
      </c>
      <c r="C152" s="8" t="s">
        <v>83</v>
      </c>
      <c r="D152" s="8" t="s">
        <v>77</v>
      </c>
      <c r="E152" s="8" t="s">
        <v>1827</v>
      </c>
      <c r="F152" s="8"/>
    </row>
    <row r="153" spans="1:6" x14ac:dyDescent="0.25">
      <c r="A153" s="8" t="s">
        <v>681</v>
      </c>
      <c r="B153" s="8" t="s">
        <v>1667</v>
      </c>
      <c r="C153" s="8"/>
      <c r="D153" s="8" t="s">
        <v>76</v>
      </c>
      <c r="E153" s="8" t="s">
        <v>1826</v>
      </c>
      <c r="F153" s="8"/>
    </row>
    <row r="154" spans="1:6" x14ac:dyDescent="0.25">
      <c r="A154" s="8" t="s">
        <v>681</v>
      </c>
      <c r="B154" s="8" t="s">
        <v>1679</v>
      </c>
      <c r="C154" s="8"/>
      <c r="D154" s="8" t="s">
        <v>119</v>
      </c>
      <c r="E154" s="8" t="s">
        <v>1826</v>
      </c>
      <c r="F154" s="8"/>
    </row>
    <row r="155" spans="1:6" x14ac:dyDescent="0.25">
      <c r="A155" s="8" t="s">
        <v>687</v>
      </c>
      <c r="B155" s="8" t="s">
        <v>1667</v>
      </c>
      <c r="C155" s="8" t="s">
        <v>76</v>
      </c>
      <c r="D155" s="8" t="s">
        <v>44</v>
      </c>
      <c r="E155" s="8" t="s">
        <v>1833</v>
      </c>
      <c r="F155" s="8" t="s">
        <v>1834</v>
      </c>
    </row>
    <row r="156" spans="1:6" x14ac:dyDescent="0.25">
      <c r="A156" s="8" t="s">
        <v>687</v>
      </c>
      <c r="B156" s="8" t="s">
        <v>1676</v>
      </c>
      <c r="C156" s="8" t="s">
        <v>693</v>
      </c>
      <c r="D156" s="8" t="s">
        <v>83</v>
      </c>
      <c r="E156" s="8" t="s">
        <v>1828</v>
      </c>
      <c r="F156" s="8"/>
    </row>
    <row r="157" spans="1:6" x14ac:dyDescent="0.25">
      <c r="A157" s="8" t="s">
        <v>697</v>
      </c>
      <c r="B157" s="8" t="s">
        <v>1667</v>
      </c>
      <c r="C157" s="8"/>
      <c r="D157" s="8" t="s">
        <v>76</v>
      </c>
      <c r="E157" s="8" t="s">
        <v>1826</v>
      </c>
      <c r="F157" s="8"/>
    </row>
    <row r="158" spans="1:6" x14ac:dyDescent="0.25">
      <c r="A158" s="8" t="s">
        <v>697</v>
      </c>
      <c r="B158" s="8" t="s">
        <v>1676</v>
      </c>
      <c r="C158" s="8" t="s">
        <v>698</v>
      </c>
      <c r="D158" s="8" t="s">
        <v>322</v>
      </c>
      <c r="E158" s="8" t="s">
        <v>1827</v>
      </c>
      <c r="F158" s="8"/>
    </row>
    <row r="159" spans="1:6" x14ac:dyDescent="0.25">
      <c r="A159" s="8" t="s">
        <v>701</v>
      </c>
      <c r="B159" s="8" t="s">
        <v>1667</v>
      </c>
      <c r="C159" s="8"/>
      <c r="D159" s="8" t="s">
        <v>76</v>
      </c>
      <c r="E159" s="8" t="s">
        <v>1826</v>
      </c>
      <c r="F159" s="8"/>
    </row>
    <row r="160" spans="1:6" x14ac:dyDescent="0.25">
      <c r="A160" s="8" t="s">
        <v>701</v>
      </c>
      <c r="B160" s="8" t="s">
        <v>1679</v>
      </c>
      <c r="C160" s="8"/>
      <c r="D160" s="8" t="s">
        <v>49</v>
      </c>
      <c r="E160" s="8" t="s">
        <v>1826</v>
      </c>
      <c r="F160" s="8"/>
    </row>
    <row r="161" spans="1:6" x14ac:dyDescent="0.25">
      <c r="A161" s="8" t="s">
        <v>710</v>
      </c>
      <c r="B161" s="8" t="s">
        <v>1676</v>
      </c>
      <c r="C161" s="8"/>
      <c r="D161" s="8" t="s">
        <v>515</v>
      </c>
      <c r="E161" s="8" t="s">
        <v>1826</v>
      </c>
      <c r="F161" s="8"/>
    </row>
    <row r="162" spans="1:6" x14ac:dyDescent="0.25">
      <c r="A162" s="8" t="s">
        <v>703</v>
      </c>
      <c r="B162" s="8" t="s">
        <v>1667</v>
      </c>
      <c r="C162" s="8"/>
      <c r="D162" s="8" t="s">
        <v>44</v>
      </c>
      <c r="E162" s="8" t="s">
        <v>1826</v>
      </c>
      <c r="F162" s="8"/>
    </row>
    <row r="163" spans="1:6" x14ac:dyDescent="0.25">
      <c r="A163" s="8" t="s">
        <v>703</v>
      </c>
      <c r="B163" s="8" t="s">
        <v>1673</v>
      </c>
      <c r="C163" s="8"/>
      <c r="D163" s="8" t="s">
        <v>47</v>
      </c>
      <c r="E163" s="8" t="s">
        <v>1826</v>
      </c>
      <c r="F163" s="8" t="s">
        <v>1829</v>
      </c>
    </row>
    <row r="164" spans="1:6" x14ac:dyDescent="0.25">
      <c r="A164" s="8" t="s">
        <v>687</v>
      </c>
      <c r="B164" s="8" t="s">
        <v>1673</v>
      </c>
      <c r="C164" s="8"/>
      <c r="D164" s="8" t="s">
        <v>57</v>
      </c>
      <c r="E164" s="8" t="s">
        <v>1826</v>
      </c>
      <c r="F164" s="8"/>
    </row>
    <row r="165" spans="1:6" x14ac:dyDescent="0.25">
      <c r="A165" s="8" t="s">
        <v>687</v>
      </c>
      <c r="B165" s="8" t="s">
        <v>1676</v>
      </c>
      <c r="C165" s="8" t="s">
        <v>83</v>
      </c>
      <c r="D165" s="8" t="s">
        <v>271</v>
      </c>
      <c r="E165" s="8" t="s">
        <v>1827</v>
      </c>
      <c r="F165" s="8"/>
    </row>
    <row r="166" spans="1:6" x14ac:dyDescent="0.25">
      <c r="A166" s="8" t="s">
        <v>723</v>
      </c>
      <c r="B166" s="8" t="s">
        <v>1667</v>
      </c>
      <c r="C166" s="8"/>
      <c r="D166" s="8" t="s">
        <v>76</v>
      </c>
      <c r="E166" s="8" t="s">
        <v>1826</v>
      </c>
      <c r="F166" s="8"/>
    </row>
    <row r="167" spans="1:6" x14ac:dyDescent="0.25">
      <c r="A167" s="8" t="s">
        <v>723</v>
      </c>
      <c r="B167" s="8" t="s">
        <v>1679</v>
      </c>
      <c r="C167" s="8"/>
      <c r="D167" s="8" t="s">
        <v>119</v>
      </c>
      <c r="E167" s="8" t="s">
        <v>1826</v>
      </c>
      <c r="F167" s="8"/>
    </row>
    <row r="168" spans="1:6" x14ac:dyDescent="0.25">
      <c r="A168" s="8" t="s">
        <v>727</v>
      </c>
      <c r="B168" s="8" t="s">
        <v>1667</v>
      </c>
      <c r="C168" s="8"/>
      <c r="D168" s="8" t="s">
        <v>44</v>
      </c>
      <c r="E168" s="8" t="s">
        <v>1826</v>
      </c>
      <c r="F168" s="8"/>
    </row>
    <row r="169" spans="1:6" x14ac:dyDescent="0.25">
      <c r="A169" s="8" t="s">
        <v>727</v>
      </c>
      <c r="B169" s="8" t="s">
        <v>1676</v>
      </c>
      <c r="C169" s="8" t="s">
        <v>58</v>
      </c>
      <c r="D169" s="8" t="s">
        <v>1835</v>
      </c>
      <c r="E169" s="8" t="s">
        <v>1827</v>
      </c>
      <c r="F169" s="8"/>
    </row>
    <row r="170" spans="1:6" x14ac:dyDescent="0.25">
      <c r="A170" s="8" t="s">
        <v>727</v>
      </c>
      <c r="B170" s="8" t="s">
        <v>1679</v>
      </c>
      <c r="C170" s="8"/>
      <c r="D170" s="8" t="s">
        <v>133</v>
      </c>
      <c r="E170" s="8" t="s">
        <v>1826</v>
      </c>
      <c r="F170" s="8"/>
    </row>
    <row r="171" spans="1:6" x14ac:dyDescent="0.25">
      <c r="A171" s="8" t="s">
        <v>735</v>
      </c>
      <c r="B171" s="8" t="s">
        <v>1667</v>
      </c>
      <c r="C171" s="8"/>
      <c r="D171" s="8" t="s">
        <v>76</v>
      </c>
      <c r="E171" s="8" t="s">
        <v>1826</v>
      </c>
      <c r="F171" s="8"/>
    </row>
    <row r="172" spans="1:6" x14ac:dyDescent="0.25">
      <c r="A172" s="8" t="s">
        <v>735</v>
      </c>
      <c r="B172" s="8" t="s">
        <v>1676</v>
      </c>
      <c r="C172" s="8"/>
      <c r="D172" s="8" t="s">
        <v>77</v>
      </c>
      <c r="E172" s="8" t="s">
        <v>1826</v>
      </c>
      <c r="F172" s="8"/>
    </row>
    <row r="173" spans="1:6" x14ac:dyDescent="0.25">
      <c r="A173" s="8" t="s">
        <v>736</v>
      </c>
      <c r="B173" s="8" t="s">
        <v>1679</v>
      </c>
      <c r="C173" s="8" t="s">
        <v>72</v>
      </c>
      <c r="D173" s="8" t="s">
        <v>78</v>
      </c>
      <c r="E173" s="8" t="s">
        <v>1827</v>
      </c>
      <c r="F173" s="8"/>
    </row>
    <row r="174" spans="1:6" x14ac:dyDescent="0.25">
      <c r="A174" s="8" t="s">
        <v>739</v>
      </c>
      <c r="B174" s="8" t="s">
        <v>1667</v>
      </c>
      <c r="C174" s="8"/>
      <c r="D174" s="8" t="s">
        <v>44</v>
      </c>
      <c r="E174" s="8" t="s">
        <v>1826</v>
      </c>
      <c r="F174" s="8"/>
    </row>
    <row r="175" spans="1:6" x14ac:dyDescent="0.25">
      <c r="A175" s="8" t="s">
        <v>739</v>
      </c>
      <c r="B175" s="8" t="s">
        <v>1673</v>
      </c>
      <c r="C175" s="8"/>
      <c r="D175" s="8" t="s">
        <v>57</v>
      </c>
      <c r="E175" s="8" t="s">
        <v>1826</v>
      </c>
      <c r="F175" s="8"/>
    </row>
    <row r="176" spans="1:6" x14ac:dyDescent="0.25">
      <c r="A176" s="8" t="s">
        <v>745</v>
      </c>
      <c r="B176" s="8" t="s">
        <v>1667</v>
      </c>
      <c r="C176" s="8"/>
      <c r="D176" s="8" t="s">
        <v>76</v>
      </c>
      <c r="E176" s="8" t="s">
        <v>1826</v>
      </c>
      <c r="F176" s="8"/>
    </row>
    <row r="177" spans="1:6" x14ac:dyDescent="0.25">
      <c r="A177" s="8" t="s">
        <v>745</v>
      </c>
      <c r="B177" s="8" t="s">
        <v>1676</v>
      </c>
      <c r="C177" s="8" t="s">
        <v>746</v>
      </c>
      <c r="D177" s="8" t="s">
        <v>332</v>
      </c>
      <c r="E177" s="8" t="s">
        <v>1828</v>
      </c>
      <c r="F177" s="8"/>
    </row>
    <row r="178" spans="1:6" x14ac:dyDescent="0.25">
      <c r="A178" s="8" t="s">
        <v>745</v>
      </c>
      <c r="B178" s="8" t="s">
        <v>1679</v>
      </c>
      <c r="C178" s="8"/>
      <c r="D178" s="8" t="s">
        <v>72</v>
      </c>
      <c r="E178" s="8" t="s">
        <v>1826</v>
      </c>
      <c r="F178" s="8"/>
    </row>
    <row r="179" spans="1:6" x14ac:dyDescent="0.25">
      <c r="A179" s="8" t="s">
        <v>752</v>
      </c>
      <c r="B179" s="8" t="s">
        <v>1667</v>
      </c>
      <c r="C179" s="8"/>
      <c r="D179" s="8" t="s">
        <v>44</v>
      </c>
      <c r="E179" s="8" t="s">
        <v>1826</v>
      </c>
      <c r="F179" s="8"/>
    </row>
    <row r="180" spans="1:6" x14ac:dyDescent="0.25">
      <c r="A180" s="8" t="s">
        <v>752</v>
      </c>
      <c r="B180" s="8" t="s">
        <v>1679</v>
      </c>
      <c r="C180" s="8"/>
      <c r="D180" s="8" t="s">
        <v>71</v>
      </c>
      <c r="E180" s="8" t="s">
        <v>1826</v>
      </c>
      <c r="F180" s="8"/>
    </row>
    <row r="181" spans="1:6" x14ac:dyDescent="0.25">
      <c r="A181" s="8" t="s">
        <v>754</v>
      </c>
      <c r="B181" s="8" t="s">
        <v>1667</v>
      </c>
      <c r="C181" s="8"/>
      <c r="D181" s="8" t="s">
        <v>244</v>
      </c>
      <c r="E181" s="8" t="s">
        <v>1826</v>
      </c>
      <c r="F181" s="8"/>
    </row>
    <row r="182" spans="1:6" x14ac:dyDescent="0.25">
      <c r="A182" s="8" t="s">
        <v>754</v>
      </c>
      <c r="B182" s="8" t="s">
        <v>1673</v>
      </c>
      <c r="C182" s="8"/>
      <c r="D182" s="8" t="s">
        <v>47</v>
      </c>
      <c r="E182" s="8" t="s">
        <v>1826</v>
      </c>
      <c r="F182" s="8"/>
    </row>
    <row r="183" spans="1:6" x14ac:dyDescent="0.25">
      <c r="A183" s="8" t="s">
        <v>756</v>
      </c>
      <c r="B183" s="8" t="s">
        <v>1667</v>
      </c>
      <c r="C183" s="8"/>
      <c r="D183" s="8" t="s">
        <v>76</v>
      </c>
      <c r="E183" s="8" t="s">
        <v>1826</v>
      </c>
      <c r="F183" s="8" t="s">
        <v>1834</v>
      </c>
    </row>
    <row r="184" spans="1:6" x14ac:dyDescent="0.25">
      <c r="A184" s="8" t="s">
        <v>756</v>
      </c>
      <c r="B184" s="8" t="s">
        <v>1676</v>
      </c>
      <c r="C184" s="8" t="s">
        <v>761</v>
      </c>
      <c r="D184" s="8" t="s">
        <v>58</v>
      </c>
      <c r="E184" s="8" t="s">
        <v>1828</v>
      </c>
      <c r="F184" s="8"/>
    </row>
    <row r="185" spans="1:6" x14ac:dyDescent="0.25">
      <c r="A185" s="8" t="s">
        <v>763</v>
      </c>
      <c r="B185" s="8" t="s">
        <v>1676</v>
      </c>
      <c r="C185" s="8" t="s">
        <v>769</v>
      </c>
      <c r="D185" s="8" t="s">
        <v>83</v>
      </c>
      <c r="E185" s="8" t="s">
        <v>1828</v>
      </c>
      <c r="F185" s="8"/>
    </row>
    <row r="186" spans="1:6" x14ac:dyDescent="0.25">
      <c r="A186" s="8" t="s">
        <v>763</v>
      </c>
      <c r="B186" s="8" t="s">
        <v>1679</v>
      </c>
      <c r="C186" s="8" t="s">
        <v>72</v>
      </c>
      <c r="D186" s="8" t="s">
        <v>71</v>
      </c>
      <c r="E186" s="8" t="s">
        <v>1827</v>
      </c>
      <c r="F186" s="8"/>
    </row>
    <row r="187" spans="1:6" x14ac:dyDescent="0.25">
      <c r="A187" s="8" t="s">
        <v>771</v>
      </c>
      <c r="B187" s="8" t="s">
        <v>1667</v>
      </c>
      <c r="C187" s="8"/>
      <c r="D187" s="8" t="s">
        <v>76</v>
      </c>
      <c r="E187" s="8" t="s">
        <v>1826</v>
      </c>
      <c r="F187" s="8"/>
    </row>
    <row r="188" spans="1:6" x14ac:dyDescent="0.25">
      <c r="A188" s="8" t="s">
        <v>773</v>
      </c>
      <c r="B188" s="8" t="s">
        <v>1667</v>
      </c>
      <c r="C188" s="8"/>
      <c r="D188" s="8" t="s">
        <v>76</v>
      </c>
      <c r="E188" s="8" t="s">
        <v>1826</v>
      </c>
      <c r="F188" s="8"/>
    </row>
    <row r="189" spans="1:6" x14ac:dyDescent="0.25">
      <c r="A189" s="8" t="s">
        <v>773</v>
      </c>
      <c r="B189" s="8" t="s">
        <v>1679</v>
      </c>
      <c r="C189" s="8"/>
      <c r="D189" s="8" t="s">
        <v>91</v>
      </c>
      <c r="E189" s="8" t="s">
        <v>1826</v>
      </c>
      <c r="F189" s="8"/>
    </row>
    <row r="190" spans="1:6" x14ac:dyDescent="0.25">
      <c r="A190" s="8" t="s">
        <v>787</v>
      </c>
      <c r="B190" s="8" t="s">
        <v>1673</v>
      </c>
      <c r="C190" s="8"/>
      <c r="D190" s="8" t="s">
        <v>47</v>
      </c>
      <c r="E190" s="8" t="s">
        <v>1826</v>
      </c>
      <c r="F190" s="8"/>
    </row>
    <row r="191" spans="1:6" x14ac:dyDescent="0.25">
      <c r="A191" s="8" t="s">
        <v>791</v>
      </c>
      <c r="B191" s="8" t="s">
        <v>1667</v>
      </c>
      <c r="C191" s="8"/>
      <c r="D191" s="8" t="s">
        <v>76</v>
      </c>
      <c r="E191" s="8" t="s">
        <v>1826</v>
      </c>
      <c r="F191" s="8"/>
    </row>
    <row r="192" spans="1:6" x14ac:dyDescent="0.25">
      <c r="A192" s="8" t="s">
        <v>792</v>
      </c>
      <c r="B192" s="8" t="s">
        <v>1676</v>
      </c>
      <c r="C192" s="8" t="s">
        <v>662</v>
      </c>
      <c r="D192" s="8" t="s">
        <v>1836</v>
      </c>
      <c r="E192" s="8" t="s">
        <v>1827</v>
      </c>
      <c r="F192" s="8"/>
    </row>
    <row r="193" spans="1:6" x14ac:dyDescent="0.25">
      <c r="A193" s="8" t="s">
        <v>792</v>
      </c>
      <c r="B193" s="8" t="s">
        <v>1679</v>
      </c>
      <c r="C193" s="8"/>
      <c r="D193" s="8" t="s">
        <v>119</v>
      </c>
      <c r="E193" s="8" t="s">
        <v>1826</v>
      </c>
      <c r="F193" s="8"/>
    </row>
    <row r="194" spans="1:6" x14ac:dyDescent="0.25">
      <c r="A194" s="8" t="s">
        <v>796</v>
      </c>
      <c r="B194" s="8" t="s">
        <v>1667</v>
      </c>
      <c r="C194" s="8"/>
      <c r="D194" s="8" t="s">
        <v>44</v>
      </c>
      <c r="E194" s="8" t="s">
        <v>1826</v>
      </c>
      <c r="F194" s="8"/>
    </row>
    <row r="195" spans="1:6" x14ac:dyDescent="0.25">
      <c r="A195" s="8" t="s">
        <v>808</v>
      </c>
      <c r="B195" s="8" t="s">
        <v>1676</v>
      </c>
      <c r="C195" s="8" t="s">
        <v>746</v>
      </c>
      <c r="D195" s="8" t="s">
        <v>332</v>
      </c>
      <c r="E195" s="8" t="s">
        <v>1828</v>
      </c>
      <c r="F195" s="8"/>
    </row>
    <row r="196" spans="1:6" x14ac:dyDescent="0.25">
      <c r="A196" s="8" t="s">
        <v>817</v>
      </c>
      <c r="B196" s="8" t="s">
        <v>1667</v>
      </c>
      <c r="C196" s="8"/>
      <c r="D196" s="8" t="s">
        <v>76</v>
      </c>
      <c r="E196" s="8" t="s">
        <v>1826</v>
      </c>
      <c r="F196" s="8"/>
    </row>
    <row r="197" spans="1:6" x14ac:dyDescent="0.25">
      <c r="A197" s="8" t="s">
        <v>817</v>
      </c>
      <c r="B197" s="8" t="s">
        <v>1676</v>
      </c>
      <c r="C197" s="8"/>
      <c r="D197" s="8" t="s">
        <v>149</v>
      </c>
      <c r="E197" s="8" t="s">
        <v>1826</v>
      </c>
      <c r="F197" s="8"/>
    </row>
    <row r="198" spans="1:6" x14ac:dyDescent="0.25">
      <c r="A198" s="8" t="s">
        <v>818</v>
      </c>
      <c r="B198" s="8" t="s">
        <v>1667</v>
      </c>
      <c r="C198" s="8"/>
      <c r="D198" s="8" t="s">
        <v>76</v>
      </c>
      <c r="E198" s="8" t="s">
        <v>1826</v>
      </c>
      <c r="F198" s="8"/>
    </row>
    <row r="199" spans="1:6" x14ac:dyDescent="0.25">
      <c r="A199" s="8" t="s">
        <v>1168</v>
      </c>
      <c r="B199" s="8" t="s">
        <v>1673</v>
      </c>
      <c r="C199" s="8"/>
      <c r="D199" s="8" t="s">
        <v>57</v>
      </c>
      <c r="E199" s="8" t="s">
        <v>1826</v>
      </c>
      <c r="F199" s="8"/>
    </row>
    <row r="200" spans="1:6" x14ac:dyDescent="0.25">
      <c r="A200" s="8" t="s">
        <v>822</v>
      </c>
      <c r="B200" s="8" t="s">
        <v>1673</v>
      </c>
      <c r="C200" s="8"/>
      <c r="D200" s="8" t="s">
        <v>47</v>
      </c>
      <c r="E200" s="8" t="s">
        <v>1826</v>
      </c>
      <c r="F200" s="8"/>
    </row>
    <row r="201" spans="1:6" x14ac:dyDescent="0.25">
      <c r="A201" s="8" t="s">
        <v>823</v>
      </c>
      <c r="B201" s="8" t="s">
        <v>1679</v>
      </c>
      <c r="C201" s="8" t="s">
        <v>72</v>
      </c>
      <c r="D201" s="8" t="s">
        <v>133</v>
      </c>
      <c r="E201" s="8" t="s">
        <v>1827</v>
      </c>
      <c r="F201" s="8"/>
    </row>
    <row r="202" spans="1:6" x14ac:dyDescent="0.25">
      <c r="A202" s="8" t="s">
        <v>834</v>
      </c>
      <c r="B202" s="8" t="s">
        <v>1667</v>
      </c>
      <c r="C202" s="8"/>
      <c r="D202" s="8" t="s">
        <v>44</v>
      </c>
      <c r="E202" s="8" t="s">
        <v>1826</v>
      </c>
      <c r="F202" s="8"/>
    </row>
    <row r="203" spans="1:6" x14ac:dyDescent="0.25">
      <c r="A203" s="8" t="s">
        <v>76</v>
      </c>
      <c r="B203" s="8" t="s">
        <v>1667</v>
      </c>
      <c r="C203" s="8"/>
      <c r="D203" s="8" t="s">
        <v>76</v>
      </c>
      <c r="E203" s="8" t="s">
        <v>1826</v>
      </c>
      <c r="F203" s="8"/>
    </row>
    <row r="204" spans="1:6" x14ac:dyDescent="0.25">
      <c r="A204" s="8" t="s">
        <v>840</v>
      </c>
      <c r="B204" s="8" t="s">
        <v>1673</v>
      </c>
      <c r="C204" s="8"/>
      <c r="D204" s="8" t="s">
        <v>47</v>
      </c>
      <c r="E204" s="8" t="s">
        <v>1826</v>
      </c>
      <c r="F204" s="8"/>
    </row>
    <row r="205" spans="1:6" x14ac:dyDescent="0.25">
      <c r="A205" s="8" t="s">
        <v>841</v>
      </c>
      <c r="B205" s="8" t="s">
        <v>1667</v>
      </c>
      <c r="C205" s="8"/>
      <c r="D205" s="8" t="s">
        <v>44</v>
      </c>
      <c r="E205" s="8" t="s">
        <v>1826</v>
      </c>
      <c r="F205" s="8"/>
    </row>
    <row r="206" spans="1:6" x14ac:dyDescent="0.25">
      <c r="A206" s="8" t="s">
        <v>1304</v>
      </c>
      <c r="B206" s="8" t="s">
        <v>1667</v>
      </c>
      <c r="C206" s="8"/>
      <c r="D206" s="8" t="s">
        <v>44</v>
      </c>
      <c r="E206" s="8" t="s">
        <v>1826</v>
      </c>
      <c r="F206" s="8" t="s">
        <v>1834</v>
      </c>
    </row>
    <row r="207" spans="1:6" x14ac:dyDescent="0.25">
      <c r="A207" s="8" t="s">
        <v>1304</v>
      </c>
      <c r="B207" s="8" t="s">
        <v>1676</v>
      </c>
      <c r="C207" s="8" t="s">
        <v>271</v>
      </c>
      <c r="D207" s="8" t="s">
        <v>700</v>
      </c>
      <c r="E207" s="8" t="s">
        <v>1827</v>
      </c>
      <c r="F207" s="8"/>
    </row>
    <row r="208" spans="1:6" x14ac:dyDescent="0.25">
      <c r="A208" s="8" t="s">
        <v>843</v>
      </c>
      <c r="B208" s="8" t="s">
        <v>1676</v>
      </c>
      <c r="C208" s="8" t="s">
        <v>1837</v>
      </c>
      <c r="D208" s="8" t="s">
        <v>313</v>
      </c>
      <c r="E208" s="8" t="s">
        <v>1828</v>
      </c>
      <c r="F208" s="8"/>
    </row>
    <row r="209" spans="1:6" x14ac:dyDescent="0.25">
      <c r="A209" s="8" t="s">
        <v>843</v>
      </c>
      <c r="B209" s="8" t="s">
        <v>1679</v>
      </c>
      <c r="C209" s="8" t="s">
        <v>178</v>
      </c>
      <c r="D209" s="8" t="s">
        <v>72</v>
      </c>
      <c r="E209" s="8" t="s">
        <v>1827</v>
      </c>
      <c r="F209" s="8"/>
    </row>
    <row r="210" spans="1:6" x14ac:dyDescent="0.25">
      <c r="A210" s="8" t="s">
        <v>849</v>
      </c>
      <c r="B210" s="8" t="s">
        <v>1667</v>
      </c>
      <c r="C210" s="8"/>
      <c r="D210" s="8" t="s">
        <v>44</v>
      </c>
      <c r="E210" s="8" t="s">
        <v>1826</v>
      </c>
      <c r="F210" s="8"/>
    </row>
    <row r="211" spans="1:6" x14ac:dyDescent="0.25">
      <c r="A211" s="8" t="s">
        <v>849</v>
      </c>
      <c r="B211" s="8" t="s">
        <v>1673</v>
      </c>
      <c r="C211" s="8"/>
      <c r="D211" s="8" t="s">
        <v>57</v>
      </c>
      <c r="E211" s="8" t="s">
        <v>1826</v>
      </c>
      <c r="F211" s="8"/>
    </row>
    <row r="212" spans="1:6" x14ac:dyDescent="0.25">
      <c r="A212" s="8" t="s">
        <v>856</v>
      </c>
      <c r="B212" s="8" t="s">
        <v>1667</v>
      </c>
      <c r="C212" s="8"/>
      <c r="D212" s="8" t="s">
        <v>76</v>
      </c>
      <c r="E212" s="8" t="s">
        <v>1826</v>
      </c>
      <c r="F212" s="8"/>
    </row>
    <row r="213" spans="1:6" x14ac:dyDescent="0.25">
      <c r="A213" s="8" t="s">
        <v>860</v>
      </c>
      <c r="B213" s="8" t="s">
        <v>1667</v>
      </c>
      <c r="C213" s="8"/>
      <c r="D213" s="8" t="s">
        <v>76</v>
      </c>
      <c r="E213" s="8" t="s">
        <v>1826</v>
      </c>
      <c r="F213" s="8"/>
    </row>
    <row r="214" spans="1:6" x14ac:dyDescent="0.25">
      <c r="A214" s="8" t="s">
        <v>860</v>
      </c>
      <c r="B214" s="8" t="s">
        <v>21</v>
      </c>
      <c r="C214" s="8"/>
      <c r="D214" s="8" t="s">
        <v>331</v>
      </c>
      <c r="E214" s="8" t="s">
        <v>1826</v>
      </c>
      <c r="F214" s="8"/>
    </row>
    <row r="215" spans="1:6" x14ac:dyDescent="0.25">
      <c r="A215" s="8" t="s">
        <v>868</v>
      </c>
      <c r="B215" s="8" t="s">
        <v>1667</v>
      </c>
      <c r="C215" s="8"/>
      <c r="D215" s="8" t="s">
        <v>44</v>
      </c>
      <c r="E215" s="8" t="s">
        <v>1826</v>
      </c>
      <c r="F215" s="8"/>
    </row>
    <row r="216" spans="1:6" x14ac:dyDescent="0.25">
      <c r="A216" s="8" t="s">
        <v>868</v>
      </c>
      <c r="B216" s="8" t="s">
        <v>1676</v>
      </c>
      <c r="C216" s="8" t="s">
        <v>873</v>
      </c>
      <c r="D216" s="8" t="s">
        <v>271</v>
      </c>
      <c r="E216" s="8" t="s">
        <v>1828</v>
      </c>
      <c r="F216" s="8"/>
    </row>
    <row r="217" spans="1:6" x14ac:dyDescent="0.25">
      <c r="A217" s="8" t="s">
        <v>878</v>
      </c>
      <c r="B217" s="8" t="s">
        <v>1667</v>
      </c>
      <c r="C217" s="8"/>
      <c r="D217" s="8" t="s">
        <v>44</v>
      </c>
      <c r="E217" s="8" t="s">
        <v>1826</v>
      </c>
      <c r="F217" s="8"/>
    </row>
    <row r="218" spans="1:6" x14ac:dyDescent="0.25">
      <c r="A218" s="8" t="s">
        <v>878</v>
      </c>
      <c r="B218" s="8" t="s">
        <v>1673</v>
      </c>
      <c r="C218" s="8"/>
      <c r="D218" s="8" t="s">
        <v>57</v>
      </c>
      <c r="E218" s="8" t="s">
        <v>1826</v>
      </c>
      <c r="F218" s="8"/>
    </row>
    <row r="219" spans="1:6" x14ac:dyDescent="0.25">
      <c r="A219" s="8" t="s">
        <v>880</v>
      </c>
      <c r="B219" s="8" t="s">
        <v>1667</v>
      </c>
      <c r="C219" s="8"/>
      <c r="D219" s="8" t="s">
        <v>76</v>
      </c>
      <c r="E219" s="8" t="s">
        <v>1826</v>
      </c>
      <c r="F219" s="8"/>
    </row>
    <row r="220" spans="1:6" x14ac:dyDescent="0.25">
      <c r="A220" s="8" t="s">
        <v>885</v>
      </c>
      <c r="B220" s="8" t="s">
        <v>1667</v>
      </c>
      <c r="C220" s="8"/>
      <c r="D220" s="8" t="s">
        <v>76</v>
      </c>
      <c r="E220" s="8" t="s">
        <v>1826</v>
      </c>
      <c r="F220" s="8"/>
    </row>
    <row r="221" spans="1:6" x14ac:dyDescent="0.25">
      <c r="A221" s="8" t="s">
        <v>885</v>
      </c>
      <c r="B221" s="8" t="s">
        <v>1673</v>
      </c>
      <c r="C221" s="8"/>
      <c r="D221" s="8" t="s">
        <v>57</v>
      </c>
      <c r="E221" s="8" t="s">
        <v>1826</v>
      </c>
      <c r="F221" s="8"/>
    </row>
    <row r="222" spans="1:6" x14ac:dyDescent="0.25">
      <c r="A222" s="8" t="s">
        <v>1423</v>
      </c>
      <c r="B222" s="8" t="s">
        <v>1673</v>
      </c>
      <c r="C222" s="8"/>
      <c r="D222" s="8" t="s">
        <v>57</v>
      </c>
      <c r="E222" s="8" t="s">
        <v>1826</v>
      </c>
      <c r="F222" s="8"/>
    </row>
    <row r="223" spans="1:6" x14ac:dyDescent="0.25">
      <c r="A223" s="8" t="s">
        <v>893</v>
      </c>
      <c r="B223" s="8" t="s">
        <v>1667</v>
      </c>
      <c r="C223" s="8"/>
      <c r="D223" s="8" t="s">
        <v>44</v>
      </c>
      <c r="E223" s="8" t="s">
        <v>1826</v>
      </c>
      <c r="F223" s="8"/>
    </row>
    <row r="224" spans="1:6" x14ac:dyDescent="0.25">
      <c r="A224" s="8" t="s">
        <v>893</v>
      </c>
      <c r="B224" s="8" t="s">
        <v>1679</v>
      </c>
      <c r="C224" s="8"/>
      <c r="D224" s="8" t="s">
        <v>119</v>
      </c>
      <c r="E224" s="8" t="s">
        <v>1826</v>
      </c>
      <c r="F224" s="8"/>
    </row>
    <row r="225" spans="1:6" x14ac:dyDescent="0.25">
      <c r="A225" s="8" t="s">
        <v>887</v>
      </c>
      <c r="B225" s="8" t="s">
        <v>1673</v>
      </c>
      <c r="C225" s="8"/>
      <c r="D225" s="8" t="s">
        <v>47</v>
      </c>
      <c r="E225" s="8" t="s">
        <v>1826</v>
      </c>
      <c r="F225" s="8" t="s">
        <v>1829</v>
      </c>
    </row>
    <row r="226" spans="1:6" x14ac:dyDescent="0.25">
      <c r="A226" s="8" t="s">
        <v>887</v>
      </c>
      <c r="B226" s="8" t="s">
        <v>1679</v>
      </c>
      <c r="C226" s="8" t="s">
        <v>49</v>
      </c>
      <c r="D226" s="8" t="s">
        <v>119</v>
      </c>
      <c r="E226" s="8" t="s">
        <v>1827</v>
      </c>
      <c r="F226" s="8"/>
    </row>
    <row r="227" spans="1:6" x14ac:dyDescent="0.25">
      <c r="A227" s="8" t="s">
        <v>897</v>
      </c>
      <c r="B227" s="8" t="s">
        <v>1679</v>
      </c>
      <c r="C227" s="8"/>
      <c r="D227" s="8" t="s">
        <v>123</v>
      </c>
      <c r="E227" s="8" t="s">
        <v>1826</v>
      </c>
      <c r="F227" s="8"/>
    </row>
    <row r="228" spans="1:6" x14ac:dyDescent="0.25">
      <c r="A228" s="8" t="s">
        <v>1005</v>
      </c>
      <c r="B228" s="8" t="s">
        <v>1673</v>
      </c>
      <c r="C228" s="8"/>
      <c r="D228" s="8" t="s">
        <v>47</v>
      </c>
      <c r="E228" s="8" t="s">
        <v>1826</v>
      </c>
      <c r="F228" s="8"/>
    </row>
    <row r="229" spans="1:6" x14ac:dyDescent="0.25">
      <c r="A229" s="8" t="s">
        <v>909</v>
      </c>
      <c r="B229" s="8" t="s">
        <v>1667</v>
      </c>
      <c r="C229" s="8"/>
      <c r="D229" s="8" t="s">
        <v>76</v>
      </c>
      <c r="E229" s="8" t="s">
        <v>1826</v>
      </c>
      <c r="F229" s="8"/>
    </row>
    <row r="230" spans="1:6" x14ac:dyDescent="0.25">
      <c r="A230" s="8" t="s">
        <v>917</v>
      </c>
      <c r="B230" s="8" t="s">
        <v>1667</v>
      </c>
      <c r="C230" s="8"/>
      <c r="D230" s="8" t="s">
        <v>44</v>
      </c>
      <c r="E230" s="8" t="s">
        <v>1826</v>
      </c>
      <c r="F230" s="8"/>
    </row>
    <row r="231" spans="1:6" x14ac:dyDescent="0.25">
      <c r="A231" s="8" t="s">
        <v>917</v>
      </c>
      <c r="B231" s="8" t="s">
        <v>1679</v>
      </c>
      <c r="C231" s="8"/>
      <c r="D231" s="8" t="s">
        <v>91</v>
      </c>
      <c r="E231" s="8" t="s">
        <v>1826</v>
      </c>
      <c r="F231" s="8"/>
    </row>
    <row r="232" spans="1:6" x14ac:dyDescent="0.25">
      <c r="A232" s="8" t="s">
        <v>921</v>
      </c>
      <c r="B232" s="8" t="s">
        <v>1673</v>
      </c>
      <c r="C232" s="8"/>
      <c r="D232" s="8" t="s">
        <v>47</v>
      </c>
      <c r="E232" s="8" t="s">
        <v>1826</v>
      </c>
      <c r="F232" s="8"/>
    </row>
    <row r="233" spans="1:6" x14ac:dyDescent="0.25">
      <c r="A233" s="8" t="s">
        <v>921</v>
      </c>
      <c r="B233" s="8" t="s">
        <v>1679</v>
      </c>
      <c r="C233" s="8"/>
      <c r="D233" s="8" t="s">
        <v>91</v>
      </c>
      <c r="E233" s="8" t="s">
        <v>1826</v>
      </c>
      <c r="F233" s="8"/>
    </row>
    <row r="234" spans="1:6" x14ac:dyDescent="0.25">
      <c r="A234" s="8" t="s">
        <v>926</v>
      </c>
      <c r="B234" s="8" t="s">
        <v>1667</v>
      </c>
      <c r="C234" s="8"/>
      <c r="D234" s="8" t="s">
        <v>76</v>
      </c>
      <c r="E234" s="8" t="s">
        <v>1826</v>
      </c>
      <c r="F234" s="8" t="s">
        <v>1834</v>
      </c>
    </row>
    <row r="235" spans="1:6" x14ac:dyDescent="0.25">
      <c r="A235" s="8" t="s">
        <v>926</v>
      </c>
      <c r="B235" s="8" t="s">
        <v>1673</v>
      </c>
      <c r="C235" s="8"/>
      <c r="D235" s="8" t="s">
        <v>57</v>
      </c>
      <c r="E235" s="8" t="s">
        <v>1826</v>
      </c>
      <c r="F235" s="8"/>
    </row>
    <row r="236" spans="1:6" x14ac:dyDescent="0.25">
      <c r="A236" s="8" t="s">
        <v>926</v>
      </c>
      <c r="B236" s="8" t="s">
        <v>1676</v>
      </c>
      <c r="C236" s="8" t="s">
        <v>58</v>
      </c>
      <c r="D236" s="8" t="s">
        <v>271</v>
      </c>
      <c r="E236" s="8" t="s">
        <v>1827</v>
      </c>
      <c r="F236" s="8"/>
    </row>
    <row r="237" spans="1:6" x14ac:dyDescent="0.25">
      <c r="A237" s="8" t="s">
        <v>942</v>
      </c>
      <c r="B237" s="8" t="s">
        <v>1679</v>
      </c>
      <c r="C237" s="8" t="s">
        <v>72</v>
      </c>
      <c r="D237" s="8" t="s">
        <v>78</v>
      </c>
      <c r="E237" s="8" t="s">
        <v>1827</v>
      </c>
      <c r="F237" s="8"/>
    </row>
    <row r="238" spans="1:6" x14ac:dyDescent="0.25">
      <c r="A238" s="8" t="s">
        <v>948</v>
      </c>
      <c r="B238" s="8" t="s">
        <v>1667</v>
      </c>
      <c r="C238" s="8"/>
      <c r="D238" s="8" t="s">
        <v>76</v>
      </c>
      <c r="E238" s="8" t="s">
        <v>1826</v>
      </c>
      <c r="F238" s="8"/>
    </row>
    <row r="239" spans="1:6" x14ac:dyDescent="0.25">
      <c r="A239" s="8" t="s">
        <v>948</v>
      </c>
      <c r="B239" s="8" t="s">
        <v>1679</v>
      </c>
      <c r="C239" s="8"/>
      <c r="D239" s="8" t="s">
        <v>192</v>
      </c>
      <c r="E239" s="8" t="s">
        <v>1826</v>
      </c>
      <c r="F239" s="8"/>
    </row>
    <row r="240" spans="1:6" x14ac:dyDescent="0.25">
      <c r="A240" s="8" t="s">
        <v>957</v>
      </c>
      <c r="B240" s="8" t="s">
        <v>1673</v>
      </c>
      <c r="C240" s="8"/>
      <c r="D240" s="8" t="s">
        <v>47</v>
      </c>
      <c r="E240" s="8" t="s">
        <v>1826</v>
      </c>
      <c r="F240" s="8"/>
    </row>
    <row r="241" spans="1:6" x14ac:dyDescent="0.25">
      <c r="A241" s="8" t="s">
        <v>960</v>
      </c>
      <c r="B241" s="8" t="s">
        <v>1667</v>
      </c>
      <c r="C241" s="8"/>
      <c r="D241" s="8" t="s">
        <v>76</v>
      </c>
      <c r="E241" s="8" t="s">
        <v>1826</v>
      </c>
      <c r="F241" s="8"/>
    </row>
    <row r="242" spans="1:6" x14ac:dyDescent="0.25">
      <c r="A242" s="8" t="s">
        <v>961</v>
      </c>
      <c r="B242" s="8" t="s">
        <v>1667</v>
      </c>
      <c r="C242" s="8"/>
      <c r="D242" s="8" t="s">
        <v>76</v>
      </c>
      <c r="E242" s="8" t="s">
        <v>1826</v>
      </c>
      <c r="F242" s="8"/>
    </row>
    <row r="243" spans="1:6" x14ac:dyDescent="0.25">
      <c r="A243" s="8" t="s">
        <v>969</v>
      </c>
      <c r="B243" s="8" t="s">
        <v>1667</v>
      </c>
      <c r="C243" s="8"/>
      <c r="D243" s="8" t="s">
        <v>44</v>
      </c>
      <c r="E243" s="8" t="s">
        <v>1826</v>
      </c>
      <c r="F243" s="8"/>
    </row>
    <row r="244" spans="1:6" x14ac:dyDescent="0.25">
      <c r="A244" s="8" t="s">
        <v>969</v>
      </c>
      <c r="B244" s="8" t="s">
        <v>1676</v>
      </c>
      <c r="C244" s="8" t="s">
        <v>96</v>
      </c>
      <c r="D244" s="8" t="s">
        <v>1838</v>
      </c>
      <c r="E244" s="8" t="s">
        <v>1827</v>
      </c>
      <c r="F244" s="8"/>
    </row>
    <row r="245" spans="1:6" x14ac:dyDescent="0.25">
      <c r="A245" s="8" t="s">
        <v>969</v>
      </c>
      <c r="B245" s="8" t="s">
        <v>1679</v>
      </c>
      <c r="C245" s="8"/>
      <c r="D245" s="8" t="s">
        <v>91</v>
      </c>
      <c r="E245" s="8" t="s">
        <v>1826</v>
      </c>
      <c r="F245" s="8"/>
    </row>
    <row r="246" spans="1:6" x14ac:dyDescent="0.25">
      <c r="A246" s="8" t="s">
        <v>973</v>
      </c>
      <c r="B246" s="8" t="s">
        <v>1679</v>
      </c>
      <c r="C246" s="8"/>
      <c r="D246" s="8" t="s">
        <v>192</v>
      </c>
      <c r="E246" s="8" t="s">
        <v>1826</v>
      </c>
      <c r="F246" s="8"/>
    </row>
    <row r="247" spans="1:6" x14ac:dyDescent="0.25">
      <c r="A247" s="8" t="s">
        <v>975</v>
      </c>
      <c r="B247" s="8" t="s">
        <v>1667</v>
      </c>
      <c r="C247" s="8"/>
      <c r="D247" s="8" t="s">
        <v>44</v>
      </c>
      <c r="E247" s="8" t="s">
        <v>1826</v>
      </c>
      <c r="F247" s="8"/>
    </row>
    <row r="248" spans="1:6" x14ac:dyDescent="0.25">
      <c r="A248" s="8" t="s">
        <v>975</v>
      </c>
      <c r="B248" s="8" t="s">
        <v>1673</v>
      </c>
      <c r="C248" s="8"/>
      <c r="D248" s="8" t="s">
        <v>47</v>
      </c>
      <c r="E248" s="8" t="s">
        <v>1826</v>
      </c>
      <c r="F248" s="8"/>
    </row>
    <row r="249" spans="1:6" x14ac:dyDescent="0.25">
      <c r="A249" s="8" t="s">
        <v>977</v>
      </c>
      <c r="B249" s="8" t="s">
        <v>1667</v>
      </c>
      <c r="C249" s="8"/>
      <c r="D249" s="8" t="s">
        <v>44</v>
      </c>
      <c r="E249" s="8" t="s">
        <v>1826</v>
      </c>
      <c r="F249" s="8"/>
    </row>
    <row r="250" spans="1:6" x14ac:dyDescent="0.25">
      <c r="A250" s="8" t="s">
        <v>977</v>
      </c>
      <c r="B250" s="8" t="s">
        <v>1673</v>
      </c>
      <c r="C250" s="8"/>
      <c r="D250" s="8" t="s">
        <v>57</v>
      </c>
      <c r="E250" s="8" t="s">
        <v>1826</v>
      </c>
      <c r="F250" s="8"/>
    </row>
    <row r="251" spans="1:6" x14ac:dyDescent="0.25">
      <c r="A251" s="8" t="s">
        <v>981</v>
      </c>
      <c r="B251" s="8" t="s">
        <v>1679</v>
      </c>
      <c r="C251" s="8" t="s">
        <v>119</v>
      </c>
      <c r="D251" s="8" t="s">
        <v>71</v>
      </c>
      <c r="E251" s="8" t="s">
        <v>1827</v>
      </c>
      <c r="F251" s="8"/>
    </row>
    <row r="252" spans="1:6" x14ac:dyDescent="0.25">
      <c r="A252" s="8" t="s">
        <v>986</v>
      </c>
      <c r="B252" s="8" t="s">
        <v>1667</v>
      </c>
      <c r="C252" s="8"/>
      <c r="D252" s="8" t="s">
        <v>76</v>
      </c>
      <c r="E252" s="8" t="s">
        <v>1826</v>
      </c>
      <c r="F252" s="8"/>
    </row>
    <row r="253" spans="1:6" x14ac:dyDescent="0.25">
      <c r="A253" s="8" t="s">
        <v>986</v>
      </c>
      <c r="B253" s="8" t="s">
        <v>1676</v>
      </c>
      <c r="C253" s="8" t="s">
        <v>990</v>
      </c>
      <c r="D253" s="8" t="s">
        <v>322</v>
      </c>
      <c r="E253" s="8" t="s">
        <v>1828</v>
      </c>
      <c r="F253" s="8"/>
    </row>
    <row r="254" spans="1:6" x14ac:dyDescent="0.25">
      <c r="A254" s="8" t="s">
        <v>986</v>
      </c>
      <c r="B254" s="8" t="s">
        <v>1679</v>
      </c>
      <c r="C254" s="8"/>
      <c r="D254" s="8" t="s">
        <v>71</v>
      </c>
      <c r="E254" s="8" t="s">
        <v>1826</v>
      </c>
      <c r="F254" s="8"/>
    </row>
    <row r="255" spans="1:6" x14ac:dyDescent="0.25">
      <c r="A255" s="8" t="s">
        <v>994</v>
      </c>
      <c r="B255" s="8" t="s">
        <v>1667</v>
      </c>
      <c r="C255" s="8"/>
      <c r="D255" s="8" t="s">
        <v>44</v>
      </c>
      <c r="E255" s="8" t="s">
        <v>1826</v>
      </c>
      <c r="F255" s="8"/>
    </row>
    <row r="256" spans="1:6" x14ac:dyDescent="0.25">
      <c r="A256" s="8" t="s">
        <v>994</v>
      </c>
      <c r="B256" s="8" t="s">
        <v>1676</v>
      </c>
      <c r="C256" s="8" t="s">
        <v>58</v>
      </c>
      <c r="D256" s="8" t="s">
        <v>1839</v>
      </c>
      <c r="E256" s="8" t="s">
        <v>1827</v>
      </c>
      <c r="F256" s="8"/>
    </row>
    <row r="257" spans="1:6" x14ac:dyDescent="0.25">
      <c r="A257" s="8" t="s">
        <v>994</v>
      </c>
      <c r="B257" s="8" t="s">
        <v>1679</v>
      </c>
      <c r="C257" s="8"/>
      <c r="D257" s="8" t="s">
        <v>123</v>
      </c>
      <c r="E257" s="8" t="s">
        <v>1826</v>
      </c>
      <c r="F257" s="8"/>
    </row>
    <row r="258" spans="1:6" x14ac:dyDescent="0.25">
      <c r="A258" s="8" t="s">
        <v>996</v>
      </c>
      <c r="B258" s="8" t="s">
        <v>1676</v>
      </c>
      <c r="C258" s="8" t="s">
        <v>420</v>
      </c>
      <c r="D258" s="8" t="s">
        <v>77</v>
      </c>
      <c r="E258" s="8" t="s">
        <v>1828</v>
      </c>
      <c r="F258" s="8"/>
    </row>
    <row r="259" spans="1:6" x14ac:dyDescent="0.25">
      <c r="A259" s="8" t="s">
        <v>996</v>
      </c>
      <c r="B259" s="8" t="s">
        <v>1679</v>
      </c>
      <c r="C259" s="8" t="s">
        <v>59</v>
      </c>
      <c r="D259" s="8" t="s">
        <v>119</v>
      </c>
      <c r="E259" s="8" t="s">
        <v>1827</v>
      </c>
      <c r="F259" s="8"/>
    </row>
    <row r="260" spans="1:6" x14ac:dyDescent="0.25">
      <c r="A260" s="8" t="s">
        <v>999</v>
      </c>
      <c r="B260" s="8" t="s">
        <v>1667</v>
      </c>
      <c r="C260" s="8"/>
      <c r="D260" s="8" t="s">
        <v>76</v>
      </c>
      <c r="E260" s="8" t="s">
        <v>1826</v>
      </c>
      <c r="F260" s="8"/>
    </row>
    <row r="261" spans="1:6" x14ac:dyDescent="0.25">
      <c r="A261" s="8" t="s">
        <v>999</v>
      </c>
      <c r="B261" s="8" t="s">
        <v>1676</v>
      </c>
      <c r="C261" s="8" t="s">
        <v>77</v>
      </c>
      <c r="D261" s="8" t="s">
        <v>83</v>
      </c>
      <c r="E261" s="8" t="s">
        <v>1827</v>
      </c>
      <c r="F261" s="8"/>
    </row>
    <row r="262" spans="1:6" x14ac:dyDescent="0.25">
      <c r="A262" s="8" t="s">
        <v>1001</v>
      </c>
      <c r="B262" s="8" t="s">
        <v>1667</v>
      </c>
      <c r="C262" s="8"/>
      <c r="D262" s="8" t="s">
        <v>76</v>
      </c>
      <c r="E262" s="8" t="s">
        <v>1826</v>
      </c>
      <c r="F262" s="8"/>
    </row>
    <row r="263" spans="1:6" x14ac:dyDescent="0.25">
      <c r="A263" s="8" t="s">
        <v>1001</v>
      </c>
      <c r="B263" s="8" t="s">
        <v>1679</v>
      </c>
      <c r="C263" s="8"/>
      <c r="D263" s="8" t="s">
        <v>49</v>
      </c>
      <c r="E263" s="8" t="s">
        <v>1826</v>
      </c>
      <c r="F263" s="8"/>
    </row>
    <row r="264" spans="1:6" x14ac:dyDescent="0.25">
      <c r="A264" s="8" t="s">
        <v>1008</v>
      </c>
      <c r="B264" s="8" t="s">
        <v>1667</v>
      </c>
      <c r="C264" s="8"/>
      <c r="D264" s="8" t="s">
        <v>76</v>
      </c>
      <c r="E264" s="8" t="s">
        <v>1826</v>
      </c>
      <c r="F264" s="8"/>
    </row>
    <row r="265" spans="1:6" x14ac:dyDescent="0.25">
      <c r="A265" s="8" t="s">
        <v>1008</v>
      </c>
      <c r="B265" s="8" t="s">
        <v>1676</v>
      </c>
      <c r="C265" s="8" t="s">
        <v>58</v>
      </c>
      <c r="D265" s="8" t="s">
        <v>77</v>
      </c>
      <c r="E265" s="8" t="s">
        <v>1827</v>
      </c>
      <c r="F265" s="8"/>
    </row>
    <row r="266" spans="1:6" x14ac:dyDescent="0.25">
      <c r="A266" s="8" t="s">
        <v>1008</v>
      </c>
      <c r="B266" s="8" t="s">
        <v>1679</v>
      </c>
      <c r="C266" s="8"/>
      <c r="D266" s="8" t="s">
        <v>91</v>
      </c>
      <c r="E266" s="8" t="s">
        <v>1826</v>
      </c>
      <c r="F266" s="8"/>
    </row>
    <row r="267" spans="1:6" x14ac:dyDescent="0.25">
      <c r="A267" s="8" t="s">
        <v>1011</v>
      </c>
      <c r="B267" s="8" t="s">
        <v>1667</v>
      </c>
      <c r="C267" s="8"/>
      <c r="D267" s="8" t="s">
        <v>44</v>
      </c>
      <c r="E267" s="8" t="s">
        <v>1826</v>
      </c>
      <c r="F267" s="8"/>
    </row>
    <row r="268" spans="1:6" x14ac:dyDescent="0.25">
      <c r="A268" s="8" t="s">
        <v>1011</v>
      </c>
      <c r="B268" s="8" t="s">
        <v>1673</v>
      </c>
      <c r="C268" s="8"/>
      <c r="D268" s="8" t="s">
        <v>47</v>
      </c>
      <c r="E268" s="8" t="s">
        <v>1826</v>
      </c>
      <c r="F268" s="8"/>
    </row>
    <row r="269" spans="1:6" x14ac:dyDescent="0.25">
      <c r="A269" s="8" t="s">
        <v>1011</v>
      </c>
      <c r="B269" s="8" t="s">
        <v>1679</v>
      </c>
      <c r="C269" s="8"/>
      <c r="D269" s="8" t="s">
        <v>119</v>
      </c>
      <c r="E269" s="8" t="s">
        <v>1826</v>
      </c>
      <c r="F269" s="8"/>
    </row>
    <row r="270" spans="1:6" x14ac:dyDescent="0.25">
      <c r="A270" s="8" t="s">
        <v>1017</v>
      </c>
      <c r="B270" s="8" t="s">
        <v>1667</v>
      </c>
      <c r="C270" s="8"/>
      <c r="D270" s="8" t="s">
        <v>76</v>
      </c>
      <c r="E270" s="8" t="s">
        <v>1826</v>
      </c>
      <c r="F270" s="8"/>
    </row>
    <row r="271" spans="1:6" x14ac:dyDescent="0.25">
      <c r="A271" s="8" t="s">
        <v>1017</v>
      </c>
      <c r="B271" s="8" t="s">
        <v>1673</v>
      </c>
      <c r="C271" s="8"/>
      <c r="D271" s="8" t="s">
        <v>57</v>
      </c>
      <c r="E271" s="8" t="s">
        <v>1826</v>
      </c>
      <c r="F271" s="8"/>
    </row>
    <row r="272" spans="1:6" x14ac:dyDescent="0.25">
      <c r="A272" s="8" t="s">
        <v>1017</v>
      </c>
      <c r="B272" s="8" t="s">
        <v>1676</v>
      </c>
      <c r="C272" s="8" t="s">
        <v>698</v>
      </c>
      <c r="D272" s="8" t="s">
        <v>58</v>
      </c>
      <c r="E272" s="8" t="s">
        <v>1827</v>
      </c>
      <c r="F272" s="8"/>
    </row>
    <row r="273" spans="1:6" x14ac:dyDescent="0.25">
      <c r="A273" s="8" t="s">
        <v>1017</v>
      </c>
      <c r="B273" s="8" t="s">
        <v>1679</v>
      </c>
      <c r="C273" s="8"/>
      <c r="D273" s="8" t="s">
        <v>119</v>
      </c>
      <c r="E273" s="8" t="s">
        <v>1826</v>
      </c>
      <c r="F273" s="8"/>
    </row>
    <row r="274" spans="1:6" x14ac:dyDescent="0.25">
      <c r="A274" s="8" t="s">
        <v>1025</v>
      </c>
      <c r="B274" s="8" t="s">
        <v>1667</v>
      </c>
      <c r="C274" s="8"/>
      <c r="D274" s="8" t="s">
        <v>44</v>
      </c>
      <c r="E274" s="8" t="s">
        <v>1826</v>
      </c>
      <c r="F274" s="8"/>
    </row>
    <row r="275" spans="1:6" x14ac:dyDescent="0.25">
      <c r="A275" s="8" t="s">
        <v>1025</v>
      </c>
      <c r="B275" s="8" t="s">
        <v>1679</v>
      </c>
      <c r="C275" s="8" t="s">
        <v>119</v>
      </c>
      <c r="D275" s="8" t="s">
        <v>91</v>
      </c>
      <c r="E275" s="8" t="s">
        <v>1827</v>
      </c>
      <c r="F275" s="8"/>
    </row>
    <row r="276" spans="1:6" x14ac:dyDescent="0.25">
      <c r="A276" s="8" t="s">
        <v>1037</v>
      </c>
      <c r="B276" s="8" t="s">
        <v>1667</v>
      </c>
      <c r="C276" s="8"/>
      <c r="D276" s="8" t="s">
        <v>44</v>
      </c>
      <c r="E276" s="8" t="s">
        <v>1826</v>
      </c>
      <c r="F276" s="8"/>
    </row>
    <row r="277" spans="1:6" x14ac:dyDescent="0.25">
      <c r="A277" s="8" t="s">
        <v>1037</v>
      </c>
      <c r="B277" s="8" t="s">
        <v>1673</v>
      </c>
      <c r="C277" s="8"/>
      <c r="D277" s="8" t="s">
        <v>57</v>
      </c>
      <c r="E277" s="8" t="s">
        <v>1826</v>
      </c>
      <c r="F277" s="8"/>
    </row>
    <row r="278" spans="1:6" x14ac:dyDescent="0.25">
      <c r="A278" s="8" t="s">
        <v>1041</v>
      </c>
      <c r="B278" s="8" t="s">
        <v>1667</v>
      </c>
      <c r="C278" s="8"/>
      <c r="D278" s="8" t="s">
        <v>44</v>
      </c>
      <c r="E278" s="8" t="s">
        <v>1826</v>
      </c>
      <c r="F278" s="8"/>
    </row>
    <row r="279" spans="1:6" x14ac:dyDescent="0.25">
      <c r="A279" s="8" t="s">
        <v>1041</v>
      </c>
      <c r="B279" s="8" t="s">
        <v>1673</v>
      </c>
      <c r="C279" s="8"/>
      <c r="D279" s="8" t="s">
        <v>47</v>
      </c>
      <c r="E279" s="8" t="s">
        <v>1826</v>
      </c>
      <c r="F279" s="8"/>
    </row>
    <row r="280" spans="1:6" x14ac:dyDescent="0.25">
      <c r="A280" s="8" t="s">
        <v>1041</v>
      </c>
      <c r="B280" s="8" t="s">
        <v>1679</v>
      </c>
      <c r="C280" s="8"/>
      <c r="D280" s="8" t="s">
        <v>59</v>
      </c>
      <c r="E280" s="8" t="s">
        <v>1826</v>
      </c>
      <c r="F280" s="8"/>
    </row>
    <row r="281" spans="1:6" x14ac:dyDescent="0.25">
      <c r="A281" s="8" t="s">
        <v>1043</v>
      </c>
      <c r="B281" s="8" t="s">
        <v>21</v>
      </c>
      <c r="C281" s="8"/>
      <c r="D281" s="8" t="s">
        <v>331</v>
      </c>
      <c r="E281" s="8" t="s">
        <v>1826</v>
      </c>
      <c r="F281" s="8"/>
    </row>
    <row r="282" spans="1:6" x14ac:dyDescent="0.25">
      <c r="A282" s="8" t="s">
        <v>1048</v>
      </c>
      <c r="B282" s="8" t="s">
        <v>1673</v>
      </c>
      <c r="C282" s="8"/>
      <c r="D282" s="8" t="s">
        <v>47</v>
      </c>
      <c r="E282" s="8" t="s">
        <v>1826</v>
      </c>
      <c r="F282" s="8"/>
    </row>
    <row r="283" spans="1:6" x14ac:dyDescent="0.25">
      <c r="A283" s="8" t="s">
        <v>1057</v>
      </c>
      <c r="B283" s="8" t="s">
        <v>1673</v>
      </c>
      <c r="C283" s="8"/>
      <c r="D283" s="8" t="s">
        <v>47</v>
      </c>
      <c r="E283" s="8" t="s">
        <v>1826</v>
      </c>
      <c r="F283" s="8"/>
    </row>
    <row r="284" spans="1:6" x14ac:dyDescent="0.25">
      <c r="A284" s="8" t="s">
        <v>1057</v>
      </c>
      <c r="B284" s="8" t="s">
        <v>1679</v>
      </c>
      <c r="C284" s="8"/>
      <c r="D284" s="8" t="s">
        <v>91</v>
      </c>
      <c r="E284" s="8" t="s">
        <v>1826</v>
      </c>
      <c r="F284" s="8"/>
    </row>
    <row r="285" spans="1:6" x14ac:dyDescent="0.25">
      <c r="A285" s="8" t="s">
        <v>437</v>
      </c>
      <c r="B285" s="8" t="s">
        <v>1667</v>
      </c>
      <c r="C285" s="8"/>
      <c r="D285" s="8" t="s">
        <v>44</v>
      </c>
      <c r="E285" s="8" t="s">
        <v>1826</v>
      </c>
      <c r="F285" s="8"/>
    </row>
    <row r="286" spans="1:6" x14ac:dyDescent="0.25">
      <c r="A286" s="8" t="s">
        <v>437</v>
      </c>
      <c r="B286" s="8" t="s">
        <v>1679</v>
      </c>
      <c r="C286" s="8"/>
      <c r="D286" s="8" t="s">
        <v>91</v>
      </c>
      <c r="E286" s="8" t="s">
        <v>1826</v>
      </c>
      <c r="F286" s="8"/>
    </row>
    <row r="287" spans="1:6" x14ac:dyDescent="0.25">
      <c r="A287" s="8" t="s">
        <v>1066</v>
      </c>
      <c r="B287" s="8" t="s">
        <v>1667</v>
      </c>
      <c r="C287" s="8"/>
      <c r="D287" s="8" t="s">
        <v>76</v>
      </c>
      <c r="E287" s="8" t="s">
        <v>1826</v>
      </c>
      <c r="F287" s="8"/>
    </row>
    <row r="288" spans="1:6" x14ac:dyDescent="0.25">
      <c r="A288" s="8" t="s">
        <v>1068</v>
      </c>
      <c r="B288" s="8" t="s">
        <v>1667</v>
      </c>
      <c r="C288" s="8"/>
      <c r="D288" s="8" t="s">
        <v>76</v>
      </c>
      <c r="E288" s="8" t="s">
        <v>1826</v>
      </c>
      <c r="F288" s="8"/>
    </row>
    <row r="289" spans="1:6" x14ac:dyDescent="0.25">
      <c r="A289" s="8" t="s">
        <v>1068</v>
      </c>
      <c r="B289" s="8" t="s">
        <v>1676</v>
      </c>
      <c r="C289" s="8" t="s">
        <v>58</v>
      </c>
      <c r="D289" s="8" t="s">
        <v>332</v>
      </c>
      <c r="E289" s="8" t="s">
        <v>1827</v>
      </c>
      <c r="F289" s="8"/>
    </row>
    <row r="290" spans="1:6" x14ac:dyDescent="0.25">
      <c r="A290" s="8" t="s">
        <v>1071</v>
      </c>
      <c r="B290" s="8" t="s">
        <v>1667</v>
      </c>
      <c r="C290" s="8"/>
      <c r="D290" s="8" t="s">
        <v>44</v>
      </c>
      <c r="E290" s="8" t="s">
        <v>1826</v>
      </c>
      <c r="F290" s="8"/>
    </row>
    <row r="291" spans="1:6" x14ac:dyDescent="0.25">
      <c r="A291" s="8" t="s">
        <v>1071</v>
      </c>
      <c r="B291" s="8" t="s">
        <v>1676</v>
      </c>
      <c r="C291" s="8" t="s">
        <v>96</v>
      </c>
      <c r="D291" s="8" t="s">
        <v>1127</v>
      </c>
      <c r="E291" s="8" t="s">
        <v>1827</v>
      </c>
      <c r="F291" s="8"/>
    </row>
    <row r="292" spans="1:6" x14ac:dyDescent="0.25">
      <c r="A292" s="8" t="s">
        <v>1071</v>
      </c>
      <c r="B292" s="8" t="s">
        <v>1679</v>
      </c>
      <c r="C292" s="8"/>
      <c r="D292" s="8" t="s">
        <v>59</v>
      </c>
      <c r="E292" s="8" t="s">
        <v>1826</v>
      </c>
      <c r="F292" s="8"/>
    </row>
    <row r="293" spans="1:6" x14ac:dyDescent="0.25">
      <c r="A293" s="8" t="s">
        <v>1075</v>
      </c>
      <c r="B293" s="8" t="s">
        <v>1673</v>
      </c>
      <c r="C293" s="8"/>
      <c r="D293" s="8" t="s">
        <v>47</v>
      </c>
      <c r="E293" s="8" t="s">
        <v>1826</v>
      </c>
      <c r="F293" s="8"/>
    </row>
    <row r="294" spans="1:6" x14ac:dyDescent="0.25">
      <c r="A294" s="8" t="s">
        <v>1075</v>
      </c>
      <c r="B294" s="8" t="s">
        <v>1679</v>
      </c>
      <c r="C294" s="8" t="s">
        <v>193</v>
      </c>
      <c r="D294" s="8" t="s">
        <v>59</v>
      </c>
      <c r="E294" s="8" t="s">
        <v>1827</v>
      </c>
      <c r="F294" s="8"/>
    </row>
    <row r="295" spans="1:6" x14ac:dyDescent="0.25">
      <c r="A295" s="8" t="s">
        <v>1083</v>
      </c>
      <c r="B295" s="8" t="s">
        <v>1676</v>
      </c>
      <c r="C295" s="8" t="s">
        <v>420</v>
      </c>
      <c r="D295" s="8" t="s">
        <v>77</v>
      </c>
      <c r="E295" s="8" t="s">
        <v>1828</v>
      </c>
      <c r="F295" s="8"/>
    </row>
    <row r="296" spans="1:6" x14ac:dyDescent="0.25">
      <c r="A296" s="8" t="s">
        <v>1087</v>
      </c>
      <c r="B296" s="8" t="s">
        <v>1667</v>
      </c>
      <c r="C296" s="8"/>
      <c r="D296" s="8" t="s">
        <v>76</v>
      </c>
      <c r="E296" s="8" t="s">
        <v>1826</v>
      </c>
      <c r="F296" s="8" t="s">
        <v>1834</v>
      </c>
    </row>
    <row r="297" spans="1:6" x14ac:dyDescent="0.25">
      <c r="A297" s="8" t="s">
        <v>1106</v>
      </c>
      <c r="B297" s="8" t="s">
        <v>1667</v>
      </c>
      <c r="C297" s="8"/>
      <c r="D297" s="8" t="s">
        <v>44</v>
      </c>
      <c r="E297" s="8" t="s">
        <v>1826</v>
      </c>
      <c r="F297" s="8"/>
    </row>
    <row r="298" spans="1:6" x14ac:dyDescent="0.25">
      <c r="A298" s="8" t="s">
        <v>1106</v>
      </c>
      <c r="B298" s="8" t="s">
        <v>1673</v>
      </c>
      <c r="C298" s="8"/>
      <c r="D298" s="8" t="s">
        <v>57</v>
      </c>
      <c r="E298" s="8" t="s">
        <v>1826</v>
      </c>
      <c r="F298" s="8"/>
    </row>
    <row r="299" spans="1:6" x14ac:dyDescent="0.25">
      <c r="A299" s="8" t="s">
        <v>1110</v>
      </c>
      <c r="B299" s="8" t="s">
        <v>1667</v>
      </c>
      <c r="C299" s="8"/>
      <c r="D299" s="8" t="s">
        <v>76</v>
      </c>
      <c r="E299" s="8" t="s">
        <v>1826</v>
      </c>
      <c r="F299" s="8"/>
    </row>
    <row r="300" spans="1:6" x14ac:dyDescent="0.25">
      <c r="A300" s="8" t="s">
        <v>1110</v>
      </c>
      <c r="B300" s="8" t="s">
        <v>1679</v>
      </c>
      <c r="C300" s="8"/>
      <c r="D300" s="8" t="s">
        <v>71</v>
      </c>
      <c r="E300" s="8" t="s">
        <v>1826</v>
      </c>
      <c r="F300" s="8"/>
    </row>
    <row r="301" spans="1:6" x14ac:dyDescent="0.25">
      <c r="A301" s="8" t="s">
        <v>1116</v>
      </c>
      <c r="B301" s="8" t="s">
        <v>21</v>
      </c>
      <c r="C301" s="8"/>
      <c r="D301" s="8" t="s">
        <v>331</v>
      </c>
      <c r="E301" s="8" t="s">
        <v>1826</v>
      </c>
      <c r="F301" s="8"/>
    </row>
    <row r="302" spans="1:6" x14ac:dyDescent="0.25">
      <c r="A302" s="8" t="s">
        <v>1118</v>
      </c>
      <c r="B302" s="8" t="s">
        <v>1667</v>
      </c>
      <c r="C302" s="8"/>
      <c r="D302" s="8" t="s">
        <v>44</v>
      </c>
      <c r="E302" s="8" t="s">
        <v>1826</v>
      </c>
      <c r="F302" s="8"/>
    </row>
    <row r="303" spans="1:6" x14ac:dyDescent="0.25">
      <c r="A303" s="8" t="s">
        <v>1118</v>
      </c>
      <c r="B303" s="8" t="s">
        <v>1673</v>
      </c>
      <c r="C303" s="8"/>
      <c r="D303" s="8" t="s">
        <v>47</v>
      </c>
      <c r="E303" s="8" t="s">
        <v>1826</v>
      </c>
      <c r="F303" s="8"/>
    </row>
    <row r="304" spans="1:6" x14ac:dyDescent="0.25">
      <c r="A304" s="8" t="s">
        <v>1118</v>
      </c>
      <c r="B304" s="8" t="s">
        <v>1679</v>
      </c>
      <c r="C304" s="8"/>
      <c r="D304" s="8" t="s">
        <v>78</v>
      </c>
      <c r="E304" s="8" t="s">
        <v>1826</v>
      </c>
      <c r="F304" s="8"/>
    </row>
    <row r="305" spans="1:6" x14ac:dyDescent="0.25">
      <c r="A305" s="8" t="s">
        <v>1122</v>
      </c>
      <c r="B305" s="8" t="s">
        <v>1673</v>
      </c>
      <c r="C305" s="8"/>
      <c r="D305" s="8" t="s">
        <v>47</v>
      </c>
      <c r="E305" s="8" t="s">
        <v>1826</v>
      </c>
      <c r="F305" s="8"/>
    </row>
    <row r="306" spans="1:6" x14ac:dyDescent="0.25">
      <c r="A306" s="8" t="s">
        <v>1128</v>
      </c>
      <c r="B306" s="8" t="s">
        <v>1667</v>
      </c>
      <c r="C306" s="8"/>
      <c r="D306" s="8" t="s">
        <v>76</v>
      </c>
      <c r="E306" s="8" t="s">
        <v>1826</v>
      </c>
      <c r="F306" s="8"/>
    </row>
    <row r="307" spans="1:6" x14ac:dyDescent="0.25">
      <c r="A307" s="8" t="s">
        <v>1128</v>
      </c>
      <c r="B307" s="8" t="s">
        <v>1673</v>
      </c>
      <c r="C307" s="8"/>
      <c r="D307" s="8" t="s">
        <v>47</v>
      </c>
      <c r="E307" s="8" t="s">
        <v>1826</v>
      </c>
      <c r="F307" s="8"/>
    </row>
    <row r="308" spans="1:6" x14ac:dyDescent="0.25">
      <c r="A308" s="8" t="s">
        <v>1128</v>
      </c>
      <c r="B308" s="8" t="s">
        <v>1679</v>
      </c>
      <c r="C308" s="8"/>
      <c r="D308" s="8" t="s">
        <v>91</v>
      </c>
      <c r="E308" s="8" t="s">
        <v>1826</v>
      </c>
      <c r="F308" s="8"/>
    </row>
    <row r="309" spans="1:6" x14ac:dyDescent="0.25">
      <c r="A309" s="8" t="s">
        <v>1133</v>
      </c>
      <c r="B309" s="8" t="s">
        <v>1667</v>
      </c>
      <c r="C309" s="8"/>
      <c r="D309" s="8" t="s">
        <v>76</v>
      </c>
      <c r="E309" s="8" t="s">
        <v>1826</v>
      </c>
      <c r="F309" s="8"/>
    </row>
    <row r="310" spans="1:6" x14ac:dyDescent="0.25">
      <c r="A310" s="8" t="s">
        <v>1133</v>
      </c>
      <c r="B310" s="8" t="s">
        <v>1679</v>
      </c>
      <c r="C310" s="8"/>
      <c r="D310" s="8" t="s">
        <v>91</v>
      </c>
      <c r="E310" s="8" t="s">
        <v>1826</v>
      </c>
      <c r="F310" s="8"/>
    </row>
    <row r="311" spans="1:6" x14ac:dyDescent="0.25">
      <c r="A311" s="8" t="s">
        <v>1220</v>
      </c>
      <c r="B311" s="8" t="s">
        <v>1667</v>
      </c>
      <c r="C311" s="8"/>
      <c r="D311" s="8" t="s">
        <v>44</v>
      </c>
      <c r="E311" s="8" t="s">
        <v>1826</v>
      </c>
      <c r="F311" s="8"/>
    </row>
    <row r="312" spans="1:6" x14ac:dyDescent="0.25">
      <c r="A312" s="8" t="s">
        <v>1138</v>
      </c>
      <c r="B312" s="8" t="s">
        <v>1667</v>
      </c>
      <c r="C312" s="8"/>
      <c r="D312" s="8" t="s">
        <v>44</v>
      </c>
      <c r="E312" s="8" t="s">
        <v>1826</v>
      </c>
      <c r="F312" s="8"/>
    </row>
    <row r="313" spans="1:6" x14ac:dyDescent="0.25">
      <c r="A313" s="8" t="s">
        <v>1138</v>
      </c>
      <c r="B313" s="8" t="s">
        <v>1673</v>
      </c>
      <c r="C313" s="8"/>
      <c r="D313" s="8" t="s">
        <v>57</v>
      </c>
      <c r="E313" s="8" t="s">
        <v>1826</v>
      </c>
      <c r="F313" s="8"/>
    </row>
    <row r="314" spans="1:6" x14ac:dyDescent="0.25">
      <c r="A314" s="8" t="s">
        <v>1138</v>
      </c>
      <c r="B314" s="8" t="s">
        <v>1679</v>
      </c>
      <c r="C314" s="8"/>
      <c r="D314" s="8" t="s">
        <v>78</v>
      </c>
      <c r="E314" s="8" t="s">
        <v>1826</v>
      </c>
      <c r="F314" s="8"/>
    </row>
    <row r="315" spans="1:6" x14ac:dyDescent="0.25">
      <c r="A315" s="8" t="s">
        <v>1131</v>
      </c>
      <c r="B315" s="8" t="s">
        <v>1667</v>
      </c>
      <c r="C315" s="8"/>
      <c r="D315" s="8" t="s">
        <v>76</v>
      </c>
      <c r="E315" s="8" t="s">
        <v>1826</v>
      </c>
      <c r="F315" s="8"/>
    </row>
    <row r="316" spans="1:6" x14ac:dyDescent="0.25">
      <c r="A316" s="8" t="s">
        <v>1141</v>
      </c>
      <c r="B316" s="8" t="s">
        <v>1667</v>
      </c>
      <c r="C316" s="8"/>
      <c r="D316" s="8" t="s">
        <v>44</v>
      </c>
      <c r="E316" s="8" t="s">
        <v>1826</v>
      </c>
      <c r="F316" s="8"/>
    </row>
    <row r="317" spans="1:6" x14ac:dyDescent="0.25">
      <c r="A317" s="8" t="s">
        <v>1141</v>
      </c>
      <c r="B317" s="8" t="s">
        <v>1679</v>
      </c>
      <c r="C317" s="8"/>
      <c r="D317" s="8" t="s">
        <v>193</v>
      </c>
      <c r="E317" s="8" t="s">
        <v>1826</v>
      </c>
      <c r="F317" s="8"/>
    </row>
    <row r="318" spans="1:6" x14ac:dyDescent="0.25">
      <c r="A318" s="8" t="s">
        <v>1145</v>
      </c>
      <c r="B318" s="8" t="s">
        <v>1673</v>
      </c>
      <c r="C318" s="8"/>
      <c r="D318" s="8" t="s">
        <v>47</v>
      </c>
      <c r="E318" s="8" t="s">
        <v>1826</v>
      </c>
      <c r="F318" s="8" t="s">
        <v>1829</v>
      </c>
    </row>
    <row r="319" spans="1:6" x14ac:dyDescent="0.25">
      <c r="A319" s="8" t="s">
        <v>1151</v>
      </c>
      <c r="B319" s="8" t="s">
        <v>1673</v>
      </c>
      <c r="C319" s="8"/>
      <c r="D319" s="8" t="s">
        <v>47</v>
      </c>
      <c r="E319" s="8" t="s">
        <v>1826</v>
      </c>
      <c r="F319" s="8"/>
    </row>
    <row r="320" spans="1:6" x14ac:dyDescent="0.25">
      <c r="A320" s="8" t="s">
        <v>1155</v>
      </c>
      <c r="B320" s="8" t="s">
        <v>1667</v>
      </c>
      <c r="C320" s="8"/>
      <c r="D320" s="8" t="s">
        <v>44</v>
      </c>
      <c r="E320" s="8" t="s">
        <v>1826</v>
      </c>
      <c r="F320" s="8"/>
    </row>
    <row r="321" spans="1:6" x14ac:dyDescent="0.25">
      <c r="A321" s="8" t="s">
        <v>1155</v>
      </c>
      <c r="B321" s="8" t="s">
        <v>1673</v>
      </c>
      <c r="C321" s="8"/>
      <c r="D321" s="8" t="s">
        <v>57</v>
      </c>
      <c r="E321" s="8" t="s">
        <v>1826</v>
      </c>
      <c r="F321" s="8"/>
    </row>
    <row r="322" spans="1:6" x14ac:dyDescent="0.25">
      <c r="A322" s="8" t="s">
        <v>1160</v>
      </c>
      <c r="B322" s="8" t="s">
        <v>1667</v>
      </c>
      <c r="C322" s="8"/>
      <c r="D322" s="8" t="s">
        <v>76</v>
      </c>
      <c r="E322" s="8" t="s">
        <v>1826</v>
      </c>
      <c r="F322" s="8"/>
    </row>
    <row r="323" spans="1:6" x14ac:dyDescent="0.25">
      <c r="A323" s="8" t="s">
        <v>1160</v>
      </c>
      <c r="B323" s="8" t="s">
        <v>1679</v>
      </c>
      <c r="C323" s="8"/>
      <c r="D323" s="8" t="s">
        <v>193</v>
      </c>
      <c r="E323" s="8" t="s">
        <v>1826</v>
      </c>
      <c r="F323" s="8"/>
    </row>
    <row r="324" spans="1:6" x14ac:dyDescent="0.25">
      <c r="A324" s="8" t="s">
        <v>1163</v>
      </c>
      <c r="B324" s="8" t="s">
        <v>1667</v>
      </c>
      <c r="C324" s="8"/>
      <c r="D324" s="8" t="s">
        <v>76</v>
      </c>
      <c r="E324" s="8" t="s">
        <v>1826</v>
      </c>
      <c r="F324" s="8"/>
    </row>
    <row r="325" spans="1:6" x14ac:dyDescent="0.25">
      <c r="A325" s="8" t="s">
        <v>1164</v>
      </c>
      <c r="B325" s="8" t="s">
        <v>1667</v>
      </c>
      <c r="C325" s="8"/>
      <c r="D325" s="8" t="s">
        <v>44</v>
      </c>
      <c r="E325" s="8" t="s">
        <v>1826</v>
      </c>
      <c r="F325" s="8"/>
    </row>
    <row r="326" spans="1:6" x14ac:dyDescent="0.25">
      <c r="A326" s="8" t="s">
        <v>1165</v>
      </c>
      <c r="B326" s="8" t="s">
        <v>1679</v>
      </c>
      <c r="C326" s="8"/>
      <c r="D326" s="8" t="s">
        <v>133</v>
      </c>
      <c r="E326" s="8" t="s">
        <v>1826</v>
      </c>
      <c r="F326" s="8"/>
    </row>
    <row r="327" spans="1:6" x14ac:dyDescent="0.25">
      <c r="A327" s="8" t="s">
        <v>1168</v>
      </c>
      <c r="B327" s="8" t="s">
        <v>1676</v>
      </c>
      <c r="C327" s="8" t="s">
        <v>313</v>
      </c>
      <c r="D327" s="8" t="s">
        <v>456</v>
      </c>
      <c r="E327" s="8" t="s">
        <v>1827</v>
      </c>
      <c r="F327" s="8"/>
    </row>
    <row r="328" spans="1:6" x14ac:dyDescent="0.25">
      <c r="A328" s="8" t="s">
        <v>1175</v>
      </c>
      <c r="B328" s="8" t="s">
        <v>1667</v>
      </c>
      <c r="C328" s="8"/>
      <c r="D328" s="8" t="s">
        <v>44</v>
      </c>
      <c r="E328" s="8" t="s">
        <v>1826</v>
      </c>
      <c r="F328" s="8"/>
    </row>
    <row r="329" spans="1:6" x14ac:dyDescent="0.25">
      <c r="A329" s="8" t="s">
        <v>1175</v>
      </c>
      <c r="B329" s="8" t="s">
        <v>1673</v>
      </c>
      <c r="C329" s="8"/>
      <c r="D329" s="8" t="s">
        <v>47</v>
      </c>
      <c r="E329" s="8" t="s">
        <v>1826</v>
      </c>
      <c r="F329" s="8"/>
    </row>
    <row r="330" spans="1:6" x14ac:dyDescent="0.25">
      <c r="A330" s="8" t="s">
        <v>1175</v>
      </c>
      <c r="B330" s="8" t="s">
        <v>1679</v>
      </c>
      <c r="C330" s="8"/>
      <c r="D330" s="8" t="s">
        <v>193</v>
      </c>
      <c r="E330" s="8" t="s">
        <v>1826</v>
      </c>
      <c r="F330" s="8"/>
    </row>
    <row r="331" spans="1:6" x14ac:dyDescent="0.25">
      <c r="A331" s="8" t="s">
        <v>1184</v>
      </c>
      <c r="B331" s="8" t="s">
        <v>1667</v>
      </c>
      <c r="C331" s="8"/>
      <c r="D331" s="8" t="s">
        <v>44</v>
      </c>
      <c r="E331" s="8" t="s">
        <v>1826</v>
      </c>
      <c r="F331" s="8"/>
    </row>
    <row r="332" spans="1:6" x14ac:dyDescent="0.25">
      <c r="A332" s="8" t="s">
        <v>1184</v>
      </c>
      <c r="B332" s="8" t="s">
        <v>1673</v>
      </c>
      <c r="C332" s="8"/>
      <c r="D332" s="8" t="s">
        <v>57</v>
      </c>
      <c r="E332" s="8" t="s">
        <v>1826</v>
      </c>
      <c r="F332" s="8"/>
    </row>
    <row r="333" spans="1:6" x14ac:dyDescent="0.25">
      <c r="A333" s="8" t="s">
        <v>1189</v>
      </c>
      <c r="B333" s="8" t="s">
        <v>1667</v>
      </c>
      <c r="C333" s="8"/>
      <c r="D333" s="8" t="s">
        <v>44</v>
      </c>
      <c r="E333" s="8" t="s">
        <v>1826</v>
      </c>
      <c r="F333" s="8"/>
    </row>
    <row r="334" spans="1:6" x14ac:dyDescent="0.25">
      <c r="A334" s="8" t="s">
        <v>1189</v>
      </c>
      <c r="B334" s="8" t="s">
        <v>1679</v>
      </c>
      <c r="C334" s="8"/>
      <c r="D334" s="8" t="s">
        <v>71</v>
      </c>
      <c r="E334" s="8" t="s">
        <v>1826</v>
      </c>
      <c r="F334" s="8"/>
    </row>
    <row r="335" spans="1:6" x14ac:dyDescent="0.25">
      <c r="A335" s="8" t="s">
        <v>1191</v>
      </c>
      <c r="B335" s="8" t="s">
        <v>1676</v>
      </c>
      <c r="C335" s="8" t="s">
        <v>96</v>
      </c>
      <c r="D335" s="8" t="s">
        <v>1127</v>
      </c>
      <c r="E335" s="8" t="s">
        <v>1827</v>
      </c>
      <c r="F335" s="8"/>
    </row>
    <row r="336" spans="1:6" x14ac:dyDescent="0.25">
      <c r="A336" s="8" t="s">
        <v>1191</v>
      </c>
      <c r="B336" s="8" t="s">
        <v>1679</v>
      </c>
      <c r="C336" s="8" t="s">
        <v>133</v>
      </c>
      <c r="D336" s="8" t="s">
        <v>78</v>
      </c>
      <c r="E336" s="8" t="s">
        <v>1827</v>
      </c>
      <c r="F336" s="8"/>
    </row>
    <row r="337" spans="1:6" x14ac:dyDescent="0.25">
      <c r="A337" s="8" t="s">
        <v>1194</v>
      </c>
      <c r="B337" s="8" t="s">
        <v>1667</v>
      </c>
      <c r="C337" s="8"/>
      <c r="D337" s="8" t="s">
        <v>44</v>
      </c>
      <c r="E337" s="8" t="s">
        <v>1826</v>
      </c>
      <c r="F337" s="8"/>
    </row>
    <row r="338" spans="1:6" x14ac:dyDescent="0.25">
      <c r="A338" s="8" t="s">
        <v>1200</v>
      </c>
      <c r="B338" s="8" t="s">
        <v>1667</v>
      </c>
      <c r="C338" s="8"/>
      <c r="D338" s="8" t="s">
        <v>44</v>
      </c>
      <c r="E338" s="8" t="s">
        <v>1826</v>
      </c>
      <c r="F338" s="8" t="s">
        <v>1834</v>
      </c>
    </row>
    <row r="339" spans="1:6" x14ac:dyDescent="0.25">
      <c r="A339" s="8" t="s">
        <v>1204</v>
      </c>
      <c r="B339" s="8" t="s">
        <v>1667</v>
      </c>
      <c r="C339" s="8"/>
      <c r="D339" s="8" t="s">
        <v>44</v>
      </c>
      <c r="E339" s="8" t="s">
        <v>1826</v>
      </c>
      <c r="F339" s="8" t="s">
        <v>1834</v>
      </c>
    </row>
    <row r="340" spans="1:6" x14ac:dyDescent="0.25">
      <c r="A340" s="8" t="s">
        <v>1204</v>
      </c>
      <c r="B340" s="8" t="s">
        <v>1673</v>
      </c>
      <c r="C340" s="8"/>
      <c r="D340" s="8" t="s">
        <v>57</v>
      </c>
      <c r="E340" s="8" t="s">
        <v>1826</v>
      </c>
      <c r="F340" s="8"/>
    </row>
    <row r="341" spans="1:6" x14ac:dyDescent="0.25">
      <c r="A341" s="8" t="s">
        <v>1204</v>
      </c>
      <c r="B341" s="8" t="s">
        <v>1676</v>
      </c>
      <c r="C341" s="8" t="s">
        <v>58</v>
      </c>
      <c r="D341" s="8" t="s">
        <v>271</v>
      </c>
      <c r="E341" s="8" t="s">
        <v>1827</v>
      </c>
      <c r="F341" s="8"/>
    </row>
    <row r="342" spans="1:6" x14ac:dyDescent="0.25">
      <c r="A342" s="8" t="s">
        <v>1204</v>
      </c>
      <c r="B342" s="8" t="s">
        <v>1679</v>
      </c>
      <c r="C342" s="8"/>
      <c r="D342" s="8" t="s">
        <v>192</v>
      </c>
      <c r="E342" s="8" t="s">
        <v>1826</v>
      </c>
      <c r="F342" s="8"/>
    </row>
    <row r="343" spans="1:6" x14ac:dyDescent="0.25">
      <c r="A343" s="8" t="s">
        <v>1211</v>
      </c>
      <c r="B343" s="8" t="s">
        <v>1667</v>
      </c>
      <c r="C343" s="8"/>
      <c r="D343" s="8" t="s">
        <v>44</v>
      </c>
      <c r="E343" s="8" t="s">
        <v>1826</v>
      </c>
      <c r="F343" s="8"/>
    </row>
    <row r="344" spans="1:6" x14ac:dyDescent="0.25">
      <c r="A344" s="8" t="s">
        <v>1214</v>
      </c>
      <c r="B344" s="8" t="s">
        <v>1667</v>
      </c>
      <c r="C344" s="8"/>
      <c r="D344" s="8" t="s">
        <v>76</v>
      </c>
      <c r="E344" s="8" t="s">
        <v>1826</v>
      </c>
      <c r="F344" s="8"/>
    </row>
    <row r="345" spans="1:6" x14ac:dyDescent="0.25">
      <c r="A345" s="8" t="s">
        <v>1214</v>
      </c>
      <c r="B345" s="8" t="s">
        <v>1676</v>
      </c>
      <c r="C345" s="8"/>
      <c r="D345" s="8" t="s">
        <v>149</v>
      </c>
      <c r="E345" s="8" t="s">
        <v>1826</v>
      </c>
      <c r="F345" s="8"/>
    </row>
    <row r="346" spans="1:6" x14ac:dyDescent="0.25">
      <c r="A346" s="8" t="s">
        <v>1215</v>
      </c>
      <c r="B346" s="8" t="s">
        <v>1667</v>
      </c>
      <c r="C346" s="8"/>
      <c r="D346" s="8" t="s">
        <v>44</v>
      </c>
      <c r="E346" s="8" t="s">
        <v>1826</v>
      </c>
      <c r="F346" s="8"/>
    </row>
    <row r="347" spans="1:6" x14ac:dyDescent="0.25">
      <c r="A347" s="8" t="s">
        <v>1222</v>
      </c>
      <c r="B347" s="8" t="s">
        <v>1667</v>
      </c>
      <c r="C347" s="8"/>
      <c r="D347" s="8" t="s">
        <v>44</v>
      </c>
      <c r="E347" s="8" t="s">
        <v>1826</v>
      </c>
      <c r="F347" s="8"/>
    </row>
    <row r="348" spans="1:6" x14ac:dyDescent="0.25">
      <c r="A348" s="8" t="s">
        <v>1230</v>
      </c>
      <c r="B348" s="8" t="s">
        <v>1673</v>
      </c>
      <c r="C348" s="8"/>
      <c r="D348" s="8" t="s">
        <v>47</v>
      </c>
      <c r="E348" s="8" t="s">
        <v>1826</v>
      </c>
      <c r="F348" s="8"/>
    </row>
    <row r="349" spans="1:6" x14ac:dyDescent="0.25">
      <c r="A349" s="8" t="s">
        <v>1234</v>
      </c>
      <c r="B349" s="8" t="s">
        <v>1667</v>
      </c>
      <c r="C349" s="8"/>
      <c r="D349" s="8" t="s">
        <v>76</v>
      </c>
      <c r="E349" s="8" t="s">
        <v>1826</v>
      </c>
      <c r="F349" s="8"/>
    </row>
    <row r="350" spans="1:6" x14ac:dyDescent="0.25">
      <c r="A350" s="8" t="s">
        <v>1234</v>
      </c>
      <c r="B350" s="8" t="s">
        <v>21</v>
      </c>
      <c r="C350" s="8"/>
      <c r="D350" s="8" t="s">
        <v>331</v>
      </c>
      <c r="E350" s="8" t="s">
        <v>1826</v>
      </c>
      <c r="F350" s="8"/>
    </row>
    <row r="351" spans="1:6" x14ac:dyDescent="0.25">
      <c r="A351" s="8" t="s">
        <v>1234</v>
      </c>
      <c r="B351" s="8" t="s">
        <v>1676</v>
      </c>
      <c r="C351" s="8"/>
      <c r="D351" s="8" t="s">
        <v>77</v>
      </c>
      <c r="E351" s="8" t="s">
        <v>1826</v>
      </c>
      <c r="F351" s="8"/>
    </row>
    <row r="352" spans="1:6" x14ac:dyDescent="0.25">
      <c r="A352" s="8" t="s">
        <v>1239</v>
      </c>
      <c r="B352" s="8" t="s">
        <v>1667</v>
      </c>
      <c r="C352" s="8"/>
      <c r="D352" s="8" t="s">
        <v>76</v>
      </c>
      <c r="E352" s="8" t="s">
        <v>1826</v>
      </c>
      <c r="F352" s="8"/>
    </row>
    <row r="353" spans="1:6" x14ac:dyDescent="0.25">
      <c r="A353" s="8" t="s">
        <v>1243</v>
      </c>
      <c r="B353" s="8" t="s">
        <v>1667</v>
      </c>
      <c r="C353" s="8"/>
      <c r="D353" s="8" t="s">
        <v>76</v>
      </c>
      <c r="E353" s="8" t="s">
        <v>1826</v>
      </c>
      <c r="F353" s="8"/>
    </row>
    <row r="354" spans="1:6" x14ac:dyDescent="0.25">
      <c r="A354" s="8" t="s">
        <v>1243</v>
      </c>
      <c r="B354" s="8" t="s">
        <v>1676</v>
      </c>
      <c r="C354" s="8" t="s">
        <v>58</v>
      </c>
      <c r="D354" s="8" t="s">
        <v>456</v>
      </c>
      <c r="E354" s="8" t="s">
        <v>1827</v>
      </c>
      <c r="F354" s="8"/>
    </row>
    <row r="355" spans="1:6" x14ac:dyDescent="0.25">
      <c r="A355" s="8" t="s">
        <v>1252</v>
      </c>
      <c r="B355" s="8" t="s">
        <v>1673</v>
      </c>
      <c r="C355" s="8"/>
      <c r="D355" s="8" t="s">
        <v>47</v>
      </c>
      <c r="E355" s="8" t="s">
        <v>1826</v>
      </c>
      <c r="F355" s="8"/>
    </row>
    <row r="356" spans="1:6" x14ac:dyDescent="0.25">
      <c r="A356" s="8" t="s">
        <v>1255</v>
      </c>
      <c r="B356" s="8" t="s">
        <v>1667</v>
      </c>
      <c r="C356" s="8"/>
      <c r="D356" s="8" t="s">
        <v>76</v>
      </c>
      <c r="E356" s="8" t="s">
        <v>1826</v>
      </c>
      <c r="F356" s="8"/>
    </row>
    <row r="357" spans="1:6" x14ac:dyDescent="0.25">
      <c r="A357" s="8" t="s">
        <v>1259</v>
      </c>
      <c r="B357" s="8" t="s">
        <v>1667</v>
      </c>
      <c r="C357" s="8"/>
      <c r="D357" s="8" t="s">
        <v>44</v>
      </c>
      <c r="E357" s="8" t="s">
        <v>1826</v>
      </c>
      <c r="F357" s="8"/>
    </row>
    <row r="358" spans="1:6" x14ac:dyDescent="0.25">
      <c r="A358" s="8" t="s">
        <v>1262</v>
      </c>
      <c r="B358" s="8" t="s">
        <v>1667</v>
      </c>
      <c r="C358" s="8"/>
      <c r="D358" s="8" t="s">
        <v>44</v>
      </c>
      <c r="E358" s="8" t="s">
        <v>1826</v>
      </c>
      <c r="F358" s="8"/>
    </row>
    <row r="359" spans="1:6" x14ac:dyDescent="0.25">
      <c r="A359" s="8" t="s">
        <v>1262</v>
      </c>
      <c r="B359" s="8" t="s">
        <v>1673</v>
      </c>
      <c r="C359" s="8"/>
      <c r="D359" s="8" t="s">
        <v>47</v>
      </c>
      <c r="E359" s="8" t="s">
        <v>1826</v>
      </c>
      <c r="F359" s="8"/>
    </row>
    <row r="360" spans="1:6" x14ac:dyDescent="0.25">
      <c r="A360" s="8" t="s">
        <v>1266</v>
      </c>
      <c r="B360" s="8" t="s">
        <v>1673</v>
      </c>
      <c r="C360" s="8"/>
      <c r="D360" s="8" t="s">
        <v>47</v>
      </c>
      <c r="E360" s="8" t="s">
        <v>1826</v>
      </c>
      <c r="F360" s="8"/>
    </row>
    <row r="361" spans="1:6" x14ac:dyDescent="0.25">
      <c r="A361" s="8" t="s">
        <v>1271</v>
      </c>
      <c r="B361" s="8" t="s">
        <v>1667</v>
      </c>
      <c r="C361" s="8"/>
      <c r="D361" s="8" t="s">
        <v>44</v>
      </c>
      <c r="E361" s="8" t="s">
        <v>1826</v>
      </c>
      <c r="F361" s="8"/>
    </row>
    <row r="362" spans="1:6" x14ac:dyDescent="0.25">
      <c r="A362" s="8" t="s">
        <v>1271</v>
      </c>
      <c r="B362" s="8" t="s">
        <v>1673</v>
      </c>
      <c r="C362" s="8"/>
      <c r="D362" s="8" t="s">
        <v>47</v>
      </c>
      <c r="E362" s="8" t="s">
        <v>1826</v>
      </c>
      <c r="F362" s="8" t="s">
        <v>1829</v>
      </c>
    </row>
    <row r="363" spans="1:6" x14ac:dyDescent="0.25">
      <c r="A363" s="8" t="s">
        <v>1278</v>
      </c>
      <c r="B363" s="8" t="s">
        <v>1667</v>
      </c>
      <c r="C363" s="8"/>
      <c r="D363" s="8" t="s">
        <v>244</v>
      </c>
      <c r="E363" s="8" t="s">
        <v>1826</v>
      </c>
      <c r="F363" s="8"/>
    </row>
    <row r="364" spans="1:6" x14ac:dyDescent="0.25">
      <c r="A364" s="8" t="s">
        <v>1278</v>
      </c>
      <c r="B364" s="8" t="s">
        <v>1673</v>
      </c>
      <c r="C364" s="8"/>
      <c r="D364" s="8" t="s">
        <v>47</v>
      </c>
      <c r="E364" s="8" t="s">
        <v>1826</v>
      </c>
      <c r="F364" s="8"/>
    </row>
    <row r="365" spans="1:6" x14ac:dyDescent="0.25">
      <c r="A365" s="8" t="s">
        <v>370</v>
      </c>
      <c r="B365" s="8" t="s">
        <v>1667</v>
      </c>
      <c r="C365" s="8"/>
      <c r="D365" s="8" t="s">
        <v>44</v>
      </c>
      <c r="E365" s="8" t="s">
        <v>1826</v>
      </c>
      <c r="F365" s="8"/>
    </row>
    <row r="366" spans="1:6" x14ac:dyDescent="0.25">
      <c r="A366" s="8" t="s">
        <v>1284</v>
      </c>
      <c r="B366" s="8" t="s">
        <v>1667</v>
      </c>
      <c r="C366" s="8"/>
      <c r="D366" s="8" t="s">
        <v>76</v>
      </c>
      <c r="E366" s="8" t="s">
        <v>1826</v>
      </c>
      <c r="F366" s="8"/>
    </row>
    <row r="367" spans="1:6" x14ac:dyDescent="0.25">
      <c r="A367" s="8" t="s">
        <v>1284</v>
      </c>
      <c r="B367" s="8" t="s">
        <v>1679</v>
      </c>
      <c r="C367" s="8"/>
      <c r="D367" s="8" t="s">
        <v>133</v>
      </c>
      <c r="E367" s="8" t="s">
        <v>1826</v>
      </c>
      <c r="F367" s="8"/>
    </row>
    <row r="368" spans="1:6" x14ac:dyDescent="0.25">
      <c r="A368" s="8" t="s">
        <v>1291</v>
      </c>
      <c r="B368" s="8" t="s">
        <v>1667</v>
      </c>
      <c r="C368" s="8"/>
      <c r="D368" s="8" t="s">
        <v>44</v>
      </c>
      <c r="E368" s="8" t="s">
        <v>1826</v>
      </c>
      <c r="F368" s="8"/>
    </row>
    <row r="369" spans="1:6" x14ac:dyDescent="0.25">
      <c r="A369" s="8" t="s">
        <v>1300</v>
      </c>
      <c r="B369" s="8" t="s">
        <v>1667</v>
      </c>
      <c r="C369" s="8"/>
      <c r="D369" s="8" t="s">
        <v>76</v>
      </c>
      <c r="E369" s="8" t="s">
        <v>1826</v>
      </c>
      <c r="F369" s="8"/>
    </row>
    <row r="370" spans="1:6" x14ac:dyDescent="0.25">
      <c r="A370" s="8" t="s">
        <v>1300</v>
      </c>
      <c r="B370" s="8" t="s">
        <v>1673</v>
      </c>
      <c r="C370" s="8"/>
      <c r="D370" s="8" t="s">
        <v>47</v>
      </c>
      <c r="E370" s="8" t="s">
        <v>1826</v>
      </c>
      <c r="F370" s="8"/>
    </row>
    <row r="371" spans="1:6" x14ac:dyDescent="0.25">
      <c r="A371" s="8" t="s">
        <v>1300</v>
      </c>
      <c r="B371" s="8" t="s">
        <v>1679</v>
      </c>
      <c r="C371" s="8"/>
      <c r="D371" s="8" t="s">
        <v>119</v>
      </c>
      <c r="E371" s="8" t="s">
        <v>1826</v>
      </c>
      <c r="F371" s="8"/>
    </row>
    <row r="372" spans="1:6" x14ac:dyDescent="0.25">
      <c r="A372" s="8" t="s">
        <v>1303</v>
      </c>
      <c r="B372" s="8" t="s">
        <v>1667</v>
      </c>
      <c r="C372" s="8"/>
      <c r="D372" s="8" t="s">
        <v>44</v>
      </c>
      <c r="E372" s="8" t="s">
        <v>1826</v>
      </c>
      <c r="F372" s="8"/>
    </row>
    <row r="373" spans="1:6" x14ac:dyDescent="0.25">
      <c r="A373" s="8" t="s">
        <v>1311</v>
      </c>
      <c r="B373" s="8" t="s">
        <v>1667</v>
      </c>
      <c r="C373" s="8"/>
      <c r="D373" s="8" t="s">
        <v>44</v>
      </c>
      <c r="E373" s="8" t="s">
        <v>1826</v>
      </c>
      <c r="F373" s="8"/>
    </row>
    <row r="374" spans="1:6" x14ac:dyDescent="0.25">
      <c r="A374" s="8" t="s">
        <v>1311</v>
      </c>
      <c r="B374" s="8" t="s">
        <v>1673</v>
      </c>
      <c r="C374" s="8"/>
      <c r="D374" s="8" t="s">
        <v>47</v>
      </c>
      <c r="E374" s="8" t="s">
        <v>1826</v>
      </c>
      <c r="F374" s="8"/>
    </row>
    <row r="375" spans="1:6" x14ac:dyDescent="0.25">
      <c r="A375" s="8" t="s">
        <v>1311</v>
      </c>
      <c r="B375" s="8" t="s">
        <v>1676</v>
      </c>
      <c r="C375" s="8" t="s">
        <v>58</v>
      </c>
      <c r="D375" s="8" t="s">
        <v>1830</v>
      </c>
      <c r="E375" s="8" t="s">
        <v>1827</v>
      </c>
      <c r="F375" s="8"/>
    </row>
    <row r="376" spans="1:6" x14ac:dyDescent="0.25">
      <c r="A376" s="8" t="s">
        <v>1316</v>
      </c>
      <c r="B376" s="8" t="s">
        <v>1667</v>
      </c>
      <c r="C376" s="8"/>
      <c r="D376" s="8" t="s">
        <v>76</v>
      </c>
      <c r="E376" s="8" t="s">
        <v>1826</v>
      </c>
      <c r="F376" s="8"/>
    </row>
    <row r="377" spans="1:6" x14ac:dyDescent="0.25">
      <c r="A377" s="8" t="s">
        <v>1316</v>
      </c>
      <c r="B377" s="8" t="s">
        <v>1679</v>
      </c>
      <c r="C377" s="8"/>
      <c r="D377" s="8" t="s">
        <v>119</v>
      </c>
      <c r="E377" s="8" t="s">
        <v>1826</v>
      </c>
      <c r="F377" s="8"/>
    </row>
    <row r="378" spans="1:6" x14ac:dyDescent="0.25">
      <c r="A378" s="8" t="s">
        <v>1318</v>
      </c>
      <c r="B378" s="8" t="s">
        <v>1667</v>
      </c>
      <c r="C378" s="8"/>
      <c r="D378" s="8" t="s">
        <v>44</v>
      </c>
      <c r="E378" s="8" t="s">
        <v>1826</v>
      </c>
      <c r="F378" s="8"/>
    </row>
    <row r="379" spans="1:6" x14ac:dyDescent="0.25">
      <c r="A379" s="8" t="s">
        <v>1318</v>
      </c>
      <c r="B379" s="8" t="s">
        <v>1679</v>
      </c>
      <c r="C379" s="8"/>
      <c r="D379" s="8" t="s">
        <v>49</v>
      </c>
      <c r="E379" s="8" t="s">
        <v>1826</v>
      </c>
      <c r="F379" s="8"/>
    </row>
    <row r="380" spans="1:6" x14ac:dyDescent="0.25">
      <c r="A380" s="8" t="s">
        <v>1319</v>
      </c>
      <c r="B380" s="8" t="s">
        <v>1667</v>
      </c>
      <c r="C380" s="8"/>
      <c r="D380" s="8" t="s">
        <v>76</v>
      </c>
      <c r="E380" s="8" t="s">
        <v>1826</v>
      </c>
      <c r="F380" s="8"/>
    </row>
    <row r="381" spans="1:6" x14ac:dyDescent="0.25">
      <c r="A381" s="8" t="s">
        <v>1319</v>
      </c>
      <c r="B381" s="8" t="s">
        <v>1673</v>
      </c>
      <c r="C381" s="8"/>
      <c r="D381" s="8" t="s">
        <v>47</v>
      </c>
      <c r="E381" s="8" t="s">
        <v>1826</v>
      </c>
      <c r="F381" s="8"/>
    </row>
    <row r="382" spans="1:6" x14ac:dyDescent="0.25">
      <c r="A382" s="8" t="s">
        <v>1319</v>
      </c>
      <c r="B382" s="8" t="s">
        <v>1679</v>
      </c>
      <c r="C382" s="8"/>
      <c r="D382" s="8" t="s">
        <v>119</v>
      </c>
      <c r="E382" s="8" t="s">
        <v>1826</v>
      </c>
      <c r="F382" s="8"/>
    </row>
    <row r="383" spans="1:6" x14ac:dyDescent="0.25">
      <c r="A383" s="8" t="s">
        <v>1325</v>
      </c>
      <c r="B383" s="8" t="s">
        <v>1667</v>
      </c>
      <c r="C383" s="8"/>
      <c r="D383" s="8" t="s">
        <v>76</v>
      </c>
      <c r="E383" s="8" t="s">
        <v>1826</v>
      </c>
      <c r="F383" s="8" t="s">
        <v>1834</v>
      </c>
    </row>
    <row r="384" spans="1:6" x14ac:dyDescent="0.25">
      <c r="A384" s="8" t="s">
        <v>1325</v>
      </c>
      <c r="B384" s="8" t="s">
        <v>1676</v>
      </c>
      <c r="C384" s="8"/>
      <c r="D384" s="8" t="s">
        <v>83</v>
      </c>
      <c r="E384" s="8" t="s">
        <v>1826</v>
      </c>
      <c r="F384" s="8"/>
    </row>
    <row r="385" spans="1:6" x14ac:dyDescent="0.25">
      <c r="A385" s="8" t="s">
        <v>1325</v>
      </c>
      <c r="B385" s="8" t="s">
        <v>1679</v>
      </c>
      <c r="C385" s="8"/>
      <c r="D385" s="8" t="s">
        <v>192</v>
      </c>
      <c r="E385" s="8" t="s">
        <v>1826</v>
      </c>
      <c r="F385" s="8"/>
    </row>
    <row r="386" spans="1:6" x14ac:dyDescent="0.25">
      <c r="A386" s="8" t="s">
        <v>1329</v>
      </c>
      <c r="B386" s="8" t="s">
        <v>1667</v>
      </c>
      <c r="C386" s="8"/>
      <c r="D386" s="8" t="s">
        <v>44</v>
      </c>
      <c r="E386" s="8" t="s">
        <v>1826</v>
      </c>
      <c r="F386" s="8"/>
    </row>
    <row r="387" spans="1:6" x14ac:dyDescent="0.25">
      <c r="A387" s="8" t="s">
        <v>1329</v>
      </c>
      <c r="B387" s="8" t="s">
        <v>1673</v>
      </c>
      <c r="C387" s="8"/>
      <c r="D387" s="8" t="s">
        <v>47</v>
      </c>
      <c r="E387" s="8" t="s">
        <v>1826</v>
      </c>
      <c r="F387" s="8"/>
    </row>
    <row r="388" spans="1:6" x14ac:dyDescent="0.25">
      <c r="A388" s="8" t="s">
        <v>1330</v>
      </c>
      <c r="B388" s="8" t="s">
        <v>1667</v>
      </c>
      <c r="C388" s="8"/>
      <c r="D388" s="8" t="s">
        <v>76</v>
      </c>
      <c r="E388" s="8" t="s">
        <v>1826</v>
      </c>
      <c r="F388" s="8"/>
    </row>
    <row r="389" spans="1:6" x14ac:dyDescent="0.25">
      <c r="A389" s="8" t="s">
        <v>1340</v>
      </c>
      <c r="B389" s="8" t="s">
        <v>1667</v>
      </c>
      <c r="C389" s="8"/>
      <c r="D389" s="8" t="s">
        <v>44</v>
      </c>
      <c r="E389" s="8" t="s">
        <v>1826</v>
      </c>
      <c r="F389" s="8"/>
    </row>
    <row r="390" spans="1:6" x14ac:dyDescent="0.25">
      <c r="A390" s="8" t="s">
        <v>1340</v>
      </c>
      <c r="B390" s="8" t="s">
        <v>1673</v>
      </c>
      <c r="C390" s="8"/>
      <c r="D390" s="8" t="s">
        <v>57</v>
      </c>
      <c r="E390" s="8" t="s">
        <v>1826</v>
      </c>
      <c r="F390" s="8"/>
    </row>
    <row r="391" spans="1:6" x14ac:dyDescent="0.25">
      <c r="A391" s="8" t="s">
        <v>1340</v>
      </c>
      <c r="B391" s="8" t="s">
        <v>1676</v>
      </c>
      <c r="C391" s="8" t="s">
        <v>96</v>
      </c>
      <c r="D391" s="8" t="s">
        <v>1127</v>
      </c>
      <c r="E391" s="8" t="s">
        <v>1827</v>
      </c>
      <c r="F391" s="8"/>
    </row>
    <row r="392" spans="1:6" x14ac:dyDescent="0.25">
      <c r="A392" s="8" t="s">
        <v>1340</v>
      </c>
      <c r="B392" s="8" t="s">
        <v>1679</v>
      </c>
      <c r="C392" s="8"/>
      <c r="D392" s="8" t="s">
        <v>78</v>
      </c>
      <c r="E392" s="8" t="s">
        <v>1826</v>
      </c>
      <c r="F392" s="8"/>
    </row>
    <row r="393" spans="1:6" x14ac:dyDescent="0.25">
      <c r="A393" s="8" t="s">
        <v>1343</v>
      </c>
      <c r="B393" s="8" t="s">
        <v>1667</v>
      </c>
      <c r="C393" s="8"/>
      <c r="D393" s="8" t="s">
        <v>44</v>
      </c>
      <c r="E393" s="8" t="s">
        <v>1826</v>
      </c>
      <c r="F393" s="8" t="s">
        <v>1834</v>
      </c>
    </row>
    <row r="394" spans="1:6" x14ac:dyDescent="0.25">
      <c r="A394" s="8" t="s">
        <v>1343</v>
      </c>
      <c r="B394" s="8" t="s">
        <v>1673</v>
      </c>
      <c r="C394" s="8"/>
      <c r="D394" s="8" t="s">
        <v>57</v>
      </c>
      <c r="E394" s="8" t="s">
        <v>1826</v>
      </c>
      <c r="F394" s="8"/>
    </row>
    <row r="395" spans="1:6" x14ac:dyDescent="0.25">
      <c r="A395" s="8" t="s">
        <v>1343</v>
      </c>
      <c r="B395" s="8" t="s">
        <v>1676</v>
      </c>
      <c r="C395" s="8" t="s">
        <v>1348</v>
      </c>
      <c r="D395" s="8" t="s">
        <v>572</v>
      </c>
      <c r="E395" s="8" t="s">
        <v>1828</v>
      </c>
      <c r="F395" s="8"/>
    </row>
    <row r="396" spans="1:6" x14ac:dyDescent="0.25">
      <c r="A396" s="8" t="s">
        <v>1354</v>
      </c>
      <c r="B396" s="8" t="s">
        <v>1667</v>
      </c>
      <c r="C396" s="8"/>
      <c r="D396" s="8" t="s">
        <v>76</v>
      </c>
      <c r="E396" s="8" t="s">
        <v>1826</v>
      </c>
      <c r="F396" s="8"/>
    </row>
    <row r="397" spans="1:6" x14ac:dyDescent="0.25">
      <c r="A397" s="8" t="s">
        <v>1354</v>
      </c>
      <c r="B397" s="8" t="s">
        <v>21</v>
      </c>
      <c r="C397" s="8"/>
      <c r="D397" s="8" t="s">
        <v>331</v>
      </c>
      <c r="E397" s="8" t="s">
        <v>1826</v>
      </c>
      <c r="F397" s="8"/>
    </row>
    <row r="398" spans="1:6" x14ac:dyDescent="0.25">
      <c r="A398" s="8" t="s">
        <v>1356</v>
      </c>
      <c r="B398" s="8" t="s">
        <v>1667</v>
      </c>
      <c r="C398" s="8"/>
      <c r="D398" s="8" t="s">
        <v>44</v>
      </c>
      <c r="E398" s="8" t="s">
        <v>1826</v>
      </c>
      <c r="F398" s="8"/>
    </row>
    <row r="399" spans="1:6" x14ac:dyDescent="0.25">
      <c r="A399" s="8" t="s">
        <v>1356</v>
      </c>
      <c r="B399" s="8" t="s">
        <v>1673</v>
      </c>
      <c r="C399" s="8"/>
      <c r="D399" s="8" t="s">
        <v>57</v>
      </c>
      <c r="E399" s="8" t="s">
        <v>1826</v>
      </c>
      <c r="F399" s="8"/>
    </row>
    <row r="400" spans="1:6" x14ac:dyDescent="0.25">
      <c r="A400" s="8" t="s">
        <v>1356</v>
      </c>
      <c r="B400" s="8" t="s">
        <v>1676</v>
      </c>
      <c r="C400" s="8" t="s">
        <v>77</v>
      </c>
      <c r="D400" s="8" t="s">
        <v>1526</v>
      </c>
      <c r="E400" s="8" t="s">
        <v>1827</v>
      </c>
      <c r="F400" s="8"/>
    </row>
    <row r="401" spans="1:6" x14ac:dyDescent="0.25">
      <c r="A401" s="8" t="s">
        <v>1356</v>
      </c>
      <c r="B401" s="8" t="s">
        <v>1679</v>
      </c>
      <c r="C401" s="8"/>
      <c r="D401" s="8" t="s">
        <v>192</v>
      </c>
      <c r="E401" s="8" t="s">
        <v>1826</v>
      </c>
      <c r="F401" s="8"/>
    </row>
    <row r="402" spans="1:6" x14ac:dyDescent="0.25">
      <c r="A402" s="8" t="s">
        <v>1361</v>
      </c>
      <c r="B402" s="8" t="s">
        <v>1676</v>
      </c>
      <c r="C402" s="8" t="s">
        <v>1362</v>
      </c>
      <c r="D402" s="8" t="s">
        <v>1840</v>
      </c>
      <c r="E402" s="8" t="s">
        <v>1827</v>
      </c>
      <c r="F402" s="8"/>
    </row>
    <row r="403" spans="1:6" x14ac:dyDescent="0.25">
      <c r="A403" s="8" t="s">
        <v>1361</v>
      </c>
      <c r="B403" s="8" t="s">
        <v>1679</v>
      </c>
      <c r="C403" s="8"/>
      <c r="D403" s="8" t="s">
        <v>49</v>
      </c>
      <c r="E403" s="8" t="s">
        <v>1826</v>
      </c>
      <c r="F403" s="8"/>
    </row>
    <row r="404" spans="1:6" x14ac:dyDescent="0.25">
      <c r="A404" s="8" t="s">
        <v>1365</v>
      </c>
      <c r="B404" s="8" t="s">
        <v>1667</v>
      </c>
      <c r="C404" s="8"/>
      <c r="D404" s="8" t="s">
        <v>76</v>
      </c>
      <c r="E404" s="8" t="s">
        <v>1826</v>
      </c>
      <c r="F404" s="8"/>
    </row>
    <row r="405" spans="1:6" x14ac:dyDescent="0.25">
      <c r="A405" s="8" t="s">
        <v>1365</v>
      </c>
      <c r="B405" s="8" t="s">
        <v>1673</v>
      </c>
      <c r="C405" s="8"/>
      <c r="D405" s="8" t="s">
        <v>57</v>
      </c>
      <c r="E405" s="8" t="s">
        <v>1826</v>
      </c>
      <c r="F405" s="8"/>
    </row>
    <row r="406" spans="1:6" x14ac:dyDescent="0.25">
      <c r="A406" s="8" t="s">
        <v>1365</v>
      </c>
      <c r="B406" s="8" t="s">
        <v>1679</v>
      </c>
      <c r="C406" s="8"/>
      <c r="D406" s="8" t="s">
        <v>78</v>
      </c>
      <c r="E406" s="8" t="s">
        <v>1826</v>
      </c>
      <c r="F406" s="8"/>
    </row>
    <row r="407" spans="1:6" x14ac:dyDescent="0.25">
      <c r="A407" s="8" t="s">
        <v>1369</v>
      </c>
      <c r="B407" s="8" t="s">
        <v>1673</v>
      </c>
      <c r="C407" s="8"/>
      <c r="D407" s="8" t="s">
        <v>47</v>
      </c>
      <c r="E407" s="8" t="s">
        <v>1826</v>
      </c>
      <c r="F407" s="8"/>
    </row>
    <row r="408" spans="1:6" x14ac:dyDescent="0.25">
      <c r="A408" s="8" t="s">
        <v>1370</v>
      </c>
      <c r="B408" s="8" t="s">
        <v>1673</v>
      </c>
      <c r="C408" s="8"/>
      <c r="D408" s="8" t="s">
        <v>47</v>
      </c>
      <c r="E408" s="8" t="s">
        <v>1826</v>
      </c>
      <c r="F408" s="8"/>
    </row>
    <row r="409" spans="1:6" x14ac:dyDescent="0.25">
      <c r="A409" s="8" t="s">
        <v>1373</v>
      </c>
      <c r="B409" s="8" t="s">
        <v>1667</v>
      </c>
      <c r="C409" s="8"/>
      <c r="D409" s="8" t="s">
        <v>44</v>
      </c>
      <c r="E409" s="8" t="s">
        <v>1826</v>
      </c>
      <c r="F409" s="8"/>
    </row>
    <row r="410" spans="1:6" x14ac:dyDescent="0.25">
      <c r="A410" s="8" t="s">
        <v>1373</v>
      </c>
      <c r="B410" s="8" t="s">
        <v>1673</v>
      </c>
      <c r="C410" s="8"/>
      <c r="D410" s="8" t="s">
        <v>47</v>
      </c>
      <c r="E410" s="8" t="s">
        <v>1826</v>
      </c>
      <c r="F410" s="8"/>
    </row>
    <row r="411" spans="1:6" x14ac:dyDescent="0.25">
      <c r="A411" s="8" t="s">
        <v>1373</v>
      </c>
      <c r="B411" s="8" t="s">
        <v>1679</v>
      </c>
      <c r="C411" s="8"/>
      <c r="D411" s="8" t="s">
        <v>91</v>
      </c>
      <c r="E411" s="8" t="s">
        <v>1826</v>
      </c>
      <c r="F411" s="8"/>
    </row>
    <row r="412" spans="1:6" x14ac:dyDescent="0.25">
      <c r="A412" s="8" t="s">
        <v>1375</v>
      </c>
      <c r="B412" s="8" t="s">
        <v>1679</v>
      </c>
      <c r="C412" s="8"/>
      <c r="D412" s="8" t="s">
        <v>49</v>
      </c>
      <c r="E412" s="8" t="s">
        <v>1826</v>
      </c>
      <c r="F412" s="8"/>
    </row>
    <row r="413" spans="1:6" x14ac:dyDescent="0.25">
      <c r="A413" s="8" t="s">
        <v>1379</v>
      </c>
      <c r="B413" s="8" t="s">
        <v>1673</v>
      </c>
      <c r="C413" s="8"/>
      <c r="D413" s="8" t="s">
        <v>57</v>
      </c>
      <c r="E413" s="8" t="s">
        <v>1826</v>
      </c>
      <c r="F413" s="8"/>
    </row>
    <row r="414" spans="1:6" x14ac:dyDescent="0.25">
      <c r="A414" s="8" t="s">
        <v>1379</v>
      </c>
      <c r="B414" s="8" t="s">
        <v>1676</v>
      </c>
      <c r="C414" s="8" t="s">
        <v>1123</v>
      </c>
      <c r="D414" s="8" t="s">
        <v>662</v>
      </c>
      <c r="E414" s="8" t="s">
        <v>1827</v>
      </c>
      <c r="F414" s="8"/>
    </row>
    <row r="415" spans="1:6" x14ac:dyDescent="0.25">
      <c r="A415" s="8" t="s">
        <v>1379</v>
      </c>
      <c r="B415" s="8" t="s">
        <v>1679</v>
      </c>
      <c r="C415" s="8" t="s">
        <v>119</v>
      </c>
      <c r="D415" s="8" t="s">
        <v>91</v>
      </c>
      <c r="E415" s="8" t="s">
        <v>1827</v>
      </c>
      <c r="F415" s="8"/>
    </row>
    <row r="416" spans="1:6" x14ac:dyDescent="0.25">
      <c r="A416" s="8" t="s">
        <v>1383</v>
      </c>
      <c r="B416" s="8" t="s">
        <v>1667</v>
      </c>
      <c r="C416" s="8"/>
      <c r="D416" s="8" t="s">
        <v>76</v>
      </c>
      <c r="E416" s="8" t="s">
        <v>1826</v>
      </c>
      <c r="F416" s="8"/>
    </row>
    <row r="417" spans="1:6" x14ac:dyDescent="0.25">
      <c r="A417" s="8" t="s">
        <v>1383</v>
      </c>
      <c r="B417" s="8" t="s">
        <v>1679</v>
      </c>
      <c r="C417" s="8"/>
      <c r="D417" s="8" t="s">
        <v>91</v>
      </c>
      <c r="E417" s="8" t="s">
        <v>1826</v>
      </c>
      <c r="F417" s="8"/>
    </row>
    <row r="418" spans="1:6" x14ac:dyDescent="0.25">
      <c r="A418" s="8" t="s">
        <v>1385</v>
      </c>
      <c r="B418" s="8" t="s">
        <v>1673</v>
      </c>
      <c r="C418" s="8"/>
      <c r="D418" s="8" t="s">
        <v>57</v>
      </c>
      <c r="E418" s="8" t="s">
        <v>1826</v>
      </c>
      <c r="F418" s="8"/>
    </row>
    <row r="419" spans="1:6" x14ac:dyDescent="0.25">
      <c r="A419" s="8" t="s">
        <v>1389</v>
      </c>
      <c r="B419" s="8" t="s">
        <v>1673</v>
      </c>
      <c r="C419" s="8"/>
      <c r="D419" s="8" t="s">
        <v>47</v>
      </c>
      <c r="E419" s="8" t="s">
        <v>1826</v>
      </c>
      <c r="F419" s="8"/>
    </row>
    <row r="420" spans="1:6" x14ac:dyDescent="0.25">
      <c r="A420" s="8" t="s">
        <v>1390</v>
      </c>
      <c r="B420" s="8" t="s">
        <v>1667</v>
      </c>
      <c r="C420" s="8"/>
      <c r="D420" s="8" t="s">
        <v>44</v>
      </c>
      <c r="E420" s="8" t="s">
        <v>1826</v>
      </c>
      <c r="F420" s="8"/>
    </row>
    <row r="421" spans="1:6" x14ac:dyDescent="0.25">
      <c r="A421" s="8" t="s">
        <v>1390</v>
      </c>
      <c r="B421" s="8" t="s">
        <v>1673</v>
      </c>
      <c r="C421" s="8"/>
      <c r="D421" s="8" t="s">
        <v>57</v>
      </c>
      <c r="E421" s="8" t="s">
        <v>1826</v>
      </c>
      <c r="F421" s="8"/>
    </row>
    <row r="422" spans="1:6" x14ac:dyDescent="0.25">
      <c r="A422" s="8" t="s">
        <v>1393</v>
      </c>
      <c r="B422" s="8" t="s">
        <v>1667</v>
      </c>
      <c r="C422" s="8"/>
      <c r="D422" s="8" t="s">
        <v>44</v>
      </c>
      <c r="E422" s="8" t="s">
        <v>1826</v>
      </c>
      <c r="F422" s="8"/>
    </row>
    <row r="423" spans="1:6" x14ac:dyDescent="0.25">
      <c r="A423" s="8" t="s">
        <v>1393</v>
      </c>
      <c r="B423" s="8" t="s">
        <v>1673</v>
      </c>
      <c r="C423" s="8"/>
      <c r="D423" s="8" t="s">
        <v>47</v>
      </c>
      <c r="E423" s="8" t="s">
        <v>1826</v>
      </c>
      <c r="F423" s="8"/>
    </row>
    <row r="424" spans="1:6" x14ac:dyDescent="0.25">
      <c r="A424" s="8" t="s">
        <v>1393</v>
      </c>
      <c r="B424" s="8" t="s">
        <v>1679</v>
      </c>
      <c r="C424" s="8"/>
      <c r="D424" s="8" t="s">
        <v>91</v>
      </c>
      <c r="E424" s="8" t="s">
        <v>1826</v>
      </c>
      <c r="F424" s="8"/>
    </row>
    <row r="425" spans="1:6" x14ac:dyDescent="0.25">
      <c r="A425" s="8" t="s">
        <v>1401</v>
      </c>
      <c r="B425" s="8" t="s">
        <v>1667</v>
      </c>
      <c r="C425" s="8"/>
      <c r="D425" s="8" t="s">
        <v>76</v>
      </c>
      <c r="E425" s="8" t="s">
        <v>1826</v>
      </c>
      <c r="F425" s="8"/>
    </row>
    <row r="426" spans="1:6" x14ac:dyDescent="0.25">
      <c r="A426" s="8" t="s">
        <v>1401</v>
      </c>
      <c r="B426" s="8" t="s">
        <v>1679</v>
      </c>
      <c r="C426" s="8"/>
      <c r="D426" s="8" t="s">
        <v>91</v>
      </c>
      <c r="E426" s="8" t="s">
        <v>1826</v>
      </c>
      <c r="F426" s="8"/>
    </row>
    <row r="427" spans="1:6" x14ac:dyDescent="0.25">
      <c r="A427" s="8" t="s">
        <v>1408</v>
      </c>
      <c r="B427" s="8" t="s">
        <v>1667</v>
      </c>
      <c r="C427" s="8"/>
      <c r="D427" s="8" t="s">
        <v>76</v>
      </c>
      <c r="E427" s="8" t="s">
        <v>1826</v>
      </c>
      <c r="F427" s="8"/>
    </row>
    <row r="428" spans="1:6" x14ac:dyDescent="0.25">
      <c r="A428" s="8" t="s">
        <v>1408</v>
      </c>
      <c r="B428" s="8" t="s">
        <v>1676</v>
      </c>
      <c r="C428" s="8"/>
      <c r="D428" s="8" t="s">
        <v>77</v>
      </c>
      <c r="E428" s="8" t="s">
        <v>1826</v>
      </c>
      <c r="F428" s="8"/>
    </row>
    <row r="429" spans="1:6" x14ac:dyDescent="0.25">
      <c r="A429" s="8" t="s">
        <v>1408</v>
      </c>
      <c r="B429" s="8" t="s">
        <v>1679</v>
      </c>
      <c r="C429" s="8"/>
      <c r="D429" s="8" t="s">
        <v>71</v>
      </c>
      <c r="E429" s="8" t="s">
        <v>1826</v>
      </c>
      <c r="F429" s="8"/>
    </row>
    <row r="430" spans="1:6" x14ac:dyDescent="0.25">
      <c r="A430" s="8" t="s">
        <v>1411</v>
      </c>
      <c r="B430" s="8" t="s">
        <v>1679</v>
      </c>
      <c r="C430" s="8" t="s">
        <v>192</v>
      </c>
      <c r="D430" s="8" t="s">
        <v>72</v>
      </c>
      <c r="E430" s="8" t="s">
        <v>1827</v>
      </c>
      <c r="F430" s="8"/>
    </row>
    <row r="431" spans="1:6" x14ac:dyDescent="0.25">
      <c r="A431" s="8" t="s">
        <v>1416</v>
      </c>
      <c r="B431" s="8" t="s">
        <v>1667</v>
      </c>
      <c r="C431" s="8"/>
      <c r="D431" s="8" t="s">
        <v>44</v>
      </c>
      <c r="E431" s="8" t="s">
        <v>1826</v>
      </c>
      <c r="F431" s="8"/>
    </row>
    <row r="432" spans="1:6" x14ac:dyDescent="0.25">
      <c r="A432" s="8" t="s">
        <v>1433</v>
      </c>
      <c r="B432" s="8" t="s">
        <v>1667</v>
      </c>
      <c r="C432" s="8"/>
      <c r="D432" s="8" t="s">
        <v>76</v>
      </c>
      <c r="E432" s="8" t="s">
        <v>1826</v>
      </c>
      <c r="F432" s="8" t="s">
        <v>1834</v>
      </c>
    </row>
    <row r="433" spans="1:6" x14ac:dyDescent="0.25">
      <c r="A433" s="8" t="s">
        <v>1433</v>
      </c>
      <c r="B433" s="8" t="s">
        <v>1676</v>
      </c>
      <c r="C433" s="8" t="s">
        <v>1438</v>
      </c>
      <c r="D433" s="8" t="s">
        <v>271</v>
      </c>
      <c r="E433" s="8" t="s">
        <v>1828</v>
      </c>
      <c r="F433" s="8"/>
    </row>
    <row r="434" spans="1:6" x14ac:dyDescent="0.25">
      <c r="A434" s="8" t="s">
        <v>1440</v>
      </c>
      <c r="B434" s="8" t="s">
        <v>1676</v>
      </c>
      <c r="C434" s="8" t="s">
        <v>58</v>
      </c>
      <c r="D434" s="8" t="s">
        <v>284</v>
      </c>
      <c r="E434" s="8" t="s">
        <v>1827</v>
      </c>
      <c r="F434" s="8"/>
    </row>
    <row r="435" spans="1:6" x14ac:dyDescent="0.25">
      <c r="A435" s="8" t="s">
        <v>1467</v>
      </c>
      <c r="B435" s="8" t="s">
        <v>1667</v>
      </c>
      <c r="C435" s="8"/>
      <c r="D435" s="8" t="s">
        <v>76</v>
      </c>
      <c r="E435" s="8" t="s">
        <v>1826</v>
      </c>
      <c r="F435" s="8"/>
    </row>
    <row r="436" spans="1:6" x14ac:dyDescent="0.25">
      <c r="A436" s="8" t="s">
        <v>1468</v>
      </c>
      <c r="B436" s="8" t="s">
        <v>1667</v>
      </c>
      <c r="C436" s="8"/>
      <c r="D436" s="8" t="s">
        <v>44</v>
      </c>
      <c r="E436" s="8" t="s">
        <v>1826</v>
      </c>
      <c r="F436" s="8"/>
    </row>
    <row r="437" spans="1:6" x14ac:dyDescent="0.25">
      <c r="A437" s="8" t="s">
        <v>1468</v>
      </c>
      <c r="B437" s="8" t="s">
        <v>1679</v>
      </c>
      <c r="C437" s="8"/>
      <c r="D437" s="8" t="s">
        <v>119</v>
      </c>
      <c r="E437" s="8" t="s">
        <v>1826</v>
      </c>
      <c r="F437" s="8"/>
    </row>
    <row r="438" spans="1:6" x14ac:dyDescent="0.25">
      <c r="A438" s="8" t="s">
        <v>1475</v>
      </c>
      <c r="B438" s="8" t="s">
        <v>1667</v>
      </c>
      <c r="C438" s="8"/>
      <c r="D438" s="8" t="s">
        <v>44</v>
      </c>
      <c r="E438" s="8" t="s">
        <v>1826</v>
      </c>
      <c r="F438" s="8"/>
    </row>
    <row r="439" spans="1:6" x14ac:dyDescent="0.25">
      <c r="A439" s="8" t="s">
        <v>1475</v>
      </c>
      <c r="B439" s="8" t="s">
        <v>1679</v>
      </c>
      <c r="C439" s="8"/>
      <c r="D439" s="8" t="s">
        <v>192</v>
      </c>
      <c r="E439" s="8" t="s">
        <v>1826</v>
      </c>
      <c r="F439" s="8"/>
    </row>
    <row r="440" spans="1:6" x14ac:dyDescent="0.25">
      <c r="A440" s="8" t="s">
        <v>1478</v>
      </c>
      <c r="B440" s="8" t="s">
        <v>1667</v>
      </c>
      <c r="C440" s="8"/>
      <c r="D440" s="8" t="s">
        <v>44</v>
      </c>
      <c r="E440" s="8" t="s">
        <v>1826</v>
      </c>
      <c r="F440" s="8"/>
    </row>
    <row r="441" spans="1:6" x14ac:dyDescent="0.25">
      <c r="A441" s="8" t="s">
        <v>1478</v>
      </c>
      <c r="B441" s="8" t="s">
        <v>1673</v>
      </c>
      <c r="C441" s="8"/>
      <c r="D441" s="8" t="s">
        <v>57</v>
      </c>
      <c r="E441" s="8" t="s">
        <v>1826</v>
      </c>
      <c r="F441" s="8"/>
    </row>
    <row r="442" spans="1:6" x14ac:dyDescent="0.25">
      <c r="A442" s="8" t="s">
        <v>1479</v>
      </c>
      <c r="B442" s="8" t="s">
        <v>1667</v>
      </c>
      <c r="C442" s="8"/>
      <c r="D442" s="8" t="s">
        <v>76</v>
      </c>
      <c r="E442" s="8" t="s">
        <v>1826</v>
      </c>
      <c r="F442" s="8"/>
    </row>
    <row r="443" spans="1:6" x14ac:dyDescent="0.25">
      <c r="A443" s="8" t="s">
        <v>1479</v>
      </c>
      <c r="B443" s="8" t="s">
        <v>1676</v>
      </c>
      <c r="C443" s="8" t="s">
        <v>115</v>
      </c>
      <c r="D443" s="8" t="s">
        <v>77</v>
      </c>
      <c r="E443" s="8" t="s">
        <v>1828</v>
      </c>
      <c r="F443" s="8"/>
    </row>
    <row r="444" spans="1:6" x14ac:dyDescent="0.25">
      <c r="A444" s="8" t="s">
        <v>1481</v>
      </c>
      <c r="B444" s="8" t="s">
        <v>1673</v>
      </c>
      <c r="C444" s="8"/>
      <c r="D444" s="8" t="s">
        <v>47</v>
      </c>
      <c r="E444" s="8" t="s">
        <v>1826</v>
      </c>
      <c r="F444" s="8"/>
    </row>
    <row r="445" spans="1:6" x14ac:dyDescent="0.25">
      <c r="A445" s="8" t="s">
        <v>1487</v>
      </c>
      <c r="B445" s="8" t="s">
        <v>1667</v>
      </c>
      <c r="C445" s="8"/>
      <c r="D445" s="8" t="s">
        <v>44</v>
      </c>
      <c r="E445" s="8" t="s">
        <v>1826</v>
      </c>
      <c r="F445" s="8"/>
    </row>
    <row r="446" spans="1:6" x14ac:dyDescent="0.25">
      <c r="A446" s="8" t="s">
        <v>1488</v>
      </c>
      <c r="B446" s="8" t="s">
        <v>1667</v>
      </c>
      <c r="C446" s="8"/>
      <c r="D446" s="8" t="s">
        <v>44</v>
      </c>
      <c r="E446" s="8" t="s">
        <v>1826</v>
      </c>
      <c r="F446" s="8" t="s">
        <v>1834</v>
      </c>
    </row>
    <row r="447" spans="1:6" x14ac:dyDescent="0.25">
      <c r="A447" s="8" t="s">
        <v>1488</v>
      </c>
      <c r="B447" s="8" t="s">
        <v>1676</v>
      </c>
      <c r="C447" s="8" t="s">
        <v>645</v>
      </c>
      <c r="D447" s="8" t="s">
        <v>83</v>
      </c>
      <c r="E447" s="8" t="s">
        <v>1827</v>
      </c>
      <c r="F447" s="8"/>
    </row>
    <row r="448" spans="1:6" x14ac:dyDescent="0.25">
      <c r="A448" s="8" t="s">
        <v>1488</v>
      </c>
      <c r="B448" s="8" t="s">
        <v>1679</v>
      </c>
      <c r="C448" s="8"/>
      <c r="D448" s="8" t="s">
        <v>192</v>
      </c>
      <c r="E448" s="8" t="s">
        <v>1826</v>
      </c>
      <c r="F448" s="8"/>
    </row>
    <row r="449" spans="1:6" x14ac:dyDescent="0.25">
      <c r="A449" s="8" t="s">
        <v>1491</v>
      </c>
      <c r="B449" s="8" t="s">
        <v>1667</v>
      </c>
      <c r="C449" s="8"/>
      <c r="D449" s="8" t="s">
        <v>76</v>
      </c>
      <c r="E449" s="8" t="s">
        <v>1826</v>
      </c>
      <c r="F449" s="8"/>
    </row>
    <row r="450" spans="1:6" x14ac:dyDescent="0.25">
      <c r="A450" s="8" t="s">
        <v>1491</v>
      </c>
      <c r="B450" s="8" t="s">
        <v>1673</v>
      </c>
      <c r="C450" s="8"/>
      <c r="D450" s="8" t="s">
        <v>47</v>
      </c>
      <c r="E450" s="8" t="s">
        <v>1826</v>
      </c>
      <c r="F450" s="8"/>
    </row>
    <row r="451" spans="1:6" x14ac:dyDescent="0.25">
      <c r="A451" s="8" t="s">
        <v>1496</v>
      </c>
      <c r="B451" s="8" t="s">
        <v>1667</v>
      </c>
      <c r="C451" s="8"/>
      <c r="D451" s="8" t="s">
        <v>44</v>
      </c>
      <c r="E451" s="8" t="s">
        <v>1826</v>
      </c>
      <c r="F451" s="8"/>
    </row>
    <row r="452" spans="1:6" x14ac:dyDescent="0.25">
      <c r="A452" s="8" t="s">
        <v>1499</v>
      </c>
      <c r="B452" s="8" t="s">
        <v>1667</v>
      </c>
      <c r="C452" s="8"/>
      <c r="D452" s="8" t="s">
        <v>44</v>
      </c>
      <c r="E452" s="8" t="s">
        <v>1826</v>
      </c>
      <c r="F452" s="8"/>
    </row>
    <row r="453" spans="1:6" x14ac:dyDescent="0.25">
      <c r="A453" s="8" t="s">
        <v>1499</v>
      </c>
      <c r="B453" s="8" t="s">
        <v>1676</v>
      </c>
      <c r="C453" s="8" t="s">
        <v>96</v>
      </c>
      <c r="D453" s="8" t="s">
        <v>1127</v>
      </c>
      <c r="E453" s="8" t="s">
        <v>1827</v>
      </c>
      <c r="F453" s="8"/>
    </row>
    <row r="454" spans="1:6" x14ac:dyDescent="0.25">
      <c r="A454" s="8" t="s">
        <v>1499</v>
      </c>
      <c r="B454" s="8" t="s">
        <v>1679</v>
      </c>
      <c r="C454" s="8"/>
      <c r="D454" s="8" t="s">
        <v>91</v>
      </c>
      <c r="E454" s="8" t="s">
        <v>1826</v>
      </c>
      <c r="F454" s="8"/>
    </row>
    <row r="455" spans="1:6" x14ac:dyDescent="0.25">
      <c r="A455" s="8" t="s">
        <v>1503</v>
      </c>
      <c r="B455" s="8" t="s">
        <v>1667</v>
      </c>
      <c r="C455" s="8"/>
      <c r="D455" s="8" t="s">
        <v>76</v>
      </c>
      <c r="E455" s="8" t="s">
        <v>1826</v>
      </c>
      <c r="F455" s="8"/>
    </row>
    <row r="456" spans="1:6" x14ac:dyDescent="0.25">
      <c r="A456" s="8" t="s">
        <v>1506</v>
      </c>
      <c r="B456" s="8" t="s">
        <v>1667</v>
      </c>
      <c r="C456" s="8"/>
      <c r="D456" s="8" t="s">
        <v>44</v>
      </c>
      <c r="E456" s="8" t="s">
        <v>1826</v>
      </c>
      <c r="F456" s="8"/>
    </row>
    <row r="457" spans="1:6" x14ac:dyDescent="0.25">
      <c r="A457" s="8" t="s">
        <v>1506</v>
      </c>
      <c r="B457" s="8" t="s">
        <v>1673</v>
      </c>
      <c r="C457" s="8"/>
      <c r="D457" s="8" t="s">
        <v>47</v>
      </c>
      <c r="E457" s="8" t="s">
        <v>1826</v>
      </c>
      <c r="F457" s="8"/>
    </row>
    <row r="458" spans="1:6" x14ac:dyDescent="0.25">
      <c r="A458" s="8" t="s">
        <v>1511</v>
      </c>
      <c r="B458" s="8" t="s">
        <v>21</v>
      </c>
      <c r="C458" s="8" t="s">
        <v>45</v>
      </c>
      <c r="D458" s="8" t="s">
        <v>331</v>
      </c>
      <c r="E458" s="8" t="s">
        <v>1833</v>
      </c>
      <c r="F458" s="8"/>
    </row>
    <row r="459" spans="1:6" x14ac:dyDescent="0.25">
      <c r="A459" s="8" t="s">
        <v>1515</v>
      </c>
      <c r="B459" s="8" t="s">
        <v>1667</v>
      </c>
      <c r="C459" s="8"/>
      <c r="D459" s="8" t="s">
        <v>44</v>
      </c>
      <c r="E459" s="8" t="s">
        <v>1826</v>
      </c>
      <c r="F459" s="8"/>
    </row>
    <row r="460" spans="1:6" x14ac:dyDescent="0.25">
      <c r="A460" s="8" t="s">
        <v>1515</v>
      </c>
      <c r="B460" s="8" t="s">
        <v>1673</v>
      </c>
      <c r="C460" s="8"/>
      <c r="D460" s="8" t="s">
        <v>57</v>
      </c>
      <c r="E460" s="8" t="s">
        <v>1826</v>
      </c>
      <c r="F460" s="8"/>
    </row>
    <row r="461" spans="1:6" x14ac:dyDescent="0.25">
      <c r="A461" s="8" t="s">
        <v>1515</v>
      </c>
      <c r="B461" s="8" t="s">
        <v>1679</v>
      </c>
      <c r="C461" s="8" t="s">
        <v>119</v>
      </c>
      <c r="D461" s="8" t="s">
        <v>91</v>
      </c>
      <c r="E461" s="8" t="s">
        <v>1827</v>
      </c>
      <c r="F461" s="8"/>
    </row>
    <row r="462" spans="1:6" x14ac:dyDescent="0.25">
      <c r="A462" s="8" t="s">
        <v>1522</v>
      </c>
      <c r="B462" s="8" t="s">
        <v>1667</v>
      </c>
      <c r="C462" s="8"/>
      <c r="D462" s="8" t="s">
        <v>44</v>
      </c>
      <c r="E462" s="8" t="s">
        <v>1826</v>
      </c>
      <c r="F462" s="8"/>
    </row>
    <row r="463" spans="1:6" x14ac:dyDescent="0.25">
      <c r="A463" s="8" t="s">
        <v>1362</v>
      </c>
      <c r="B463" s="8" t="s">
        <v>1667</v>
      </c>
      <c r="C463" s="8"/>
      <c r="D463" s="8" t="s">
        <v>44</v>
      </c>
      <c r="E463" s="8" t="s">
        <v>1826</v>
      </c>
      <c r="F463" s="8"/>
    </row>
    <row r="464" spans="1:6" x14ac:dyDescent="0.25">
      <c r="A464" s="8" t="s">
        <v>1362</v>
      </c>
      <c r="B464" s="8" t="s">
        <v>1676</v>
      </c>
      <c r="C464" s="8"/>
      <c r="D464" s="8" t="s">
        <v>1526</v>
      </c>
      <c r="E464" s="8" t="s">
        <v>1826</v>
      </c>
      <c r="F464" s="8"/>
    </row>
    <row r="465" spans="1:6" x14ac:dyDescent="0.25">
      <c r="A465" s="8" t="s">
        <v>1362</v>
      </c>
      <c r="B465" s="8" t="s">
        <v>1679</v>
      </c>
      <c r="C465" s="8"/>
      <c r="D465" s="8" t="s">
        <v>192</v>
      </c>
      <c r="E465" s="8" t="s">
        <v>1826</v>
      </c>
      <c r="F465" s="8"/>
    </row>
    <row r="466" spans="1:6" x14ac:dyDescent="0.25">
      <c r="A466" s="8" t="s">
        <v>1529</v>
      </c>
      <c r="B466" s="8" t="s">
        <v>1676</v>
      </c>
      <c r="C466" s="8" t="s">
        <v>83</v>
      </c>
      <c r="D466" s="8" t="s">
        <v>77</v>
      </c>
      <c r="E466" s="8" t="s">
        <v>1827</v>
      </c>
      <c r="F466" s="8"/>
    </row>
    <row r="467" spans="1:6" x14ac:dyDescent="0.25">
      <c r="A467" s="8" t="s">
        <v>1542</v>
      </c>
      <c r="B467" s="8" t="s">
        <v>1667</v>
      </c>
      <c r="C467" s="8"/>
      <c r="D467" s="8" t="s">
        <v>76</v>
      </c>
      <c r="E467" s="8" t="s">
        <v>1826</v>
      </c>
      <c r="F467" s="8"/>
    </row>
    <row r="468" spans="1:6" x14ac:dyDescent="0.25">
      <c r="A468" s="8" t="s">
        <v>1542</v>
      </c>
      <c r="B468" s="8" t="s">
        <v>1679</v>
      </c>
      <c r="C468" s="8"/>
      <c r="D468" s="8" t="s">
        <v>192</v>
      </c>
      <c r="E468" s="8" t="s">
        <v>1826</v>
      </c>
      <c r="F468" s="8"/>
    </row>
    <row r="469" spans="1:6" x14ac:dyDescent="0.25">
      <c r="A469" s="8" t="s">
        <v>1549</v>
      </c>
      <c r="B469" s="8" t="s">
        <v>1667</v>
      </c>
      <c r="C469" s="8"/>
      <c r="D469" s="8" t="s">
        <v>44</v>
      </c>
      <c r="E469" s="8" t="s">
        <v>1826</v>
      </c>
      <c r="F469" s="8"/>
    </row>
    <row r="470" spans="1:6" x14ac:dyDescent="0.25">
      <c r="A470" s="8" t="s">
        <v>1549</v>
      </c>
      <c r="B470" s="8" t="s">
        <v>1679</v>
      </c>
      <c r="C470" s="8"/>
      <c r="D470" s="8" t="s">
        <v>91</v>
      </c>
      <c r="E470" s="8" t="s">
        <v>1826</v>
      </c>
      <c r="F470" s="8"/>
    </row>
    <row r="471" spans="1:6" x14ac:dyDescent="0.25">
      <c r="A471" s="8" t="s">
        <v>1556</v>
      </c>
      <c r="B471" s="8" t="s">
        <v>1667</v>
      </c>
      <c r="C471" s="8"/>
      <c r="D471" s="8" t="s">
        <v>44</v>
      </c>
      <c r="E471" s="8" t="s">
        <v>1826</v>
      </c>
      <c r="F471" s="8"/>
    </row>
    <row r="472" spans="1:6" x14ac:dyDescent="0.25">
      <c r="A472" s="8" t="s">
        <v>1561</v>
      </c>
      <c r="B472" s="8" t="s">
        <v>1667</v>
      </c>
      <c r="C472" s="8"/>
      <c r="D472" s="8" t="s">
        <v>44</v>
      </c>
      <c r="E472" s="8" t="s">
        <v>1826</v>
      </c>
      <c r="F472" s="8"/>
    </row>
    <row r="473" spans="1:6" x14ac:dyDescent="0.25">
      <c r="A473" s="8" t="s">
        <v>1578</v>
      </c>
      <c r="B473" s="8" t="s">
        <v>1667</v>
      </c>
      <c r="C473" s="8"/>
      <c r="D473" s="8" t="s">
        <v>44</v>
      </c>
      <c r="E473" s="8" t="s">
        <v>1826</v>
      </c>
      <c r="F473" s="8"/>
    </row>
    <row r="474" spans="1:6" x14ac:dyDescent="0.25">
      <c r="A474" s="8" t="s">
        <v>1578</v>
      </c>
      <c r="B474" s="8" t="s">
        <v>1673</v>
      </c>
      <c r="C474" s="8"/>
      <c r="D474" s="8" t="s">
        <v>47</v>
      </c>
      <c r="E474" s="8" t="s">
        <v>1826</v>
      </c>
      <c r="F474" s="8"/>
    </row>
    <row r="475" spans="1:6" x14ac:dyDescent="0.25">
      <c r="A475" s="8" t="s">
        <v>1578</v>
      </c>
      <c r="B475" s="8" t="s">
        <v>1679</v>
      </c>
      <c r="C475" s="8"/>
      <c r="D475" s="8" t="s">
        <v>72</v>
      </c>
      <c r="E475" s="8" t="s">
        <v>1826</v>
      </c>
      <c r="F475" s="8"/>
    </row>
    <row r="476" spans="1:6" x14ac:dyDescent="0.25">
      <c r="A476" s="8" t="s">
        <v>1583</v>
      </c>
      <c r="B476" s="8" t="s">
        <v>1673</v>
      </c>
      <c r="C476" s="8"/>
      <c r="D476" s="8" t="s">
        <v>47</v>
      </c>
      <c r="E476" s="8" t="s">
        <v>1826</v>
      </c>
      <c r="F476" s="8"/>
    </row>
    <row r="477" spans="1:6" x14ac:dyDescent="0.25">
      <c r="A477" s="8" t="s">
        <v>1589</v>
      </c>
      <c r="B477" s="8" t="s">
        <v>1667</v>
      </c>
      <c r="C477" s="8"/>
      <c r="D477" s="8" t="s">
        <v>76</v>
      </c>
      <c r="E477" s="8" t="s">
        <v>1826</v>
      </c>
      <c r="F477" s="8"/>
    </row>
    <row r="478" spans="1:6" x14ac:dyDescent="0.25">
      <c r="A478" s="8" t="s">
        <v>1589</v>
      </c>
      <c r="B478" s="8" t="s">
        <v>1679</v>
      </c>
      <c r="C478" s="8"/>
      <c r="D478" s="8" t="s">
        <v>192</v>
      </c>
      <c r="E478" s="8" t="s">
        <v>1826</v>
      </c>
      <c r="F478" s="8"/>
    </row>
    <row r="479" spans="1:6" x14ac:dyDescent="0.25">
      <c r="A479" s="8" t="s">
        <v>1591</v>
      </c>
      <c r="B479" s="8" t="s">
        <v>1667</v>
      </c>
      <c r="C479" s="8"/>
      <c r="D479" s="8" t="s">
        <v>76</v>
      </c>
      <c r="E479" s="8" t="s">
        <v>1826</v>
      </c>
      <c r="F479" s="8"/>
    </row>
    <row r="480" spans="1:6" x14ac:dyDescent="0.25">
      <c r="A480" s="8" t="s">
        <v>1591</v>
      </c>
      <c r="B480" s="8" t="s">
        <v>1673</v>
      </c>
      <c r="C480" s="8"/>
      <c r="D480" s="8" t="s">
        <v>57</v>
      </c>
      <c r="E480" s="8" t="s">
        <v>1826</v>
      </c>
      <c r="F480" s="8"/>
    </row>
    <row r="481" spans="1:6" x14ac:dyDescent="0.25">
      <c r="A481" s="8" t="s">
        <v>1593</v>
      </c>
      <c r="B481" s="8" t="s">
        <v>1673</v>
      </c>
      <c r="C481" s="8"/>
      <c r="D481" s="8" t="s">
        <v>57</v>
      </c>
      <c r="E481" s="8" t="s">
        <v>1826</v>
      </c>
      <c r="F481" s="8"/>
    </row>
    <row r="482" spans="1:6" x14ac:dyDescent="0.25">
      <c r="A482" s="8" t="s">
        <v>1593</v>
      </c>
      <c r="B482" s="8" t="s">
        <v>1679</v>
      </c>
      <c r="C482" s="8" t="s">
        <v>192</v>
      </c>
      <c r="D482" s="8" t="s">
        <v>193</v>
      </c>
      <c r="E482" s="8" t="s">
        <v>1827</v>
      </c>
      <c r="F482" s="8"/>
    </row>
    <row r="483" spans="1:6" x14ac:dyDescent="0.25">
      <c r="A483" s="8" t="s">
        <v>756</v>
      </c>
      <c r="B483" s="8" t="s">
        <v>1676</v>
      </c>
      <c r="C483" s="8" t="s">
        <v>58</v>
      </c>
      <c r="D483" s="8" t="s">
        <v>1322</v>
      </c>
      <c r="E483" s="8" t="s">
        <v>1827</v>
      </c>
      <c r="F483" s="8"/>
    </row>
    <row r="484" spans="1:6" x14ac:dyDescent="0.25">
      <c r="A484" s="8" t="s">
        <v>1598</v>
      </c>
      <c r="B484" s="8" t="s">
        <v>1667</v>
      </c>
      <c r="C484" s="8"/>
      <c r="D484" s="8" t="s">
        <v>76</v>
      </c>
      <c r="E484" s="8" t="s">
        <v>1826</v>
      </c>
      <c r="F484" s="8"/>
    </row>
    <row r="485" spans="1:6" x14ac:dyDescent="0.25">
      <c r="A485" s="8" t="s">
        <v>1598</v>
      </c>
      <c r="B485" s="8" t="s">
        <v>1676</v>
      </c>
      <c r="C485" s="8" t="s">
        <v>77</v>
      </c>
      <c r="D485" s="8" t="s">
        <v>83</v>
      </c>
      <c r="E485" s="8" t="s">
        <v>1827</v>
      </c>
      <c r="F485" s="8"/>
    </row>
    <row r="486" spans="1:6" x14ac:dyDescent="0.25">
      <c r="A486" s="8" t="s">
        <v>1598</v>
      </c>
      <c r="B486" s="8" t="s">
        <v>1679</v>
      </c>
      <c r="C486" s="8"/>
      <c r="D486" s="8" t="s">
        <v>72</v>
      </c>
      <c r="E486" s="8" t="s">
        <v>1826</v>
      </c>
      <c r="F486" s="8"/>
    </row>
    <row r="487" spans="1:6" x14ac:dyDescent="0.25">
      <c r="A487" s="8" t="s">
        <v>1612</v>
      </c>
      <c r="B487" s="8" t="s">
        <v>1667</v>
      </c>
      <c r="C487" s="8"/>
      <c r="D487" s="8" t="s">
        <v>44</v>
      </c>
      <c r="E487" s="8" t="s">
        <v>1826</v>
      </c>
      <c r="F487" s="8"/>
    </row>
    <row r="488" spans="1:6" x14ac:dyDescent="0.25">
      <c r="A488" s="8" t="s">
        <v>1612</v>
      </c>
      <c r="B488" s="8" t="s">
        <v>1679</v>
      </c>
      <c r="C488" s="8"/>
      <c r="D488" s="8" t="s">
        <v>91</v>
      </c>
      <c r="E488" s="8" t="s">
        <v>1826</v>
      </c>
      <c r="F488" s="8"/>
    </row>
    <row r="489" spans="1:6" x14ac:dyDescent="0.25">
      <c r="A489" s="8" t="s">
        <v>1614</v>
      </c>
      <c r="B489" s="8" t="s">
        <v>1667</v>
      </c>
      <c r="C489" s="8"/>
      <c r="D489" s="8" t="s">
        <v>44</v>
      </c>
      <c r="E489" s="8" t="s">
        <v>1826</v>
      </c>
      <c r="F489" s="8"/>
    </row>
    <row r="490" spans="1:6" x14ac:dyDescent="0.25">
      <c r="A490" s="8" t="s">
        <v>1614</v>
      </c>
      <c r="B490" s="8" t="s">
        <v>1673</v>
      </c>
      <c r="C490" s="8"/>
      <c r="D490" s="8" t="s">
        <v>57</v>
      </c>
      <c r="E490" s="8" t="s">
        <v>1826</v>
      </c>
      <c r="F490" s="8"/>
    </row>
    <row r="491" spans="1:6" x14ac:dyDescent="0.25">
      <c r="A491" s="8" t="s">
        <v>1614</v>
      </c>
      <c r="B491" s="8" t="s">
        <v>1676</v>
      </c>
      <c r="C491" s="8" t="s">
        <v>96</v>
      </c>
      <c r="D491" s="8" t="s">
        <v>1127</v>
      </c>
      <c r="E491" s="8" t="s">
        <v>1827</v>
      </c>
      <c r="F491" s="8"/>
    </row>
    <row r="492" spans="1:6" x14ac:dyDescent="0.25">
      <c r="A492" s="8" t="s">
        <v>1614</v>
      </c>
      <c r="B492" s="8" t="s">
        <v>1679</v>
      </c>
      <c r="C492" s="8"/>
      <c r="D492" s="8" t="s">
        <v>133</v>
      </c>
      <c r="E492" s="8" t="s">
        <v>1826</v>
      </c>
      <c r="F492" s="8"/>
    </row>
    <row r="493" spans="1:6" x14ac:dyDescent="0.25">
      <c r="A493" s="8" t="s">
        <v>1616</v>
      </c>
      <c r="B493" s="8" t="s">
        <v>1667</v>
      </c>
      <c r="C493" s="8"/>
      <c r="D493" s="8" t="s">
        <v>76</v>
      </c>
      <c r="E493" s="8" t="s">
        <v>1826</v>
      </c>
      <c r="F493" s="8"/>
    </row>
    <row r="494" spans="1:6" x14ac:dyDescent="0.25">
      <c r="A494" s="8" t="s">
        <v>1621</v>
      </c>
      <c r="B494" s="8" t="s">
        <v>1676</v>
      </c>
      <c r="C494" s="8" t="s">
        <v>1625</v>
      </c>
      <c r="D494" s="8" t="s">
        <v>83</v>
      </c>
      <c r="E494" s="8" t="s">
        <v>1828</v>
      </c>
      <c r="F494" s="8"/>
    </row>
    <row r="495" spans="1:6" x14ac:dyDescent="0.25">
      <c r="A495" s="8" t="s">
        <v>1627</v>
      </c>
      <c r="B495" s="8" t="s">
        <v>1673</v>
      </c>
      <c r="C495" s="8"/>
      <c r="D495" s="8" t="s">
        <v>47</v>
      </c>
      <c r="E495" s="8" t="s">
        <v>1826</v>
      </c>
      <c r="F495" s="8"/>
    </row>
    <row r="496" spans="1:6" x14ac:dyDescent="0.25">
      <c r="A496" s="8" t="s">
        <v>1628</v>
      </c>
      <c r="B496" s="8" t="s">
        <v>1667</v>
      </c>
      <c r="C496" s="8"/>
      <c r="D496" s="8" t="s">
        <v>76</v>
      </c>
      <c r="E496" s="8" t="s">
        <v>1826</v>
      </c>
      <c r="F496" s="8"/>
    </row>
    <row r="497" spans="1:6" x14ac:dyDescent="0.25">
      <c r="A497" s="8" t="s">
        <v>1630</v>
      </c>
      <c r="B497" s="8" t="s">
        <v>1667</v>
      </c>
      <c r="C497" s="8"/>
      <c r="D497" s="8" t="s">
        <v>76</v>
      </c>
      <c r="E497" s="8" t="s">
        <v>1826</v>
      </c>
      <c r="F497" s="8"/>
    </row>
    <row r="498" spans="1:6" x14ac:dyDescent="0.25">
      <c r="A498" s="8" t="s">
        <v>1633</v>
      </c>
      <c r="B498" s="8" t="s">
        <v>1667</v>
      </c>
      <c r="C498" s="8"/>
      <c r="D498" s="8" t="s">
        <v>44</v>
      </c>
      <c r="E498" s="8" t="s">
        <v>1826</v>
      </c>
      <c r="F498" s="8"/>
    </row>
    <row r="499" spans="1:6" x14ac:dyDescent="0.25">
      <c r="A499" s="8" t="s">
        <v>1633</v>
      </c>
      <c r="B499" s="8" t="s">
        <v>1676</v>
      </c>
      <c r="C499" s="8" t="s">
        <v>58</v>
      </c>
      <c r="D499" s="8" t="s">
        <v>1088</v>
      </c>
      <c r="E499" s="8" t="s">
        <v>1827</v>
      </c>
      <c r="F499" s="8"/>
    </row>
    <row r="500" spans="1:6" x14ac:dyDescent="0.25">
      <c r="A500" s="8" t="s">
        <v>1633</v>
      </c>
      <c r="B500" s="8" t="s">
        <v>1679</v>
      </c>
      <c r="C500" s="8"/>
      <c r="D500" s="8" t="s">
        <v>49</v>
      </c>
      <c r="E500" s="8" t="s">
        <v>1826</v>
      </c>
      <c r="F500" s="8"/>
    </row>
    <row r="501" spans="1:6" x14ac:dyDescent="0.25">
      <c r="A501" s="8" t="s">
        <v>1433</v>
      </c>
      <c r="B501" s="8" t="s">
        <v>1673</v>
      </c>
      <c r="C501" s="8"/>
      <c r="D501" s="8" t="s">
        <v>57</v>
      </c>
      <c r="E501" s="8" t="s">
        <v>1826</v>
      </c>
      <c r="F501" s="8"/>
    </row>
    <row r="502" spans="1:6" x14ac:dyDescent="0.25">
      <c r="A502" s="8" t="s">
        <v>1433</v>
      </c>
      <c r="B502" s="8" t="s">
        <v>1676</v>
      </c>
      <c r="C502" s="8" t="s">
        <v>271</v>
      </c>
      <c r="D502" s="8" t="s">
        <v>83</v>
      </c>
      <c r="E502" s="8" t="s">
        <v>1827</v>
      </c>
      <c r="F502" s="8"/>
    </row>
    <row r="503" spans="1:6" x14ac:dyDescent="0.25">
      <c r="A503" s="8" t="s">
        <v>1638</v>
      </c>
      <c r="B503" s="8" t="s">
        <v>1673</v>
      </c>
      <c r="C503" s="8"/>
      <c r="D503" s="8" t="s">
        <v>57</v>
      </c>
      <c r="E503" s="8" t="s">
        <v>1826</v>
      </c>
      <c r="F503" s="8"/>
    </row>
    <row r="504" spans="1:6" x14ac:dyDescent="0.25">
      <c r="A504" s="8" t="s">
        <v>1638</v>
      </c>
      <c r="B504" s="8" t="s">
        <v>1676</v>
      </c>
      <c r="C504" s="8" t="s">
        <v>746</v>
      </c>
      <c r="D504" s="8" t="s">
        <v>332</v>
      </c>
      <c r="E504" s="8" t="s">
        <v>1828</v>
      </c>
      <c r="F504" s="8"/>
    </row>
    <row r="505" spans="1:6" x14ac:dyDescent="0.25">
      <c r="A505" s="8" t="s">
        <v>1645</v>
      </c>
      <c r="B505" s="8" t="s">
        <v>1667</v>
      </c>
      <c r="C505" s="8"/>
      <c r="D505" s="8" t="s">
        <v>44</v>
      </c>
      <c r="E505" s="8" t="s">
        <v>1826</v>
      </c>
      <c r="F505" s="8"/>
    </row>
    <row r="506" spans="1:6" x14ac:dyDescent="0.25">
      <c r="A506" s="8" t="s">
        <v>1645</v>
      </c>
      <c r="B506" s="8" t="s">
        <v>1673</v>
      </c>
      <c r="C506" s="8"/>
      <c r="D506" s="8" t="s">
        <v>47</v>
      </c>
      <c r="E506" s="8" t="s">
        <v>1826</v>
      </c>
      <c r="F506" s="8"/>
    </row>
    <row r="507" spans="1:6" x14ac:dyDescent="0.25">
      <c r="A507" s="8" t="s">
        <v>1645</v>
      </c>
      <c r="B507" s="8" t="s">
        <v>1679</v>
      </c>
      <c r="C507" s="8"/>
      <c r="D507" s="8" t="s">
        <v>78</v>
      </c>
      <c r="E507" s="8" t="s">
        <v>1826</v>
      </c>
      <c r="F507" s="8"/>
    </row>
    <row r="508" spans="1:6" x14ac:dyDescent="0.25">
      <c r="A508" s="8" t="s">
        <v>1650</v>
      </c>
      <c r="B508" s="8" t="s">
        <v>1667</v>
      </c>
      <c r="C508" s="8"/>
      <c r="D508" s="8" t="s">
        <v>44</v>
      </c>
      <c r="E508" s="8" t="s">
        <v>1826</v>
      </c>
      <c r="F508" s="8"/>
    </row>
    <row r="509" spans="1:6" x14ac:dyDescent="0.25">
      <c r="A509" s="8" t="s">
        <v>1650</v>
      </c>
      <c r="B509" s="8" t="s">
        <v>1673</v>
      </c>
      <c r="C509" s="8"/>
      <c r="D509" s="8" t="s">
        <v>47</v>
      </c>
      <c r="E509" s="8" t="s">
        <v>1826</v>
      </c>
      <c r="F509" s="8"/>
    </row>
    <row r="510" spans="1:6" x14ac:dyDescent="0.25">
      <c r="A510" s="8" t="s">
        <v>1650</v>
      </c>
      <c r="B510" s="8" t="s">
        <v>1679</v>
      </c>
      <c r="C510" s="8"/>
      <c r="D510" s="8" t="s">
        <v>91</v>
      </c>
      <c r="E510" s="8" t="s">
        <v>1826</v>
      </c>
      <c r="F510" s="8"/>
    </row>
    <row r="511" spans="1:6" x14ac:dyDescent="0.25">
      <c r="A511" s="8" t="s">
        <v>1654</v>
      </c>
      <c r="B511" s="8" t="s">
        <v>1667</v>
      </c>
      <c r="C511" s="8"/>
      <c r="D511" s="8" t="s">
        <v>76</v>
      </c>
      <c r="E511" s="8" t="s">
        <v>1826</v>
      </c>
      <c r="F511" s="8"/>
    </row>
    <row r="512" spans="1:6" x14ac:dyDescent="0.25">
      <c r="A512" s="8" t="s">
        <v>1654</v>
      </c>
      <c r="B512" s="8" t="s">
        <v>1679</v>
      </c>
      <c r="C512" s="8"/>
      <c r="D512" s="8" t="s">
        <v>59</v>
      </c>
      <c r="E512" s="8" t="s">
        <v>1826</v>
      </c>
      <c r="F512" s="8"/>
    </row>
    <row r="513" spans="1:6" x14ac:dyDescent="0.25">
      <c r="A513" s="8" t="s">
        <v>1546</v>
      </c>
      <c r="B513" s="8" t="s">
        <v>1679</v>
      </c>
      <c r="C513" s="8"/>
      <c r="D513" s="8" t="s">
        <v>91</v>
      </c>
      <c r="E513" s="8" t="s">
        <v>1826</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1667</v>
      </c>
      <c r="B1" s="16" t="s">
        <v>21</v>
      </c>
      <c r="C1" s="16" t="s">
        <v>22</v>
      </c>
      <c r="D1" s="16" t="s">
        <v>1673</v>
      </c>
      <c r="E1" s="16" t="s">
        <v>1679</v>
      </c>
      <c r="F1" s="16" t="s">
        <v>1841</v>
      </c>
      <c r="G1" s="16" t="s">
        <v>19</v>
      </c>
      <c r="H1" s="16" t="s">
        <v>1842</v>
      </c>
      <c r="I1" s="16" t="s">
        <v>1843</v>
      </c>
    </row>
    <row r="2" spans="1:9" x14ac:dyDescent="0.25">
      <c r="A2" s="8" t="s">
        <v>76</v>
      </c>
      <c r="B2" s="8" t="s">
        <v>45</v>
      </c>
      <c r="C2" s="8" t="s">
        <v>46</v>
      </c>
      <c r="D2" s="8" t="s">
        <v>57</v>
      </c>
      <c r="E2" s="8" t="s">
        <v>71</v>
      </c>
      <c r="F2" s="8" t="s">
        <v>706</v>
      </c>
      <c r="G2" s="8" t="s">
        <v>43</v>
      </c>
      <c r="H2" s="8">
        <v>1</v>
      </c>
      <c r="I2" s="8" t="s">
        <v>1791</v>
      </c>
    </row>
    <row r="3" spans="1:9" x14ac:dyDescent="0.25">
      <c r="A3" s="8" t="s">
        <v>44</v>
      </c>
      <c r="B3" s="8" t="s">
        <v>331</v>
      </c>
      <c r="C3" s="8" t="s">
        <v>107</v>
      </c>
      <c r="D3" s="8" t="s">
        <v>47</v>
      </c>
      <c r="E3" s="8" t="s">
        <v>91</v>
      </c>
      <c r="F3" s="8" t="s">
        <v>1844</v>
      </c>
      <c r="G3" s="8" t="s">
        <v>128</v>
      </c>
      <c r="H3" s="8">
        <v>2</v>
      </c>
      <c r="I3" s="8" t="s">
        <v>1817</v>
      </c>
    </row>
    <row r="4" spans="1:9" x14ac:dyDescent="0.25">
      <c r="A4" s="8" t="s">
        <v>244</v>
      </c>
      <c r="B4" s="8" t="s">
        <v>252</v>
      </c>
      <c r="C4" s="8" t="s">
        <v>444</v>
      </c>
      <c r="D4" s="8" t="s">
        <v>1845</v>
      </c>
      <c r="E4" s="8" t="s">
        <v>72</v>
      </c>
      <c r="G4" s="8" t="s">
        <v>1846</v>
      </c>
      <c r="H4" s="8">
        <v>3</v>
      </c>
      <c r="I4" s="8" t="s">
        <v>1847</v>
      </c>
    </row>
    <row r="5" spans="1:9" x14ac:dyDescent="0.25">
      <c r="A5" s="8" t="s">
        <v>1845</v>
      </c>
      <c r="B5" s="8" t="s">
        <v>1848</v>
      </c>
      <c r="C5" s="8" t="s">
        <v>1845</v>
      </c>
      <c r="E5" s="8" t="s">
        <v>59</v>
      </c>
      <c r="G5" s="8" t="s">
        <v>70</v>
      </c>
      <c r="I5" s="8" t="s">
        <v>1849</v>
      </c>
    </row>
    <row r="6" spans="1:9" x14ac:dyDescent="0.25">
      <c r="A6" s="8" t="s">
        <v>1853</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2026-10-26T05:12:29Z</dcterms:modified>
  <dc:language>en-US</dc:language>
</cp:coreProperties>
</file>