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ED3AB337-6063-4525-A78A-3BBB59E0B98A}" xr6:coauthVersionLast="47" xr6:coauthVersionMax="47" xr10:uidLastSave="{00000000-0000-0000-0000-000000000000}"/>
  <bookViews>
    <workbookView xWindow="8055" yWindow="522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18" i="2" l="1"/>
  <c r="Q318" i="2" s="1"/>
  <c r="P59" i="2"/>
  <c r="Q59" i="2" s="1"/>
  <c r="P35" i="2"/>
  <c r="Q35" i="2" s="1"/>
  <c r="P537" i="2"/>
  <c r="Q537" i="2" s="1"/>
  <c r="P535" i="2"/>
  <c r="Q535" i="2" s="1"/>
  <c r="P407" i="2"/>
  <c r="Q407" i="2" s="1"/>
  <c r="P298" i="2"/>
  <c r="Q298" i="2" s="1"/>
  <c r="P296" i="2"/>
  <c r="Q296" i="2" s="1"/>
  <c r="P521" i="2"/>
  <c r="Q521"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P560" i="2"/>
  <c r="Q560"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59" i="2"/>
  <c r="Q559" i="2" s="1"/>
  <c r="P558" i="2"/>
  <c r="Q558" i="2" s="1"/>
  <c r="P557" i="2"/>
  <c r="Q557" i="2" s="1"/>
  <c r="P556" i="2"/>
  <c r="Q556" i="2" s="1"/>
  <c r="P555" i="2"/>
  <c r="Q555" i="2" s="1"/>
  <c r="P554" i="2"/>
  <c r="Q554" i="2" s="1"/>
  <c r="P553" i="2"/>
  <c r="Q553" i="2" s="1"/>
  <c r="P552" i="2"/>
  <c r="Q552" i="2" s="1"/>
  <c r="P551" i="2"/>
  <c r="Q551" i="2" s="1"/>
  <c r="P549" i="2"/>
  <c r="Q549" i="2" s="1"/>
  <c r="P548" i="2"/>
  <c r="Q548" i="2" s="1"/>
  <c r="P547" i="2"/>
  <c r="Q547" i="2" s="1"/>
  <c r="P546" i="2"/>
  <c r="Q546" i="2" s="1"/>
  <c r="P545" i="2"/>
  <c r="Q545" i="2" s="1"/>
  <c r="P544" i="2"/>
  <c r="Q544" i="2" s="1"/>
  <c r="P543" i="2"/>
  <c r="Q543" i="2" s="1"/>
  <c r="P542" i="2"/>
  <c r="Q542" i="2" s="1"/>
  <c r="P538" i="2"/>
  <c r="Q538" i="2" s="1"/>
  <c r="P541" i="2"/>
  <c r="Q541" i="2" s="1"/>
  <c r="P540" i="2"/>
  <c r="Q540" i="2" s="1"/>
  <c r="P539" i="2"/>
  <c r="Q539" i="2" s="1"/>
  <c r="P528" i="2"/>
  <c r="Q528" i="2" s="1"/>
  <c r="P527" i="2"/>
  <c r="Q527" i="2" s="1"/>
  <c r="P526" i="2"/>
  <c r="Q526" i="2" s="1"/>
  <c r="P525" i="2"/>
  <c r="Q525" i="2" s="1"/>
  <c r="P524" i="2"/>
  <c r="Q524" i="2" s="1"/>
  <c r="P523" i="2"/>
  <c r="Q523" i="2" s="1"/>
  <c r="P522" i="2"/>
  <c r="Q522" i="2" s="1"/>
  <c r="P550" i="2"/>
  <c r="Q550"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536" i="2"/>
  <c r="Q536" i="2" s="1"/>
  <c r="P482" i="2"/>
  <c r="Q482" i="2" s="1"/>
  <c r="P481" i="2"/>
  <c r="Q481" i="2" s="1"/>
  <c r="P480" i="2"/>
  <c r="Q480" i="2" s="1"/>
  <c r="P479" i="2"/>
  <c r="Q479" i="2" s="1"/>
  <c r="P475" i="2"/>
  <c r="Q475" i="2" s="1"/>
  <c r="P478" i="2"/>
  <c r="Q478" i="2" s="1"/>
  <c r="P477" i="2"/>
  <c r="Q477" i="2" s="1"/>
  <c r="P476" i="2"/>
  <c r="Q476"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00" i="2"/>
  <c r="Q400"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1" i="2"/>
  <c r="Q401"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534" i="2"/>
  <c r="Q534" i="2" s="1"/>
  <c r="P373" i="2"/>
  <c r="Q373" i="2" s="1"/>
  <c r="P372" i="2"/>
  <c r="Q372" i="2" s="1"/>
  <c r="P371" i="2"/>
  <c r="Q371" i="2" s="1"/>
  <c r="P370" i="2"/>
  <c r="Q370" i="2" s="1"/>
  <c r="P369" i="2"/>
  <c r="Q369" i="2" s="1"/>
  <c r="P368" i="2"/>
  <c r="Q368" i="2" s="1"/>
  <c r="P367" i="2"/>
  <c r="Q367" i="2" s="1"/>
  <c r="P366" i="2"/>
  <c r="Q366" i="2" s="1"/>
  <c r="P365" i="2"/>
  <c r="Q365" i="2" s="1"/>
  <c r="P364" i="2"/>
  <c r="Q364" i="2" s="1"/>
  <c r="P362" i="2"/>
  <c r="Q362" i="2" s="1"/>
  <c r="P361" i="2"/>
  <c r="Q361" i="2" s="1"/>
  <c r="P360" i="2"/>
  <c r="Q360" i="2" s="1"/>
  <c r="P359" i="2"/>
  <c r="Q359" i="2" s="1"/>
  <c r="P358" i="2"/>
  <c r="Q358" i="2" s="1"/>
  <c r="P363" i="2"/>
  <c r="Q363"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6" i="2"/>
  <c r="Q316" i="2" s="1"/>
  <c r="P315" i="2"/>
  <c r="Q315" i="2" s="1"/>
  <c r="P314" i="2"/>
  <c r="Q314" i="2" s="1"/>
  <c r="P313" i="2"/>
  <c r="Q313" i="2" s="1"/>
  <c r="P312" i="2"/>
  <c r="Q312" i="2" s="1"/>
  <c r="P533" i="2"/>
  <c r="Q533"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8" i="2"/>
  <c r="Q128"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532" i="2"/>
  <c r="Q532"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531" i="2"/>
  <c r="Q531" i="2" s="1"/>
  <c r="P135" i="2"/>
  <c r="Q135" i="2" s="1"/>
  <c r="P530" i="2"/>
  <c r="Q530" i="2" s="1"/>
  <c r="P134" i="2"/>
  <c r="Q134" i="2" s="1"/>
  <c r="P133" i="2"/>
  <c r="Q133" i="2" s="1"/>
  <c r="P132" i="2"/>
  <c r="Q132" i="2" s="1"/>
  <c r="P131" i="2"/>
  <c r="Q131" i="2" s="1"/>
  <c r="P529" i="2"/>
  <c r="Q529" i="2" s="1"/>
  <c r="P130" i="2"/>
  <c r="Q130" i="2" s="1"/>
  <c r="P129" i="2"/>
  <c r="Q129" i="2" s="1"/>
  <c r="P127" i="2"/>
  <c r="Q127" i="2" s="1"/>
  <c r="P126" i="2"/>
  <c r="Q126"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<sst xmlns="http://schemas.openxmlformats.org/spreadsheetml/2006/main" count="9669" uniqueCount="1923">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</sst>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4"/>
  <sheetViews>
    <sheetView tabSelected="1" zoomScale="130" zoomScaleNormal="130" workbookViewId="0">
      <pane ySplit="1" topLeftCell="A299" activePane="bottomLeft" state="frozen"/>
      <selection pane="bottomLeft" activeCell="T319" sqref="T319"/>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IF(A2="","",COUNTA(D2:F2)+COUNTA(G2:G2)+COUNTA(H2:H2)+COUNTA(I2:I2))</f>
        <v>6</v>
      </c>
      <c r="Q2" s="6" t="str">
        <f>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IF(A3="","",COUNTA(D3:F3)+COUNTA(G3:G3)+COUNTA(H3:H3)+COUNTA(I3:I3))</f>
        <v>6</v>
      </c>
      <c r="Q3" s="6" t="str">
        <f>IF(A3="","",IF(AND(P3=6,UPPER(L3)&lt;&gt;"Y",C3&lt;&gt;""),"Yes","No"))</f>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IF(A4="","",COUNTA(D4:F4)+COUNTA(G4:G4)+COUNTA(H4:H4)+COUNTA(I4:I4))</f>
        <v>1</v>
      </c>
      <c r="Q4" s="6" t="str">
        <f>IF(A4="","",IF(AND(P4=6,UPPER(L4)&lt;&gt;"Y",C4&lt;&gt;""),"Yes","No"))</f>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IF(A5="","",COUNTA(D5:F5)+COUNTA(G5:G5)+COUNTA(H5:H5)+COUNTA(I5:I5))</f>
        <v>6</v>
      </c>
      <c r="Q5" s="6" t="str">
        <f>IF(A5="","",IF(AND(P5=6,UPPER(L5)&lt;&gt;"Y",C5&lt;&gt;""),"Yes","No"))</f>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IF(A6="","",COUNTA(D6:F6)+COUNTA(G6:G6)+COUNTA(H6:H6)+COUNTA(I6:I6))</f>
        <v>6</v>
      </c>
      <c r="Q6" s="6" t="str">
        <f>IF(A6="","",IF(AND(P6=6,UPPER(L6)&lt;&gt;"Y",C6&lt;&gt;""),"Yes","No"))</f>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IF(A7="","",COUNTA(D7:F7)+COUNTA(G7:G7)+COUNTA(H7:H7)+COUNTA(I7:I7))</f>
        <v>6</v>
      </c>
      <c r="Q7" s="6" t="str">
        <f>IF(A7="","",IF(AND(P7=6,UPPER(L7)&lt;&gt;"Y",C7&lt;&gt;""),"Yes","No"))</f>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IF(A8="","",COUNTA(D8:F8)+COUNTA(G8:G8)+COUNTA(H8:H8)+COUNTA(I8:I8))</f>
        <v>6</v>
      </c>
      <c r="Q8" s="6" t="str">
        <f>IF(A8="","",IF(AND(P8=6,UPPER(L8)&lt;&gt;"Y",C8&lt;&gt;""),"Yes","No"))</f>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IF(A9="","",COUNTA(D9:F9)+COUNTA(G9:G9)+COUNTA(H9:H9)+COUNTA(I9:I9))</f>
        <v>6</v>
      </c>
      <c r="Q9" s="6" t="str">
        <f>IF(A9="","",IF(AND(P9=6,UPPER(L9)&lt;&gt;"Y",C9&lt;&gt;""),"Yes","No"))</f>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IF(A10="","",COUNTA(D10:F10)+COUNTA(G10:G10)+COUNTA(H10:H10)+COUNTA(I10:I10))</f>
        <v>6</v>
      </c>
      <c r="Q10" s="6" t="str">
        <f>IF(A10="","",IF(AND(P10=6,UPPER(L10)&lt;&gt;"Y",C10&lt;&gt;""),"Yes","No"))</f>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IF(A11="","",COUNTA(D11:F11)+COUNTA(G11:G11)+COUNTA(H11:H11)+COUNTA(I11:I11))</f>
        <v>6</v>
      </c>
      <c r="Q11" s="6" t="str">
        <f>IF(A11="","",IF(AND(P11=6,UPPER(L11)&lt;&gt;"Y",C11&lt;&gt;""),"Yes","No"))</f>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IF(A12="","",COUNTA(D12:F12)+COUNTA(G12:G12)+COUNTA(H12:H12)+COUNTA(I12:I12))</f>
        <v>6</v>
      </c>
      <c r="Q12" s="6" t="str">
        <f>IF(A12="","",IF(AND(P12=6,UPPER(L12)&lt;&gt;"Y",C12&lt;&gt;""),"Yes","No"))</f>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IF(A13="","",COUNTA(D13:F13)+COUNTA(G13:G13)+COUNTA(H13:H13)+COUNTA(I13:I13))</f>
        <v>6</v>
      </c>
      <c r="Q13" s="6" t="str">
        <f>IF(A13="","",IF(AND(P13=6,UPPER(L13)&lt;&gt;"Y",C13&lt;&gt;""),"Yes","No"))</f>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IF(A14="","",COUNTA(D14:F14)+COUNTA(G14:G14)+COUNTA(H14:H14)+COUNTA(I14:I14))</f>
        <v>6</v>
      </c>
      <c r="Q14" s="6" t="str">
        <f>IF(A14="","",IF(AND(P14=6,UPPER(L14)&lt;&gt;"Y",C14&lt;&gt;""),"Yes","No"))</f>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IF(A15="","",COUNTA(D15:F15)+COUNTA(G15:G15)+COUNTA(H15:H15)+COUNTA(I15:I15))</f>
        <v>6</v>
      </c>
      <c r="Q15" s="6" t="str">
        <f>IF(A15="","",IF(AND(P15=6,UPPER(L15)&lt;&gt;"Y",C15&lt;&gt;""),"Yes","No"))</f>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IF(A16="","",COUNTA(D16:F16)+COUNTA(G16:G16)+COUNTA(H16:H16)+COUNTA(I16:I16))</f>
        <v>4</v>
      </c>
      <c r="Q16" s="6" t="str">
        <f>IF(A16="","",IF(AND(P16=6,UPPER(L16)&lt;&gt;"Y",C16&lt;&gt;""),"Yes","No"))</f>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IF(A17="","",COUNTA(D17:F17)+COUNTA(G17:G17)+COUNTA(H17:H17)+COUNTA(I17:I17))</f>
        <v>6</v>
      </c>
      <c r="Q17" s="6" t="str">
        <f>IF(A17="","",IF(AND(P17=6,UPPER(L17)&lt;&gt;"Y",C17&lt;&gt;""),"Yes","No"))</f>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IF(A18="","",IF(AND(P18=6,UPPER(L18)&lt;&gt;"Y",C18&lt;&gt;""),"Yes","No"))</f>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IF(A19="","",COUNTA(D19:F19)+COUNTA(G19:G19)+COUNTA(H19:H19)+COUNTA(I19:I19))</f>
        <v>3</v>
      </c>
      <c r="Q19" s="6" t="str">
        <f>IF(A19="","",IF(AND(P19=6,UPPER(L19)&lt;&gt;"Y",C19&lt;&gt;""),"Yes","No"))</f>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IF(A20="","",COUNTA(D20:F20)+COUNTA(G20:G20)+COUNTA(H20:H20)+COUNTA(I20:I20))</f>
        <v>1</v>
      </c>
      <c r="Q20" s="6" t="str">
        <f>IF(A20="","",IF(AND(P20=6,UPPER(L20)&lt;&gt;"Y",C20&lt;&gt;""),"Yes","No"))</f>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IF(A21="","",COUNTA(D21:F21)+COUNTA(G21:G21)+COUNTA(H21:H21)+COUNTA(I21:I21))</f>
        <v>2</v>
      </c>
      <c r="Q21" s="6" t="str">
        <f>IF(A21="","",IF(AND(P21=6,UPPER(L21)&lt;&gt;"Y",C21&lt;&gt;""),"Yes","No"))</f>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IF(A22="","",COUNTA(D22:F22)+COUNTA(G22:G22)+COUNTA(H22:H22)+COUNTA(I22:I22))</f>
        <v>5</v>
      </c>
      <c r="Q22" s="6" t="str">
        <f>IF(A22="","",IF(AND(P22=6,UPPER(L22)&lt;&gt;"Y",C22&lt;&gt;""),"Yes","No"))</f>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IF(A23="","",COUNTA(D23:F23)+COUNTA(G23:G23)+COUNTA(H23:H23)+COUNTA(I23:I23))</f>
        <v>4</v>
      </c>
      <c r="Q23" s="6" t="str">
        <f>IF(A23="","",IF(AND(P23=6,UPPER(L23)&lt;&gt;"Y",C23&lt;&gt;""),"Yes","No"))</f>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IF(A24="","",COUNTA(D24:F24)+COUNTA(G24:G24)+COUNTA(H24:H24)+COUNTA(I24:I24))</f>
        <v>6</v>
      </c>
      <c r="Q24" s="6" t="str">
        <f>IF(A24="","",IF(AND(P24=6,UPPER(L24)&lt;&gt;"Y",C24&lt;&gt;""),"Yes","No"))</f>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IF(A25="","",COUNTA(D25:F25)+COUNTA(G25:G25)+COUNTA(H25:H25)+COUNTA(I25:I25))</f>
        <v>0</v>
      </c>
      <c r="Q25" s="6" t="str">
        <f>IF(A25="","",IF(AND(P25=6,UPPER(L25)&lt;&gt;"Y",C25&lt;&gt;""),"Yes","No"))</f>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IF(A26="","",COUNTA(D26:F26)+COUNTA(G26:G26)+COUNTA(H26:H26)+COUNTA(I26:I26))</f>
        <v>4</v>
      </c>
      <c r="Q26" s="6" t="str">
        <f>IF(A26="","",IF(AND(P26=6,UPPER(L26)&lt;&gt;"Y",C26&lt;&gt;""),"Yes","No"))</f>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IF(A27="","",COUNTA(D27:F27)+COUNTA(G27:G27)+COUNTA(H27:H27)+COUNTA(I27:I27))</f>
        <v>6</v>
      </c>
      <c r="Q27" s="6" t="str">
        <f>IF(A27="","",IF(AND(P27=6,UPPER(L27)&lt;&gt;"Y",C27&lt;&gt;""),"Yes","No"))</f>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IF(A28="","",COUNTA(D28:F28)+COUNTA(G28:G28)+COUNTA(H28:H28)+COUNTA(I28:I28))</f>
        <v>5</v>
      </c>
      <c r="Q28" s="6" t="str">
        <f>IF(A28="","",IF(AND(P28=6,UPPER(L28)&lt;&gt;"Y",C28&lt;&gt;""),"Yes","No"))</f>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IF(A29="","",COUNTA(D29:F29)+COUNTA(G29:G29)+COUNTA(H29:H29)+COUNTA(I29:I29))</f>
        <v>2</v>
      </c>
      <c r="Q29" s="6" t="str">
        <f>IF(A29="","",IF(AND(P29=6,UPPER(L29)&lt;&gt;"Y",C29&lt;&gt;""),"Yes","No"))</f>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IF(A30="","",COUNTA(D30:F30)+COUNTA(G30:G30)+COUNTA(H30:H30)+COUNTA(I30:I30))</f>
        <v>6</v>
      </c>
      <c r="Q30" s="6" t="str">
        <f>IF(A30="","",IF(AND(P30=6,UPPER(L30)&lt;&gt;"Y",C30&lt;&gt;""),"Yes","No"))</f>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IF(A31="","",COUNTA(D31:F31)+COUNTA(G31:G31)+COUNTA(H31:H31)+COUNTA(I31:I31))</f>
        <v>4</v>
      </c>
      <c r="Q31" s="6" t="str">
        <f>IF(A31="","",IF(AND(P31=6,UPPER(L31)&lt;&gt;"Y",C31&lt;&gt;""),"Yes","No"))</f>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IF(A32="","",COUNTA(D32:F32)+COUNTA(G32:G32)+COUNTA(H32:H32)+COUNTA(I32:I32))</f>
        <v>1</v>
      </c>
      <c r="Q32" s="6" t="str">
        <f>IF(A32="","",IF(AND(P32=6,UPPER(L32)&lt;&gt;"Y",C32&lt;&gt;""),"Yes","No"))</f>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IF(A33="","",COUNTA(D33:F33)+COUNTA(G33:G33)+COUNTA(H33:H33)+COUNTA(I33:I33))</f>
        <v>6</v>
      </c>
      <c r="Q33" s="6" t="str">
        <f>IF(A33="","",IF(AND(P33=6,UPPER(L33)&lt;&gt;"Y",C33&lt;&gt;""),"Yes","No"))</f>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IF(A34="","",COUNTA(D34:F34)+COUNTA(G34:G34)+COUNTA(H34:H34)+COUNTA(I34:I34))</f>
        <v>6</v>
      </c>
      <c r="Q34" s="6" t="str">
        <f>IF(A34="","",IF(AND(P34=6,UPPER(L34)&lt;&gt;"Y",C34&lt;&gt;""),"Yes","No"))</f>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IF(A35="","",COUNTA(D35:F35)+COUNTA(G35:G35)+COUNTA(H35:H35)+COUNTA(I35:I35))</f>
        <v>6</v>
      </c>
      <c r="Q35" s="6" t="str">
        <f>IF(A35="","",IF(AND(P35=6,UPPER(L35)&lt;&gt;"Y",C35&lt;&gt;""),"Yes","No"))</f>
        <v>Yes</v>
      </c>
      <c r="R35" s="5" t="s">
        <v>51</v>
      </c>
      <c r="S35" s="5"/>
      <c r="T35" s="5" t="s">
        <v>221</v>
      </c>
      <c r="U35" s="5" t="s">
        <v>63</v>
      </c>
      <c r="V35" s="5"/>
      <c r="W35" s="5" t="s">
        <v>43</v>
      </c>
      <c r="X35" s="5" t="s">
        <v>222</v>
      </c>
      <c r="Y35" s="5" t="s">
        <v>55</v>
      </c>
    </row>
    <row r="36" spans="1:25" x14ac:dyDescent="0.25">
      <c r="A36" s="5" t="s">
        <v>1909</v>
      </c>
      <c r="B36" s="5"/>
      <c r="C36" s="5" t="s">
        <v>128</v>
      </c>
      <c r="D36" s="5" t="s">
        <v>44</v>
      </c>
      <c r="E36" s="5" t="s">
        <v>45</v>
      </c>
      <c r="F36" s="5" t="s">
        <v>46</v>
      </c>
      <c r="G36" s="5" t="s">
        <v>57</v>
      </c>
      <c r="H36" s="5" t="s">
        <v>1910</v>
      </c>
      <c r="I36" s="5" t="s">
        <v>178</v>
      </c>
      <c r="J36" s="5" t="s">
        <v>72</v>
      </c>
      <c r="K36" s="5" t="s">
        <v>220</v>
      </c>
      <c r="L36" s="5"/>
      <c r="M36" s="5"/>
      <c r="N36" s="5" t="s">
        <v>50</v>
      </c>
      <c r="O36" s="5"/>
      <c r="P36" s="6">
        <f>IF(A36="","",COUNTA(D36:F36)+COUNTA(G36:G36)+COUNTA(H36:H36)+COUNTA(I36:I36))</f>
        <v>6</v>
      </c>
      <c r="Q36" s="6" t="str">
        <f>IF(A36="","",IF(AND(P36=6,UPPER(L36)&lt;&gt;"Y",C36&lt;&gt;""),"Yes","No"))</f>
        <v>Yes</v>
      </c>
      <c r="R36" s="5" t="s">
        <v>51</v>
      </c>
      <c r="S36" s="5"/>
      <c r="T36" s="5" t="s">
        <v>1911</v>
      </c>
      <c r="U36" s="5" t="s">
        <v>63</v>
      </c>
      <c r="V36" s="5"/>
      <c r="W36" s="5" t="s">
        <v>128</v>
      </c>
      <c r="X36" s="5" t="s">
        <v>1912</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IF(A37="","",COUNTA(D37:F37)+COUNTA(G37:G37)+COUNTA(H37:H37)+COUNTA(I37:I37))</f>
        <v>6</v>
      </c>
      <c r="Q37" s="6" t="str">
        <f>IF(A37="","",IF(AND(P37=6,UPPER(L37)&lt;&gt;"Y",C37&lt;&gt;""),"Yes","No"))</f>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IF(A38="","",COUNTA(D38:F38)+COUNTA(G38:G38)+COUNTA(H38:H38)+COUNTA(I38:I38))</f>
        <v>6</v>
      </c>
      <c r="Q38" s="6" t="str">
        <f>IF(A38="","",IF(AND(P38=6,UPPER(L38)&lt;&gt;"Y",C38&lt;&gt;""),"Yes","No"))</f>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IF(A39="","",COUNTA(D39:F39)+COUNTA(G39:G39)+COUNTA(H39:H39)+COUNTA(I39:I39))</f>
        <v>5</v>
      </c>
      <c r="Q39" s="6" t="str">
        <f>IF(A39="","",IF(AND(P39=6,UPPER(L39)&lt;&gt;"Y",C39&lt;&gt;""),"Yes","No"))</f>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IF(A40="","",COUNTA(D40:F40)+COUNTA(G40:G40)+COUNTA(H40:H40)+COUNTA(I40:I40))</f>
        <v>6</v>
      </c>
      <c r="Q40" s="6" t="str">
        <f>IF(A40="","",IF(AND(P40=6,UPPER(L40)&lt;&gt;"Y",C40&lt;&gt;""),"Yes","No"))</f>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IF(A41="","",COUNTA(D41:F41)+COUNTA(G41:G41)+COUNTA(H41:H41)+COUNTA(I41:I41))</f>
        <v>6</v>
      </c>
      <c r="Q41" s="6" t="str">
        <f>IF(A41="","",IF(AND(P41=6,UPPER(L41)&lt;&gt;"Y",C41&lt;&gt;""),"Yes","No"))</f>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IF(A42="","",COUNTA(D42:F42)+COUNTA(G42:G42)+COUNTA(H42:H42)+COUNTA(I42:I42))</f>
        <v>6</v>
      </c>
      <c r="Q42" s="6" t="str">
        <f>IF(A42="","",IF(AND(P42=6,UPPER(L42)&lt;&gt;"Y",C42&lt;&gt;""),"Yes","No"))</f>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IF(A43="","",COUNTA(D43:F43)+COUNTA(G43:G43)+COUNTA(H43:H43)+COUNTA(I43:I43))</f>
        <v>1</v>
      </c>
      <c r="Q43" s="6" t="str">
        <f>IF(A43="","",IF(AND(P43=6,UPPER(L43)&lt;&gt;"Y",C43&lt;&gt;""),"Yes","No"))</f>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IF(A44="","",COUNTA(D44:F44)+COUNTA(G44:G44)+COUNTA(H44:H44)+COUNTA(I44:I44))</f>
        <v>1</v>
      </c>
      <c r="Q44" s="6" t="str">
        <f>IF(A44="","",IF(AND(P44=6,UPPER(L44)&lt;&gt;"Y",C44&lt;&gt;""),"Yes","No"))</f>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IF(A45="","",COUNTA(D45:F45)+COUNTA(G45:G45)+COUNTA(H45:H45)+COUNTA(I45:I45))</f>
        <v>3</v>
      </c>
      <c r="Q45" s="6" t="str">
        <f>IF(A45="","",IF(AND(P45=6,UPPER(L45)&lt;&gt;"Y",C45&lt;&gt;""),"Yes","No"))</f>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IF(A46="","",COUNTA(D46:F46)+COUNTA(G46:G46)+COUNTA(H46:H46)+COUNTA(I46:I46))</f>
        <v>1</v>
      </c>
      <c r="Q46" s="6" t="str">
        <f>IF(A46="","",IF(AND(P46=6,UPPER(L46)&lt;&gt;"Y",C46&lt;&gt;""),"Yes","No"))</f>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IF(A47="","",COUNTA(D47:F47)+COUNTA(G47:G47)+COUNTA(H47:H47)+COUNTA(I47:I47))</f>
        <v>0</v>
      </c>
      <c r="Q47" s="6" t="str">
        <f>IF(A47="","",IF(AND(P47=6,UPPER(L47)&lt;&gt;"Y",C47&lt;&gt;""),"Yes","No"))</f>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IF(A48="","",COUNTA(D48:F48)+COUNTA(G48:G48)+COUNTA(H48:H48)+COUNTA(I48:I48))</f>
        <v>6</v>
      </c>
      <c r="Q48" s="6" t="str">
        <f>IF(A48="","",IF(AND(P48=6,UPPER(L48)&lt;&gt;"Y",C48&lt;&gt;""),"Yes","No"))</f>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IF(A49="","",COUNTA(D49:F49)+COUNTA(G49:G49)+COUNTA(H49:H49)+COUNTA(I49:I49))</f>
        <v>1</v>
      </c>
      <c r="Q49" s="6" t="str">
        <f>IF(A49="","",IF(AND(P49=6,UPPER(L49)&lt;&gt;"Y",C49&lt;&gt;""),"Yes","No"))</f>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IF(A50="","",COUNTA(D50:F50)+COUNTA(G50:G50)+COUNTA(H50:H50)+COUNTA(I50:I50))</f>
        <v>6</v>
      </c>
      <c r="Q50" s="6" t="str">
        <f>IF(A50="","",IF(AND(P50=6,UPPER(L50)&lt;&gt;"Y",C50&lt;&gt;""),"Yes","No"))</f>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IF(A51="","",COUNTA(D51:F51)+COUNTA(G51:G51)+COUNTA(H51:H51)+COUNTA(I51:I51))</f>
        <v>6</v>
      </c>
      <c r="Q51" s="6" t="str">
        <f>IF(A51="","",IF(AND(P51=6,UPPER(L51)&lt;&gt;"Y",C51&lt;&gt;""),"Yes","No"))</f>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IF(A52="","",COUNTA(D52:F52)+COUNTA(G52:G52)+COUNTA(H52:H52)+COUNTA(I52:I52))</f>
        <v>1</v>
      </c>
      <c r="Q52" s="6" t="str">
        <f>IF(A52="","",IF(AND(P52=6,UPPER(L52)&lt;&gt;"Y",C52&lt;&gt;""),"Yes","No"))</f>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IF(A53="","",COUNTA(D53:F53)+COUNTA(G53:G53)+COUNTA(H53:H53)+COUNTA(I53:I53))</f>
        <v>6</v>
      </c>
      <c r="Q53" s="6" t="str">
        <f>IF(A53="","",IF(AND(P53=6,UPPER(L53)&lt;&gt;"Y",C53&lt;&gt;""),"Yes","No"))</f>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IF(A54="","",COUNTA(D54:F54)+COUNTA(G54:G54)+COUNTA(H54:H54)+COUNTA(I54:I54))</f>
        <v>3</v>
      </c>
      <c r="Q54" s="6" t="str">
        <f>IF(A54="","",IF(AND(P54=6,UPPER(L54)&lt;&gt;"Y",C54&lt;&gt;""),"Yes","No"))</f>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1898</v>
      </c>
      <c r="I55" s="5" t="s">
        <v>123</v>
      </c>
      <c r="J55" s="5" t="s">
        <v>287</v>
      </c>
      <c r="K55" s="5" t="s">
        <v>288</v>
      </c>
      <c r="L55" s="5"/>
      <c r="M55" s="5"/>
      <c r="N55" s="5" t="s">
        <v>50</v>
      </c>
      <c r="O55" s="5"/>
      <c r="P55" s="6">
        <f>IF(A55="","",COUNTA(D55:F55)+COUNTA(G55:G55)+COUNTA(H55:H55)+COUNTA(I55:I55))</f>
        <v>6</v>
      </c>
      <c r="Q55" s="6" t="str">
        <f>IF(A55="","",IF(AND(P55=6,UPPER(L55)&lt;&gt;"Y",C55&lt;&gt;""),"Yes","No"))</f>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IF(A56="","",COUNTA(D56:F56)+COUNTA(G56:G56)+COUNTA(H56:H56)+COUNTA(I56:I56))</f>
        <v>6</v>
      </c>
      <c r="Q56" s="6" t="str">
        <f>IF(A56="","",IF(AND(P56=6,UPPER(L56)&lt;&gt;"Y",C56&lt;&gt;""),"Yes","No"))</f>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IF(A57="","",COUNTA(D57:F57)+COUNTA(G57:G57)+COUNTA(H57:H57)+COUNTA(I57:I57))</f>
        <v>3</v>
      </c>
      <c r="Q57" s="6" t="str">
        <f>IF(A57="","",IF(AND(P57=6,UPPER(L57)&lt;&gt;"Y",C57&lt;&gt;""),"Yes","No"))</f>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IF(A58="","",COUNTA(D58:F58)+COUNTA(G58:G58)+COUNTA(H58:H58)+COUNTA(I58:I58))</f>
        <v>4</v>
      </c>
      <c r="Q58" s="6" t="str">
        <f>IF(A58="","",IF(AND(P58=6,UPPER(L58)&lt;&gt;"Y",C58&lt;&gt;""),"Yes","No"))</f>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IF(A59="","",COUNTA(D59:F59)+COUNTA(G59:G59)+COUNTA(H59:H59)+COUNTA(I59:I59))</f>
        <v>3</v>
      </c>
      <c r="Q59" s="6" t="str">
        <f>IF(A59="","",IF(AND(P59=6,UPPER(L59)&lt;&gt;"Y",C59&lt;&gt;""),"Yes","No"))</f>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IF(A60="","",COUNTA(D60:F60)+COUNTA(G60:G60)+COUNTA(H60:H60)+COUNTA(I60:I60))</f>
        <v>2</v>
      </c>
      <c r="Q60" s="6" t="str">
        <f>IF(A60="","",IF(AND(P60=6,UPPER(L60)&lt;&gt;"Y",C60&lt;&gt;""),"Yes","No"))</f>
        <v>No</v>
      </c>
      <c r="R60" s="5" t="s">
        <v>51</v>
      </c>
      <c r="S60" s="5"/>
      <c r="T60" s="5"/>
      <c r="U60" s="5" t="s">
        <v>90</v>
      </c>
      <c r="V60" s="5"/>
      <c r="W60" s="5"/>
      <c r="X60" s="5"/>
      <c r="Y60" s="5" t="s">
        <v>189</v>
      </c>
    </row>
    <row r="61" spans="1:25" x14ac:dyDescent="0.25">
      <c r="A61" s="5" t="s">
        <v>1913</v>
      </c>
      <c r="B61" s="5"/>
      <c r="C61" s="5" t="s">
        <v>128</v>
      </c>
      <c r="D61" s="5" t="s">
        <v>44</v>
      </c>
      <c r="E61" s="5" t="s">
        <v>45</v>
      </c>
      <c r="F61" s="5" t="s">
        <v>107</v>
      </c>
      <c r="G61" s="5" t="s">
        <v>57</v>
      </c>
      <c r="H61" s="5" t="s">
        <v>1914</v>
      </c>
      <c r="I61" s="5" t="s">
        <v>49</v>
      </c>
      <c r="J61" s="5"/>
      <c r="K61" s="5"/>
      <c r="L61" s="5"/>
      <c r="M61" s="5"/>
      <c r="N61" s="5" t="s">
        <v>66</v>
      </c>
      <c r="O61" s="5"/>
      <c r="P61" s="6">
        <f>IF(A61="","",COUNTA(D61:F61)+COUNTA(G61:G61)+COUNTA(H61:H61)+COUNTA(I61:I61))</f>
        <v>6</v>
      </c>
      <c r="Q61" s="6" t="str">
        <f>IF(A61="","",IF(AND(P61=6,UPPER(L61)&lt;&gt;"Y",C61&lt;&gt;""),"Yes","No"))</f>
        <v>Yes</v>
      </c>
      <c r="R61" s="5" t="s">
        <v>51</v>
      </c>
      <c r="S61" s="5"/>
      <c r="T61" s="5" t="s">
        <v>1915</v>
      </c>
      <c r="U61" s="5" t="s">
        <v>1916</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IF(A62="","",COUNTA(D62:F62)+COUNTA(G62:G62)+COUNTA(H62:H62)+COUNTA(I62:I62))</f>
        <v>2</v>
      </c>
      <c r="Q62" s="6" t="str">
        <f>IF(A62="","",IF(AND(P62=6,UPPER(L62)&lt;&gt;"Y",C62&lt;&gt;""),"Yes","No"))</f>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IF(A63="","",COUNTA(D63:F63)+COUNTA(G63:G63)+COUNTA(H63:H63)+COUNTA(I63:I63))</f>
        <v>6</v>
      </c>
      <c r="Q63" s="6" t="str">
        <f>IF(A63="","",IF(AND(P63=6,UPPER(L63)&lt;&gt;"Y",C63&lt;&gt;""),"Yes","No"))</f>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IF(A64="","",COUNTA(D64:F64)+COUNTA(G64:G64)+COUNTA(H64:H64)+COUNTA(I64:I64))</f>
        <v>1</v>
      </c>
      <c r="Q64" s="6" t="str">
        <f>IF(A64="","",IF(AND(P64=6,UPPER(L64)&lt;&gt;"Y",C64&lt;&gt;""),"Yes","No"))</f>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IF(A65="","",COUNTA(D65:F65)+COUNTA(G65:G65)+COUNTA(H65:H65)+COUNTA(I65:I65))</f>
        <v>6</v>
      </c>
      <c r="Q65" s="6" t="str">
        <f>IF(A65="","",IF(AND(P65=6,UPPER(L65)&lt;&gt;"Y",C65&lt;&gt;""),"Yes","No"))</f>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IF(A66="","",COUNTA(D66:F66)+COUNTA(G66:G66)+COUNTA(H66:H66)+COUNTA(I66:I66))</f>
        <v>2</v>
      </c>
      <c r="Q66" s="6" t="str">
        <f>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IF(A67="","",COUNTA(D67:F67)+COUNTA(G67:G67)+COUNTA(H67:H67)+COUNTA(I67:I67))</f>
        <v>6</v>
      </c>
      <c r="Q67" s="6" t="str">
        <f>IF(A67="","",IF(AND(P67=6,UPPER(L67)&lt;&gt;"Y",C67&lt;&gt;""),"Yes","No"))</f>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IF(A68="","",COUNTA(D68:F68)+COUNTA(G68:G68)+COUNTA(H68:H68)+COUNTA(I68:I68))</f>
        <v>3</v>
      </c>
      <c r="Q68" s="6" t="str">
        <f>IF(A68="","",IF(AND(P68=6,UPPER(L68)&lt;&gt;"Y",C68&lt;&gt;""),"Yes","No"))</f>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IF(A69="","",COUNTA(D69:F69)+COUNTA(G69:G69)+COUNTA(H69:H69)+COUNTA(I69:I69))</f>
        <v>2</v>
      </c>
      <c r="Q69" s="6" t="str">
        <f>IF(A69="","",IF(AND(P69=6,UPPER(L69)&lt;&gt;"Y",C69&lt;&gt;""),"Yes","No"))</f>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IF(A70="","",COUNTA(D70:F70)+COUNTA(G70:G70)+COUNTA(H70:H70)+COUNTA(I70:I70))</f>
        <v>6</v>
      </c>
      <c r="Q70" s="6" t="str">
        <f>IF(A70="","",IF(AND(P70=6,UPPER(L70)&lt;&gt;"Y",C70&lt;&gt;""),"Yes","No"))</f>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IF(A71="","",COUNTA(D71:F71)+COUNTA(G71:G71)+COUNTA(H71:H71)+COUNTA(I71:I71))</f>
        <v>6</v>
      </c>
      <c r="Q71" s="6" t="str">
        <f>IF(A71="","",IF(AND(P71=6,UPPER(L71)&lt;&gt;"Y",C71&lt;&gt;""),"Yes","No"))</f>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IF(A72="","",COUNTA(D72:F72)+COUNTA(G72:G72)+COUNTA(H72:H72)+COUNTA(I72:I72))</f>
        <v>4</v>
      </c>
      <c r="Q72" s="6" t="str">
        <f>IF(A72="","",IF(AND(P72=6,UPPER(L72)&lt;&gt;"Y",C72&lt;&gt;""),"Yes","No"))</f>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IF(A73="","",COUNTA(D73:F73)+COUNTA(G73:G73)+COUNTA(H73:H73)+COUNTA(I73:I73))</f>
        <v>2</v>
      </c>
      <c r="Q73" s="6" t="str">
        <f>IF(A73="","",IF(AND(P73=6,UPPER(L73)&lt;&gt;"Y",C73&lt;&gt;""),"Yes","No"))</f>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IF(A74="","",COUNTA(D74:F74)+COUNTA(G74:G74)+COUNTA(H74:H74)+COUNTA(I74:I74))</f>
        <v>2</v>
      </c>
      <c r="Q74" s="6" t="str">
        <f>IF(A74="","",IF(AND(P74=6,UPPER(L74)&lt;&gt;"Y",C74&lt;&gt;""),"Yes","No"))</f>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IF(A75="","",COUNTA(D75:F75)+COUNTA(G75:G75)+COUNTA(H75:H75)+COUNTA(I75:I75))</f>
        <v>2</v>
      </c>
      <c r="Q75" s="6" t="str">
        <f>IF(A75="","",IF(AND(P75=6,UPPER(L75)&lt;&gt;"Y",C75&lt;&gt;""),"Yes","No"))</f>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IF(A76="","",COUNTA(D76:F76)+COUNTA(G76:G76)+COUNTA(H76:H76)+COUNTA(I76:I76))</f>
        <v>2</v>
      </c>
      <c r="Q76" s="6" t="str">
        <f>IF(A76="","",IF(AND(P76=6,UPPER(L76)&lt;&gt;"Y",C76&lt;&gt;""),"Yes","No"))</f>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IF(A77="","",COUNTA(D77:F77)+COUNTA(G77:G77)+COUNTA(H77:H77)+COUNTA(I77:I77))</f>
        <v>2</v>
      </c>
      <c r="Q77" s="6" t="str">
        <f>IF(A77="","",IF(AND(P77=6,UPPER(L77)&lt;&gt;"Y",C77&lt;&gt;""),"Yes","No"))</f>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IF(A78="","",COUNTA(D78:F78)+COUNTA(G78:G78)+COUNTA(H78:H78)+COUNTA(I78:I78))</f>
        <v>2</v>
      </c>
      <c r="Q78" s="6" t="str">
        <f>IF(A78="","",IF(AND(P78=6,UPPER(L78)&lt;&gt;"Y",C78&lt;&gt;""),"Yes","No"))</f>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IF(A79="","",COUNTA(D79:F79)+COUNTA(G79:G79)+COUNTA(H79:H79)+COUNTA(I79:I79))</f>
        <v>2</v>
      </c>
      <c r="Q79" s="6" t="str">
        <f>IF(A79="","",IF(AND(P79=6,UPPER(L79)&lt;&gt;"Y",C79&lt;&gt;""),"Yes","No"))</f>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IF(A80="","",COUNTA(D80:F80)+COUNTA(G80:G80)+COUNTA(H80:H80)+COUNTA(I80:I80))</f>
        <v>2</v>
      </c>
      <c r="Q80" s="6" t="str">
        <f>IF(A80="","",IF(AND(P80=6,UPPER(L80)&lt;&gt;"Y",C80&lt;&gt;""),"Yes","No"))</f>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IF(A81="","",COUNTA(D81:F81)+COUNTA(G81:G81)+COUNTA(H81:H81)+COUNTA(I81:I81))</f>
        <v>2</v>
      </c>
      <c r="Q81" s="6" t="str">
        <f>IF(A81="","",IF(AND(P81=6,UPPER(L81)&lt;&gt;"Y",C81&lt;&gt;""),"Yes","No"))</f>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IF(A82="","",COUNTA(D82:F82)+COUNTA(G82:G82)+COUNTA(H82:H82)+COUNTA(I82:I82))</f>
        <v>3</v>
      </c>
      <c r="Q82" s="6" t="str">
        <f>IF(A82="","",IF(AND(P82=6,UPPER(L82)&lt;&gt;"Y",C82&lt;&gt;""),"Yes","No"))</f>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IF(A83="","",COUNTA(D83:F83)+COUNTA(G83:G83)+COUNTA(H83:H83)+COUNTA(I83:I83))</f>
        <v>4</v>
      </c>
      <c r="Q83" s="6" t="str">
        <f>IF(A83="","",IF(AND(P83=6,UPPER(L83)&lt;&gt;"Y",C83&lt;&gt;""),"Yes","No"))</f>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IF(A84="","",COUNTA(D84:F84)+COUNTA(G84:G84)+COUNTA(H84:H84)+COUNTA(I84:I84))</f>
        <v>2</v>
      </c>
      <c r="Q84" s="6" t="str">
        <f>IF(A84="","",IF(AND(P84=6,UPPER(L84)&lt;&gt;"Y",C84&lt;&gt;""),"Yes","No"))</f>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IF(A85="","",COUNTA(D85:F85)+COUNTA(G85:G85)+COUNTA(H85:H85)+COUNTA(I85:I85))</f>
        <v>0</v>
      </c>
      <c r="Q85" s="6" t="str">
        <f>IF(A85="","",IF(AND(P85=6,UPPER(L85)&lt;&gt;"Y",C85&lt;&gt;""),"Yes","No"))</f>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IF(A86="","",COUNTA(D86:F86)+COUNTA(G86:G86)+COUNTA(H86:H86)+COUNTA(I86:I86))</f>
        <v>2</v>
      </c>
      <c r="Q86" s="6" t="str">
        <f>IF(A86="","",IF(AND(P86=6,UPPER(L86)&lt;&gt;"Y",C86&lt;&gt;""),"Yes","No"))</f>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IF(A87="","",COUNTA(D87:F87)+COUNTA(G87:G87)+COUNTA(H87:H87)+COUNTA(I87:I87))</f>
        <v>2</v>
      </c>
      <c r="Q87" s="6" t="str">
        <f>IF(A87="","",IF(AND(P87=6,UPPER(L87)&lt;&gt;"Y",C87&lt;&gt;""),"Yes","No"))</f>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IF(A88="","",COUNTA(D88:F88)+COUNTA(G88:G88)+COUNTA(H88:H88)+COUNTA(I88:I88))</f>
        <v>6</v>
      </c>
      <c r="Q88" s="6" t="str">
        <f>IF(A88="","",IF(AND(P88=6,UPPER(L88)&lt;&gt;"Y",C88&lt;&gt;""),"Yes","No"))</f>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IF(A89="","",COUNTA(D89:F89)+COUNTA(G89:G89)+COUNTA(H89:H89)+COUNTA(I89:I89))</f>
        <v>6</v>
      </c>
      <c r="Q89" s="6" t="str">
        <f>IF(A89="","",IF(AND(P89=6,UPPER(L89)&lt;&gt;"Y",C89&lt;&gt;""),"Yes","No"))</f>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IF(A90="","",COUNTA(D90:F90)+COUNTA(G90:G90)+COUNTA(H90:H90)+COUNTA(I90:I90))</f>
        <v>1</v>
      </c>
      <c r="Q90" s="6" t="str">
        <f>IF(A90="","",IF(AND(P90=6,UPPER(L90)&lt;&gt;"Y",C90&lt;&gt;""),"Yes","No"))</f>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IF(A91="","",COUNTA(D91:F91)+COUNTA(G91:G91)+COUNTA(H91:H91)+COUNTA(I91:I91))</f>
        <v>3</v>
      </c>
      <c r="Q91" s="6" t="str">
        <f>IF(A91="","",IF(AND(P91=6,UPPER(L91)&lt;&gt;"Y",C91&lt;&gt;""),"Yes","No"))</f>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IF(A92="","",COUNTA(D92:F92)+COUNTA(G92:G92)+COUNTA(H92:H92)+COUNTA(I92:I92))</f>
        <v>1</v>
      </c>
      <c r="Q92" s="6" t="str">
        <f>IF(A92="","",IF(AND(P92=6,UPPER(L92)&lt;&gt;"Y",C92&lt;&gt;""),"Yes","No"))</f>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IF(A93="","",COUNTA(D93:F93)+COUNTA(G93:G93)+COUNTA(H93:H93)+COUNTA(I93:I93))</f>
        <v>4</v>
      </c>
      <c r="Q93" s="6" t="str">
        <f>IF(A93="","",IF(AND(P93=6,UPPER(L93)&lt;&gt;"Y",C93&lt;&gt;""),"Yes","No"))</f>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IF(A94="","",COUNTA(D94:F94)+COUNTA(G94:G94)+COUNTA(H94:H94)+COUNTA(I94:I94))</f>
        <v>1</v>
      </c>
      <c r="Q94" s="6" t="str">
        <f>IF(A94="","",IF(AND(P94=6,UPPER(L94)&lt;&gt;"Y",C94&lt;&gt;""),"Yes","No"))</f>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IF(A95="","",COUNTA(D95:F95)+COUNTA(G95:G95)+COUNTA(H95:H95)+COUNTA(I95:I95))</f>
        <v>5</v>
      </c>
      <c r="Q95" s="6" t="str">
        <f>IF(A95="","",IF(AND(P95=6,UPPER(L95)&lt;&gt;"Y",C95&lt;&gt;""),"Yes","No"))</f>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IF(A96="","",COUNTA(D96:F96)+COUNTA(G96:G96)+COUNTA(H96:H96)+COUNTA(I96:I96))</f>
        <v>6</v>
      </c>
      <c r="Q96" s="6" t="str">
        <f>IF(A96="","",IF(AND(P96=6,UPPER(L96)&lt;&gt;"Y",C96&lt;&gt;""),"Yes","No"))</f>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IF(A97="","",COUNTA(D97:F97)+COUNTA(G97:G97)+COUNTA(H97:H97)+COUNTA(I97:I97))</f>
        <v>6</v>
      </c>
      <c r="Q97" s="6" t="str">
        <f>IF(A97="","",IF(AND(P97=6,UPPER(L97)&lt;&gt;"Y",C97&lt;&gt;""),"Yes","No"))</f>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IF(A98="","",COUNTA(D98:F98)+COUNTA(G98:G98)+COUNTA(H98:H98)+COUNTA(I98:I98))</f>
        <v>6</v>
      </c>
      <c r="Q98" s="6" t="str">
        <f>IF(A98="","",IF(AND(P98=6,UPPER(L98)&lt;&gt;"Y",C98&lt;&gt;""),"Yes","No"))</f>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IF(A99="","",COUNTA(D99:F99)+COUNTA(G99:G99)+COUNTA(H99:H99)+COUNTA(I99:I99))</f>
        <v>3</v>
      </c>
      <c r="Q99" s="6" t="str">
        <f>IF(A99="","",IF(AND(P99=6,UPPER(L99)&lt;&gt;"Y",C99&lt;&gt;""),"Yes","No"))</f>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IF(A100="","",COUNTA(D100:F100)+COUNTA(G100:G100)+COUNTA(H100:H100)+COUNTA(I100:I100))</f>
        <v>3</v>
      </c>
      <c r="Q100" s="6" t="str">
        <f>IF(A100="","",IF(AND(P100=6,UPPER(L100)&lt;&gt;"Y",C100&lt;&gt;""),"Yes","No"))</f>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IF(A101="","",COUNTA(D101:F101)+COUNTA(G101:G101)+COUNTA(H101:H101)+COUNTA(I101:I101))</f>
        <v>6</v>
      </c>
      <c r="Q101" s="6" t="str">
        <f>IF(A101="","",IF(AND(P101=6,UPPER(L101)&lt;&gt;"Y",C101&lt;&gt;""),"Yes","No"))</f>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IF(A102="","",COUNTA(D102:F102)+COUNTA(G102:G102)+COUNTA(H102:H102)+COUNTA(I102:I102))</f>
        <v>6</v>
      </c>
      <c r="Q102" s="6" t="str">
        <f>IF(A102="","",IF(AND(P102=6,UPPER(L102)&lt;&gt;"Y",C102&lt;&gt;""),"Yes","No"))</f>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IF(A103="","",COUNTA(D103:F103)+COUNTA(G103:G103)+COUNTA(H103:H103)+COUNTA(I103:I103))</f>
        <v>2</v>
      </c>
      <c r="Q103" s="6" t="str">
        <f>IF(A103="","",IF(AND(P103=6,UPPER(L103)&lt;&gt;"Y",C103&lt;&gt;""),"Yes","No"))</f>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IF(A104="","",COUNTA(D104:F104)+COUNTA(G104:G104)+COUNTA(H104:H104)+COUNTA(I104:I104))</f>
        <v>4</v>
      </c>
      <c r="Q104" s="6" t="str">
        <f>IF(A104="","",IF(AND(P104=6,UPPER(L104)&lt;&gt;"Y",C104&lt;&gt;""),"Yes","No"))</f>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IF(A105="","",COUNTA(D105:F105)+COUNTA(G105:G105)+COUNTA(H105:H105)+COUNTA(I105:I105))</f>
        <v>6</v>
      </c>
      <c r="Q105" s="6" t="str">
        <f>IF(A105="","",IF(AND(P105=6,UPPER(L105)&lt;&gt;"Y",C105&lt;&gt;""),"Yes","No"))</f>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IF(A106="","",COUNTA(D106:F106)+COUNTA(G106:G106)+COUNTA(H106:H106)+COUNTA(I106:I106))</f>
        <v>6</v>
      </c>
      <c r="Q106" s="6" t="str">
        <f>IF(A106="","",IF(AND(P106=6,UPPER(L106)&lt;&gt;"Y",C106&lt;&gt;""),"Yes","No"))</f>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IF(A107="","",COUNTA(D107:F107)+COUNTA(G107:G107)+COUNTA(H107:H107)+COUNTA(I107:I107))</f>
        <v>3</v>
      </c>
      <c r="Q107" s="6" t="str">
        <f>IF(A107="","",IF(AND(P107=6,UPPER(L107)&lt;&gt;"Y",C107&lt;&gt;""),"Yes","No"))</f>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IF(A108="","",COUNTA(D108:F108)+COUNTA(G108:G108)+COUNTA(H108:H108)+COUNTA(I108:I108))</f>
        <v>2</v>
      </c>
      <c r="Q108" s="6" t="str">
        <f>IF(A108="","",IF(AND(P108=6,UPPER(L108)&lt;&gt;"Y",C108&lt;&gt;""),"Yes","No"))</f>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IF(A109="","",COUNTA(D109:F109)+COUNTA(G109:G109)+COUNTA(H109:H109)+COUNTA(I109:I109))</f>
        <v>3</v>
      </c>
      <c r="Q109" s="6" t="str">
        <f>IF(A109="","",IF(AND(P109=6,UPPER(L109)&lt;&gt;"Y",C109&lt;&gt;""),"Yes","No"))</f>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IF(A110="","",COUNTA(D110:F110)+COUNTA(G110:G110)+COUNTA(H110:H110)+COUNTA(I110:I110))</f>
        <v>0</v>
      </c>
      <c r="Q110" s="6" t="str">
        <f>IF(A110="","",IF(AND(P110=6,UPPER(L110)&lt;&gt;"Y",C110&lt;&gt;""),"Yes","No"))</f>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IF(A111="","",COUNTA(D111:F111)+COUNTA(G111:G111)+COUNTA(H111:H111)+COUNTA(I111:I111))</f>
        <v>6</v>
      </c>
      <c r="Q111" s="6" t="str">
        <f>IF(A111="","",IF(AND(P111=6,UPPER(L111)&lt;&gt;"Y",C111&lt;&gt;""),"Yes","No"))</f>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IF(A112="","",COUNTA(D112:F112)+COUNTA(G112:G112)+COUNTA(H112:H112)+COUNTA(I112:I112))</f>
        <v>5</v>
      </c>
      <c r="Q112" s="6" t="str">
        <f>IF(A112="","",IF(AND(P112=6,UPPER(L112)&lt;&gt;"Y",C112&lt;&gt;""),"Yes","No"))</f>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IF(A113="","",COUNTA(D113:F113)+COUNTA(G113:G113)+COUNTA(H113:H113)+COUNTA(I113:I113))</f>
        <v>6</v>
      </c>
      <c r="Q113" s="6" t="str">
        <f>IF(A113="","",IF(AND(P113=6,UPPER(L113)&lt;&gt;"Y",C113&lt;&gt;""),"Yes","No"))</f>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IF(A114="","",COUNTA(D114:F114)+COUNTA(G114:G114)+COUNTA(H114:H114)+COUNTA(I114:I114))</f>
        <v>2</v>
      </c>
      <c r="Q114" s="6" t="str">
        <f>IF(A114="","",IF(AND(P114=6,UPPER(L114)&lt;&gt;"Y",C114&lt;&gt;""),"Yes","No"))</f>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IF(A115="","",COUNTA(D115:F115)+COUNTA(G115:G115)+COUNTA(H115:H115)+COUNTA(I115:I115))</f>
        <v>6</v>
      </c>
      <c r="Q115" s="6" t="str">
        <f>IF(A115="","",IF(AND(P115=6,UPPER(L115)&lt;&gt;"Y",C115&lt;&gt;""),"Yes","No"))</f>
        <v>Yes</v>
      </c>
      <c r="R115" s="5" t="s">
        <v>112</v>
      </c>
      <c r="S115" s="5" t="s">
        <v>480</v>
      </c>
      <c r="T115" s="5" t="s">
        <v>481</v>
      </c>
      <c r="U115" s="5" t="s">
        <v>63</v>
      </c>
      <c r="V115" s="5" t="s">
        <v>482</v>
      </c>
      <c r="W115" s="5" t="s">
        <v>43</v>
      </c>
      <c r="X115" s="5" t="s">
        <v>87</v>
      </c>
      <c r="Y115" s="5" t="s">
        <v>88</v>
      </c>
    </row>
    <row r="116" spans="1:25" x14ac:dyDescent="0.25">
      <c r="A116" s="5" t="s">
        <v>483</v>
      </c>
      <c r="B116" s="5"/>
      <c r="C116" s="5" t="s">
        <v>43</v>
      </c>
      <c r="D116" s="5" t="s">
        <v>44</v>
      </c>
      <c r="E116" s="5" t="s">
        <v>45</v>
      </c>
      <c r="F116" s="5" t="s">
        <v>107</v>
      </c>
      <c r="G116" s="5" t="s">
        <v>57</v>
      </c>
      <c r="H116" s="5" t="s">
        <v>456</v>
      </c>
      <c r="I116" s="5" t="s">
        <v>49</v>
      </c>
      <c r="J116" s="5"/>
      <c r="K116" s="5" t="s">
        <v>484</v>
      </c>
      <c r="L116" s="5"/>
      <c r="M116" s="5"/>
      <c r="N116" s="5" t="s">
        <v>110</v>
      </c>
      <c r="O116" s="5"/>
      <c r="P116" s="6">
        <f>IF(A116="","",COUNTA(D116:F116)+COUNTA(G116:G116)+COUNTA(H116:H116)+COUNTA(I116:I116))</f>
        <v>6</v>
      </c>
      <c r="Q116" s="6" t="str">
        <f>IF(A116="","",IF(AND(P116=6,UPPER(L116)&lt;&gt;"Y",C116&lt;&gt;""),"Yes","No"))</f>
        <v>Yes</v>
      </c>
      <c r="R116" s="5" t="s">
        <v>112</v>
      </c>
      <c r="S116" s="5" t="s">
        <v>485</v>
      </c>
      <c r="T116" s="5" t="s">
        <v>486</v>
      </c>
      <c r="U116" s="5" t="s">
        <v>456</v>
      </c>
      <c r="V116" s="5"/>
      <c r="W116" s="5" t="s">
        <v>43</v>
      </c>
      <c r="X116" s="5"/>
      <c r="Y116" s="5" t="s">
        <v>487</v>
      </c>
    </row>
    <row r="117" spans="1:25" x14ac:dyDescent="0.25">
      <c r="A117" s="5" t="s">
        <v>488</v>
      </c>
      <c r="B117" s="5"/>
      <c r="C117" s="5" t="s">
        <v>128</v>
      </c>
      <c r="D117" s="5"/>
      <c r="E117" s="5"/>
      <c r="F117" s="5"/>
      <c r="G117" s="5" t="s">
        <v>57</v>
      </c>
      <c r="H117" s="5" t="s">
        <v>129</v>
      </c>
      <c r="I117" s="5"/>
      <c r="J117" s="5"/>
      <c r="K117" s="5"/>
      <c r="L117" s="5"/>
      <c r="M117" s="5"/>
      <c r="N117" s="5" t="s">
        <v>66</v>
      </c>
      <c r="O117" s="5"/>
      <c r="P117" s="6">
        <f>IF(A117="","",COUNTA(D117:F117)+COUNTA(G117:G117)+COUNTA(H117:H117)+COUNTA(I117:I117))</f>
        <v>2</v>
      </c>
      <c r="Q117" s="6" t="str">
        <f>IF(A117="","",IF(AND(P117=6,UPPER(L117)&lt;&gt;"Y",C117&lt;&gt;""),"Yes","No"))</f>
        <v>No</v>
      </c>
      <c r="R117" s="5" t="s">
        <v>51</v>
      </c>
      <c r="S117" s="5"/>
      <c r="T117" s="5"/>
      <c r="U117" s="5" t="s">
        <v>129</v>
      </c>
      <c r="V117" s="5" t="s">
        <v>57</v>
      </c>
      <c r="W117" s="5" t="s">
        <v>128</v>
      </c>
      <c r="X117" s="5" t="s">
        <v>130</v>
      </c>
      <c r="Y117" s="5"/>
    </row>
    <row r="118" spans="1:25" x14ac:dyDescent="0.25">
      <c r="A118" s="5" t="s">
        <v>489</v>
      </c>
      <c r="B118" s="5" t="s">
        <v>490</v>
      </c>
      <c r="C118" s="5"/>
      <c r="D118" s="5"/>
      <c r="E118" s="5"/>
      <c r="F118" s="5"/>
      <c r="G118" s="5"/>
      <c r="H118" s="5" t="s">
        <v>259</v>
      </c>
      <c r="I118" s="5"/>
      <c r="J118" s="5"/>
      <c r="K118" s="5"/>
      <c r="L118" s="5"/>
      <c r="M118" s="5"/>
      <c r="N118" s="5" t="s">
        <v>66</v>
      </c>
      <c r="O118" s="5" t="s">
        <v>163</v>
      </c>
      <c r="P118" s="6">
        <f>IF(A118="","",COUNTA(D118:F118)+COUNTA(G118:G118)+COUNTA(H118:H118)+COUNTA(I118:I118))</f>
        <v>1</v>
      </c>
      <c r="Q118" s="6" t="str">
        <f>IF(A118="","",IF(AND(P118=6,UPPER(L118)&lt;&gt;"Y",C118&lt;&gt;""),"Yes","No"))</f>
        <v>No</v>
      </c>
      <c r="R118" s="5" t="s">
        <v>51</v>
      </c>
      <c r="S118" s="5"/>
      <c r="T118" s="5" t="s">
        <v>491</v>
      </c>
      <c r="U118" s="5" t="s">
        <v>261</v>
      </c>
      <c r="V118" s="5"/>
      <c r="W118" s="5" t="s">
        <v>166</v>
      </c>
      <c r="X118" s="5"/>
      <c r="Y118" s="5"/>
    </row>
    <row r="119" spans="1:25" x14ac:dyDescent="0.25">
      <c r="A119" s="5" t="s">
        <v>492</v>
      </c>
      <c r="B119" s="5"/>
      <c r="C119" s="5" t="s">
        <v>43</v>
      </c>
      <c r="D119" s="5" t="s">
        <v>44</v>
      </c>
      <c r="E119" s="5" t="s">
        <v>45</v>
      </c>
      <c r="F119" s="5" t="s">
        <v>107</v>
      </c>
      <c r="G119" s="5" t="s">
        <v>1851</v>
      </c>
      <c r="H119" s="5" t="s">
        <v>493</v>
      </c>
      <c r="I119" s="5" t="s">
        <v>71</v>
      </c>
      <c r="J119" s="5" t="s">
        <v>1892</v>
      </c>
      <c r="K119" s="5"/>
      <c r="L119" s="5"/>
      <c r="M119" s="5"/>
      <c r="N119" s="5" t="s">
        <v>50</v>
      </c>
      <c r="O119" s="5"/>
      <c r="P119" s="6">
        <f>IF(A119="","",COUNTA(D119:F119)+COUNTA(G119:G119)+COUNTA(H119:H119)+COUNTA(I119:I119))</f>
        <v>6</v>
      </c>
      <c r="Q119" s="6" t="str">
        <f>IF(A119="","",IF(AND(P119=6,UPPER(L119)&lt;&gt;"Y",C119&lt;&gt;""),"Yes","No"))</f>
        <v>Yes</v>
      </c>
      <c r="R119" s="5" t="s">
        <v>51</v>
      </c>
      <c r="S119" s="5"/>
      <c r="T119" s="5" t="s">
        <v>494</v>
      </c>
      <c r="U119" s="5" t="s">
        <v>493</v>
      </c>
      <c r="V119" s="5"/>
      <c r="W119" s="5" t="s">
        <v>43</v>
      </c>
      <c r="X119" s="5"/>
      <c r="Y119" s="5" t="s">
        <v>64</v>
      </c>
    </row>
    <row r="120" spans="1:25" x14ac:dyDescent="0.25">
      <c r="A120" s="5" t="s">
        <v>495</v>
      </c>
      <c r="B120" s="5"/>
      <c r="C120" s="5" t="s">
        <v>43</v>
      </c>
      <c r="D120" s="5" t="s">
        <v>44</v>
      </c>
      <c r="E120" s="5" t="s">
        <v>45</v>
      </c>
      <c r="F120" s="5" t="s">
        <v>107</v>
      </c>
      <c r="G120" s="5" t="s">
        <v>47</v>
      </c>
      <c r="H120" s="5" t="s">
        <v>58</v>
      </c>
      <c r="I120" s="5" t="s">
        <v>91</v>
      </c>
      <c r="J120" s="5" t="s">
        <v>49</v>
      </c>
      <c r="K120" s="5" t="s">
        <v>496</v>
      </c>
      <c r="L120" s="5"/>
      <c r="M120" s="5"/>
      <c r="N120" s="5" t="s">
        <v>50</v>
      </c>
      <c r="O120" s="5"/>
      <c r="P120" s="6">
        <f>IF(A120="","",COUNTA(D120:F120)+COUNTA(G120:G120)+COUNTA(H120:H120)+COUNTA(I120:I120))</f>
        <v>6</v>
      </c>
      <c r="Q120" s="6" t="str">
        <f>IF(A120="","",IF(AND(P120=6,UPPER(L120)&lt;&gt;"Y",C120&lt;&gt;""),"Yes","No"))</f>
        <v>Yes</v>
      </c>
      <c r="R120" s="5" t="s">
        <v>51</v>
      </c>
      <c r="S120" s="5" t="s">
        <v>497</v>
      </c>
      <c r="T120" s="5" t="s">
        <v>498</v>
      </c>
      <c r="U120" s="5" t="s">
        <v>63</v>
      </c>
      <c r="V120" s="5"/>
      <c r="W120" s="5" t="s">
        <v>43</v>
      </c>
      <c r="X120" s="5"/>
      <c r="Y120" s="5" t="s">
        <v>219</v>
      </c>
    </row>
    <row r="121" spans="1:25" x14ac:dyDescent="0.25">
      <c r="A121" s="5" t="s">
        <v>499</v>
      </c>
      <c r="B121" s="5"/>
      <c r="C121" s="5" t="s">
        <v>43</v>
      </c>
      <c r="D121" s="5" t="s">
        <v>244</v>
      </c>
      <c r="E121" s="5" t="s">
        <v>45</v>
      </c>
      <c r="F121" s="5" t="s">
        <v>107</v>
      </c>
      <c r="G121" s="5" t="s">
        <v>47</v>
      </c>
      <c r="H121" s="5" t="s">
        <v>245</v>
      </c>
      <c r="I121" s="5" t="s">
        <v>123</v>
      </c>
      <c r="J121" s="5"/>
      <c r="K121" s="5" t="s">
        <v>123</v>
      </c>
      <c r="L121" s="5"/>
      <c r="M121" s="5"/>
      <c r="N121" s="5" t="s">
        <v>50</v>
      </c>
      <c r="O121" s="5"/>
      <c r="P121" s="6">
        <f>IF(A121="","",COUNTA(D121:F121)+COUNTA(G121:G121)+COUNTA(H121:H121)+COUNTA(I121:I121))</f>
        <v>6</v>
      </c>
      <c r="Q121" s="6" t="str">
        <f>IF(A121="","",IF(AND(P121=6,UPPER(L121)&lt;&gt;"Y",C121&lt;&gt;""),"Yes","No"))</f>
        <v>Yes</v>
      </c>
      <c r="R121" s="5" t="s">
        <v>51</v>
      </c>
      <c r="S121" s="5"/>
      <c r="T121" s="5" t="s">
        <v>500</v>
      </c>
      <c r="U121" s="5" t="s">
        <v>245</v>
      </c>
      <c r="V121" s="5"/>
      <c r="W121" s="5" t="s">
        <v>43</v>
      </c>
      <c r="X121" s="5"/>
      <c r="Y121" s="5" t="s">
        <v>64</v>
      </c>
    </row>
    <row r="122" spans="1:25" x14ac:dyDescent="0.25">
      <c r="A122" s="5" t="s">
        <v>501</v>
      </c>
      <c r="B122" s="5"/>
      <c r="C122" s="5" t="s">
        <v>43</v>
      </c>
      <c r="D122" s="5" t="s">
        <v>44</v>
      </c>
      <c r="E122" s="5" t="s">
        <v>45</v>
      </c>
      <c r="F122" s="5" t="s">
        <v>46</v>
      </c>
      <c r="G122" s="5" t="s">
        <v>47</v>
      </c>
      <c r="H122" s="5" t="s">
        <v>313</v>
      </c>
      <c r="I122" s="5" t="s">
        <v>72</v>
      </c>
      <c r="J122" s="5"/>
      <c r="K122" s="5" t="s">
        <v>72</v>
      </c>
      <c r="L122" s="5"/>
      <c r="M122" s="5"/>
      <c r="N122" s="5" t="s">
        <v>209</v>
      </c>
      <c r="O122" s="5"/>
      <c r="P122" s="6">
        <f>IF(A122="","",COUNTA(D122:F122)+COUNTA(G122:G122)+COUNTA(H122:H122)+COUNTA(I122:I122))</f>
        <v>6</v>
      </c>
      <c r="Q122" s="6" t="str">
        <f>IF(A122="","",IF(AND(P122=6,UPPER(L122)&lt;&gt;"Y",C122&lt;&gt;""),"Yes","No"))</f>
        <v>Yes</v>
      </c>
      <c r="R122" s="5" t="s">
        <v>112</v>
      </c>
      <c r="S122" s="5" t="s">
        <v>502</v>
      </c>
      <c r="T122" s="5" t="s">
        <v>503</v>
      </c>
      <c r="U122" s="5" t="s">
        <v>316</v>
      </c>
      <c r="V122" s="5" t="s">
        <v>504</v>
      </c>
      <c r="W122" s="5" t="s">
        <v>43</v>
      </c>
      <c r="X122" s="5"/>
      <c r="Y122" s="5" t="s">
        <v>88</v>
      </c>
    </row>
    <row r="123" spans="1:25" x14ac:dyDescent="0.25">
      <c r="A123" s="5" t="s">
        <v>505</v>
      </c>
      <c r="B123" s="5"/>
      <c r="C123" s="5" t="s">
        <v>128</v>
      </c>
      <c r="D123" s="5"/>
      <c r="E123" s="5"/>
      <c r="F123" s="5"/>
      <c r="G123" s="5" t="s">
        <v>57</v>
      </c>
      <c r="H123" s="5"/>
      <c r="I123" s="5"/>
      <c r="J123" s="5"/>
      <c r="K123" s="5"/>
      <c r="L123" s="5"/>
      <c r="M123" s="5"/>
      <c r="N123" s="5" t="s">
        <v>66</v>
      </c>
      <c r="O123" s="5"/>
      <c r="P123" s="6">
        <f>IF(A123="","",COUNTA(D123:F123)+COUNTA(G123:G123)+COUNTA(H123:H123)+COUNTA(I123:I123))</f>
        <v>1</v>
      </c>
      <c r="Q123" s="6" t="str">
        <f>IF(A123="","",IF(AND(P123=6,UPPER(L123)&lt;&gt;"Y",C123&lt;&gt;""),"Yes","No"))</f>
        <v>No</v>
      </c>
      <c r="R123" s="5" t="s">
        <v>51</v>
      </c>
      <c r="S123" s="5"/>
      <c r="T123" s="5"/>
      <c r="U123" s="5"/>
      <c r="V123" s="5" t="s">
        <v>57</v>
      </c>
      <c r="W123" s="5" t="s">
        <v>128</v>
      </c>
      <c r="X123" s="5" t="s">
        <v>249</v>
      </c>
      <c r="Y123" s="5"/>
    </row>
    <row r="124" spans="1:25" x14ac:dyDescent="0.25">
      <c r="A124" s="5" t="s">
        <v>506</v>
      </c>
      <c r="B124" s="5"/>
      <c r="C124" s="5" t="s">
        <v>43</v>
      </c>
      <c r="D124" s="5" t="s">
        <v>44</v>
      </c>
      <c r="E124" s="5" t="s">
        <v>45</v>
      </c>
      <c r="F124" s="5" t="s">
        <v>107</v>
      </c>
      <c r="G124" s="5" t="s">
        <v>1851</v>
      </c>
      <c r="H124" s="5" t="s">
        <v>1129</v>
      </c>
      <c r="I124" s="5" t="s">
        <v>91</v>
      </c>
      <c r="J124" s="5" t="s">
        <v>49</v>
      </c>
      <c r="K124" s="5" t="s">
        <v>91</v>
      </c>
      <c r="L124" s="5"/>
      <c r="M124" s="5"/>
      <c r="N124" s="5" t="s">
        <v>66</v>
      </c>
      <c r="O124" s="5"/>
      <c r="P124" s="6">
        <f>IF(A124="","",COUNTA(D124:F124)+COUNTA(G124:G124)+COUNTA(H124:H124)+COUNTA(I124:I124))</f>
        <v>6</v>
      </c>
      <c r="Q124" s="6" t="str">
        <f>IF(A124="","",IF(AND(P124=6,UPPER(L124)&lt;&gt;"Y",C124&lt;&gt;""),"Yes","No"))</f>
        <v>Yes</v>
      </c>
      <c r="R124" s="5" t="s">
        <v>51</v>
      </c>
      <c r="S124" s="5"/>
      <c r="T124" s="5" t="s">
        <v>507</v>
      </c>
      <c r="U124" s="5" t="s">
        <v>99</v>
      </c>
      <c r="V124" s="5"/>
      <c r="W124" s="5" t="s">
        <v>43</v>
      </c>
      <c r="X124" s="5" t="s">
        <v>508</v>
      </c>
      <c r="Y124" s="5" t="s">
        <v>88</v>
      </c>
    </row>
    <row r="125" spans="1:25" x14ac:dyDescent="0.25">
      <c r="A125" s="5" t="s">
        <v>509</v>
      </c>
      <c r="B125" s="5"/>
      <c r="C125" s="5" t="s">
        <v>43</v>
      </c>
      <c r="D125" s="5" t="s">
        <v>44</v>
      </c>
      <c r="E125" s="5"/>
      <c r="F125" s="5"/>
      <c r="G125" s="5" t="s">
        <v>47</v>
      </c>
      <c r="H125" s="5" t="s">
        <v>313</v>
      </c>
      <c r="I125" s="5" t="s">
        <v>178</v>
      </c>
      <c r="J125" s="5"/>
      <c r="K125" s="5" t="s">
        <v>178</v>
      </c>
      <c r="L125" s="5"/>
      <c r="M125" s="5"/>
      <c r="N125" s="5" t="s">
        <v>50</v>
      </c>
      <c r="O125" s="5"/>
      <c r="P125" s="6">
        <f>IF(A125="","",COUNTA(D125:F125)+COUNTA(G125:G125)+COUNTA(H125:H125)+COUNTA(I125:I125))</f>
        <v>4</v>
      </c>
      <c r="Q125" s="6" t="str">
        <f>IF(A125="","",IF(AND(P125=6,UPPER(L125)&lt;&gt;"Y",C125&lt;&gt;""),"Yes","No"))</f>
        <v>No</v>
      </c>
      <c r="R125" s="5" t="s">
        <v>51</v>
      </c>
      <c r="S125" s="5"/>
      <c r="T125" s="5" t="s">
        <v>510</v>
      </c>
      <c r="U125" s="5" t="s">
        <v>316</v>
      </c>
      <c r="V125" s="5"/>
      <c r="W125" s="5" t="s">
        <v>43</v>
      </c>
      <c r="X125" s="5"/>
      <c r="Y125" s="5" t="s">
        <v>237</v>
      </c>
    </row>
    <row r="126" spans="1:25" x14ac:dyDescent="0.25">
      <c r="A126" s="5" t="s">
        <v>511</v>
      </c>
      <c r="B126" s="5"/>
      <c r="C126" s="5" t="s">
        <v>70</v>
      </c>
      <c r="D126" s="5" t="s">
        <v>76</v>
      </c>
      <c r="E126" s="5" t="s">
        <v>45</v>
      </c>
      <c r="F126" s="5" t="s">
        <v>46</v>
      </c>
      <c r="G126" s="5"/>
      <c r="H126" s="5" t="s">
        <v>83</v>
      </c>
      <c r="I126" s="5" t="s">
        <v>91</v>
      </c>
      <c r="J126" s="5"/>
      <c r="K126" s="5" t="s">
        <v>91</v>
      </c>
      <c r="L126" s="5"/>
      <c r="M126" s="5"/>
      <c r="N126" s="5" t="s">
        <v>50</v>
      </c>
      <c r="O126" s="5"/>
      <c r="P126" s="6">
        <f>IF(A126="","",COUNTA(D126:F126)+COUNTA(G126:G126)+COUNTA(H126:H126)+COUNTA(I126:I126))</f>
        <v>5</v>
      </c>
      <c r="Q126" s="6" t="str">
        <f>IF(A126="","",IF(AND(P126=6,UPPER(L126)&lt;&gt;"Y",C126&lt;&gt;""),"Yes","No"))</f>
        <v>No</v>
      </c>
      <c r="R126" s="5" t="s">
        <v>51</v>
      </c>
      <c r="S126" s="5"/>
      <c r="T126" s="5" t="s">
        <v>512</v>
      </c>
      <c r="U126" s="5" t="s">
        <v>83</v>
      </c>
      <c r="V126" s="5"/>
      <c r="W126" s="5"/>
      <c r="X126" s="5"/>
      <c r="Y126" s="5" t="s">
        <v>513</v>
      </c>
    </row>
    <row r="127" spans="1:25" x14ac:dyDescent="0.25">
      <c r="A127" s="5" t="s">
        <v>514</v>
      </c>
      <c r="B127" s="5"/>
      <c r="C127" s="5" t="s">
        <v>43</v>
      </c>
      <c r="D127" s="5" t="s">
        <v>44</v>
      </c>
      <c r="E127" s="5" t="s">
        <v>45</v>
      </c>
      <c r="F127" s="5" t="s">
        <v>46</v>
      </c>
      <c r="G127" s="5" t="s">
        <v>47</v>
      </c>
      <c r="H127" s="5" t="s">
        <v>515</v>
      </c>
      <c r="I127" s="5" t="s">
        <v>192</v>
      </c>
      <c r="J127" s="5"/>
      <c r="K127" s="5" t="s">
        <v>516</v>
      </c>
      <c r="L127" s="5"/>
      <c r="M127" s="5"/>
      <c r="N127" s="5" t="s">
        <v>50</v>
      </c>
      <c r="O127" s="5" t="s">
        <v>225</v>
      </c>
      <c r="P127" s="6">
        <f>IF(A127="","",COUNTA(D127:F127)+COUNTA(G127:G127)+COUNTA(H127:H127)+COUNTA(I127:I127))</f>
        <v>6</v>
      </c>
      <c r="Q127" s="6" t="str">
        <f>IF(A127="","",IF(AND(P127=6,UPPER(L127)&lt;&gt;"Y",C127&lt;&gt;""),"Yes","No"))</f>
        <v>Yes</v>
      </c>
      <c r="R127" s="5" t="s">
        <v>51</v>
      </c>
      <c r="S127" s="5" t="s">
        <v>517</v>
      </c>
      <c r="T127" s="5" t="s">
        <v>518</v>
      </c>
      <c r="U127" s="5" t="s">
        <v>519</v>
      </c>
      <c r="V127" s="5"/>
      <c r="W127" s="5" t="s">
        <v>43</v>
      </c>
      <c r="X127" s="5" t="s">
        <v>68</v>
      </c>
      <c r="Y127" s="5" t="s">
        <v>520</v>
      </c>
    </row>
    <row r="128" spans="1:25" x14ac:dyDescent="0.25">
      <c r="A128" s="5" t="s">
        <v>1870</v>
      </c>
      <c r="B128" s="5"/>
      <c r="C128" s="5" t="s">
        <v>43</v>
      </c>
      <c r="D128" s="5" t="s">
        <v>44</v>
      </c>
      <c r="E128" s="5" t="s">
        <v>45</v>
      </c>
      <c r="F128" s="5" t="s">
        <v>46</v>
      </c>
      <c r="G128" s="5" t="s">
        <v>57</v>
      </c>
      <c r="H128" s="5" t="s">
        <v>58</v>
      </c>
      <c r="I128" s="5" t="s">
        <v>123</v>
      </c>
      <c r="J128" s="5"/>
      <c r="K128" s="5" t="s">
        <v>123</v>
      </c>
      <c r="L128" s="5"/>
      <c r="M128" s="5"/>
      <c r="N128" s="5" t="s">
        <v>50</v>
      </c>
      <c r="O128" s="5"/>
      <c r="P128" s="6">
        <f>IF(A128="","",COUNTA(D128:F128)+COUNTA(G128:G128)+COUNTA(H128:H128)+COUNTA(I128:I128))</f>
        <v>6</v>
      </c>
      <c r="Q128" s="6" t="str">
        <f>IF(A128="","",IF(AND(P128=6,UPPER(L128)&lt;&gt;"Y",C128&lt;&gt;""),"Yes","No"))</f>
        <v>Yes</v>
      </c>
      <c r="R128" s="5" t="s">
        <v>51</v>
      </c>
      <c r="S128" s="5" t="s">
        <v>1874</v>
      </c>
      <c r="T128" s="5" t="s">
        <v>1871</v>
      </c>
      <c r="U128" s="5" t="s">
        <v>63</v>
      </c>
      <c r="V128" s="5"/>
      <c r="W128" s="5" t="s">
        <v>43</v>
      </c>
      <c r="X128" s="5"/>
      <c r="Y128" s="5" t="s">
        <v>64</v>
      </c>
    </row>
    <row r="129" spans="1:25" x14ac:dyDescent="0.25">
      <c r="A129" s="5" t="s">
        <v>521</v>
      </c>
      <c r="B129" s="5"/>
      <c r="C129" s="5" t="s">
        <v>128</v>
      </c>
      <c r="D129" s="5"/>
      <c r="E129" s="5"/>
      <c r="F129" s="5"/>
      <c r="G129" s="5" t="s">
        <v>57</v>
      </c>
      <c r="H129" s="5" t="s">
        <v>522</v>
      </c>
      <c r="I129" s="5"/>
      <c r="J129" s="5"/>
      <c r="K129" s="5"/>
      <c r="L129" s="5"/>
      <c r="M129" s="5"/>
      <c r="N129" s="5" t="s">
        <v>66</v>
      </c>
      <c r="O129" s="5" t="s">
        <v>225</v>
      </c>
      <c r="P129" s="6">
        <f>IF(A129="","",COUNTA(D129:F129)+COUNTA(G129:G129)+COUNTA(H129:H129)+COUNTA(I129:I129))</f>
        <v>2</v>
      </c>
      <c r="Q129" s="6" t="str">
        <f>IF(A129="","",IF(AND(P129=6,UPPER(L129)&lt;&gt;"Y",C129&lt;&gt;""),"Yes","No"))</f>
        <v>No</v>
      </c>
      <c r="R129" s="5" t="s">
        <v>51</v>
      </c>
      <c r="S129" s="5"/>
      <c r="T129" s="5" t="s">
        <v>523</v>
      </c>
      <c r="U129" s="5" t="s">
        <v>522</v>
      </c>
      <c r="V129" s="5" t="s">
        <v>57</v>
      </c>
      <c r="W129" s="5" t="s">
        <v>128</v>
      </c>
      <c r="X129" s="5" t="s">
        <v>524</v>
      </c>
      <c r="Y129" s="5"/>
    </row>
    <row r="130" spans="1:25" x14ac:dyDescent="0.25">
      <c r="A130" s="5" t="s">
        <v>525</v>
      </c>
      <c r="B130" s="5"/>
      <c r="C130" s="5" t="s">
        <v>43</v>
      </c>
      <c r="D130" s="5" t="s">
        <v>76</v>
      </c>
      <c r="E130" s="5" t="s">
        <v>45</v>
      </c>
      <c r="F130" s="5" t="s">
        <v>107</v>
      </c>
      <c r="G130" s="5"/>
      <c r="H130" s="5" t="s">
        <v>83</v>
      </c>
      <c r="I130" s="5" t="s">
        <v>78</v>
      </c>
      <c r="J130" s="5"/>
      <c r="K130" s="5" t="s">
        <v>78</v>
      </c>
      <c r="L130" s="5"/>
      <c r="M130" s="5"/>
      <c r="N130" s="5" t="s">
        <v>50</v>
      </c>
      <c r="O130" s="5"/>
      <c r="P130" s="6">
        <f>IF(A130="","",COUNTA(D130:F130)+COUNTA(G130:G130)+COUNTA(H130:H130)+COUNTA(I130:I130))</f>
        <v>5</v>
      </c>
      <c r="Q130" s="6" t="str">
        <f>IF(A130="","",IF(AND(P130=6,UPPER(L130)&lt;&gt;"Y",C130&lt;&gt;""),"Yes","No"))</f>
        <v>No</v>
      </c>
      <c r="R130" s="5" t="s">
        <v>51</v>
      </c>
      <c r="S130" s="5" t="s">
        <v>526</v>
      </c>
      <c r="T130" s="5" t="s">
        <v>527</v>
      </c>
      <c r="U130" s="5" t="s">
        <v>83</v>
      </c>
      <c r="V130" s="5"/>
      <c r="W130" s="5" t="s">
        <v>43</v>
      </c>
      <c r="X130" s="5"/>
      <c r="Y130" s="5" t="s">
        <v>347</v>
      </c>
    </row>
    <row r="131" spans="1:25" x14ac:dyDescent="0.25">
      <c r="A131" s="5" t="s">
        <v>531</v>
      </c>
      <c r="B131" s="5"/>
      <c r="C131" s="5" t="s">
        <v>43</v>
      </c>
      <c r="D131" s="5" t="s">
        <v>44</v>
      </c>
      <c r="E131" s="5" t="s">
        <v>45</v>
      </c>
      <c r="F131" s="5" t="s">
        <v>46</v>
      </c>
      <c r="G131" s="5" t="s">
        <v>47</v>
      </c>
      <c r="H131" s="5" t="s">
        <v>1836</v>
      </c>
      <c r="I131" s="5" t="s">
        <v>192</v>
      </c>
      <c r="J131" s="5"/>
      <c r="K131" s="5" t="s">
        <v>192</v>
      </c>
      <c r="L131" s="5"/>
      <c r="M131" s="5"/>
      <c r="N131" s="5" t="s">
        <v>50</v>
      </c>
      <c r="O131" s="5"/>
      <c r="P131" s="6">
        <f>IF(A131="","",COUNTA(D131:F131)+COUNTA(G131:G131)+COUNTA(H131:H131)+COUNTA(I131:I131))</f>
        <v>6</v>
      </c>
      <c r="Q131" s="6" t="str">
        <f>IF(A131="","",IF(AND(P131=6,UPPER(L131)&lt;&gt;"Y",C131&lt;&gt;""),"Yes","No"))</f>
        <v>Yes</v>
      </c>
      <c r="R131" s="5" t="s">
        <v>51</v>
      </c>
      <c r="S131" s="5" t="s">
        <v>531</v>
      </c>
      <c r="T131" s="5" t="s">
        <v>532</v>
      </c>
      <c r="U131" s="5" t="s">
        <v>63</v>
      </c>
      <c r="V131" s="5" t="s">
        <v>533</v>
      </c>
      <c r="W131" s="5" t="s">
        <v>43</v>
      </c>
      <c r="X131" s="5"/>
      <c r="Y131" s="5" t="s">
        <v>197</v>
      </c>
    </row>
    <row r="132" spans="1:25" x14ac:dyDescent="0.25">
      <c r="A132" s="5" t="s">
        <v>534</v>
      </c>
      <c r="B132" s="5"/>
      <c r="C132" s="5" t="s">
        <v>43</v>
      </c>
      <c r="D132" s="5" t="s">
        <v>44</v>
      </c>
      <c r="E132" s="5" t="s">
        <v>45</v>
      </c>
      <c r="F132" s="5" t="s">
        <v>107</v>
      </c>
      <c r="G132" s="5" t="s">
        <v>47</v>
      </c>
      <c r="H132" s="5" t="s">
        <v>313</v>
      </c>
      <c r="I132" s="5" t="s">
        <v>71</v>
      </c>
      <c r="J132" s="5" t="s">
        <v>91</v>
      </c>
      <c r="K132" s="5" t="s">
        <v>535</v>
      </c>
      <c r="L132" s="5"/>
      <c r="M132" s="5"/>
      <c r="N132" s="5" t="s">
        <v>50</v>
      </c>
      <c r="O132" s="5" t="s">
        <v>225</v>
      </c>
      <c r="P132" s="6">
        <f>IF(A132="","",COUNTA(D132:F132)+COUNTA(G132:G132)+COUNTA(H132:H132)+COUNTA(I132:I132))</f>
        <v>6</v>
      </c>
      <c r="Q132" s="6" t="str">
        <f>IF(A132="","",IF(AND(P132=6,UPPER(L132)&lt;&gt;"Y",C132&lt;&gt;""),"Yes","No"))</f>
        <v>Yes</v>
      </c>
      <c r="R132" s="5" t="s">
        <v>51</v>
      </c>
      <c r="S132" s="5" t="s">
        <v>536</v>
      </c>
      <c r="T132" s="5" t="s">
        <v>537</v>
      </c>
      <c r="U132" s="5" t="s">
        <v>538</v>
      </c>
      <c r="V132" s="5" t="s">
        <v>539</v>
      </c>
      <c r="W132" s="5" t="s">
        <v>43</v>
      </c>
      <c r="X132" s="5"/>
      <c r="Y132" s="5" t="s">
        <v>540</v>
      </c>
    </row>
    <row r="133" spans="1:25" x14ac:dyDescent="0.25">
      <c r="A133" s="5" t="s">
        <v>541</v>
      </c>
      <c r="B133" s="5"/>
      <c r="C133" s="5" t="s">
        <v>128</v>
      </c>
      <c r="D133" s="5"/>
      <c r="E133" s="5"/>
      <c r="F133" s="5"/>
      <c r="G133" s="5"/>
      <c r="H133" s="5"/>
      <c r="I133" s="5" t="s">
        <v>49</v>
      </c>
      <c r="J133" s="5"/>
      <c r="K133" s="5" t="s">
        <v>49</v>
      </c>
      <c r="L133" s="5"/>
      <c r="M133" s="5"/>
      <c r="N133" s="5" t="s">
        <v>66</v>
      </c>
      <c r="O133" s="5"/>
      <c r="P133" s="6">
        <f>IF(A133="","",COUNTA(D133:F133)+COUNTA(G133:G133)+COUNTA(H133:H133)+COUNTA(I133:I133))</f>
        <v>1</v>
      </c>
      <c r="Q133" s="6" t="str">
        <f>IF(A133="","",IF(AND(P133=6,UPPER(L133)&lt;&gt;"Y",C133&lt;&gt;""),"Yes","No"))</f>
        <v>No</v>
      </c>
      <c r="R133" s="5" t="s">
        <v>51</v>
      </c>
      <c r="S133" s="5"/>
      <c r="T133" s="5" t="s">
        <v>542</v>
      </c>
      <c r="U133" s="5"/>
      <c r="V133" s="5"/>
      <c r="W133" s="5" t="s">
        <v>319</v>
      </c>
      <c r="X133" s="5" t="s">
        <v>543</v>
      </c>
      <c r="Y133" s="5"/>
    </row>
    <row r="134" spans="1:25" x14ac:dyDescent="0.25">
      <c r="A134" s="5" t="s">
        <v>544</v>
      </c>
      <c r="B134" s="5"/>
      <c r="C134" s="5" t="s">
        <v>70</v>
      </c>
      <c r="D134" s="5"/>
      <c r="E134" s="5"/>
      <c r="F134" s="5" t="s">
        <v>46</v>
      </c>
      <c r="G134" s="5"/>
      <c r="H134" s="5" t="s">
        <v>138</v>
      </c>
      <c r="I134" s="5"/>
      <c r="J134" s="5"/>
      <c r="K134" s="5" t="s">
        <v>139</v>
      </c>
      <c r="L134" s="5"/>
      <c r="M134" s="5"/>
      <c r="N134" s="5" t="s">
        <v>124</v>
      </c>
      <c r="O134" s="5" t="s">
        <v>140</v>
      </c>
      <c r="P134" s="6">
        <f>IF(A134="","",COUNTA(D134:F134)+COUNTA(G134:G134)+COUNTA(H134:H134)+COUNTA(I134:I134))</f>
        <v>2</v>
      </c>
      <c r="Q134" s="6" t="str">
        <f>IF(A134="","",IF(AND(P134=6,UPPER(L134)&lt;&gt;"Y",C134&lt;&gt;""),"Yes","No"))</f>
        <v>No</v>
      </c>
      <c r="R134" s="5" t="s">
        <v>125</v>
      </c>
      <c r="S134" s="5"/>
      <c r="T134" s="5"/>
      <c r="U134" s="5" t="s">
        <v>138</v>
      </c>
      <c r="V134" s="5"/>
      <c r="W134" s="5"/>
      <c r="X134" s="5"/>
      <c r="Y134" s="5" t="s">
        <v>545</v>
      </c>
    </row>
    <row r="135" spans="1:25" x14ac:dyDescent="0.25">
      <c r="A135" s="5" t="s">
        <v>548</v>
      </c>
      <c r="B135" s="5"/>
      <c r="C135" s="5" t="s">
        <v>43</v>
      </c>
      <c r="D135" s="5" t="s">
        <v>76</v>
      </c>
      <c r="E135" s="5" t="s">
        <v>45</v>
      </c>
      <c r="F135" s="5" t="s">
        <v>46</v>
      </c>
      <c r="G135" s="5" t="s">
        <v>47</v>
      </c>
      <c r="H135" s="5" t="s">
        <v>77</v>
      </c>
      <c r="I135" s="5" t="s">
        <v>78</v>
      </c>
      <c r="J135" s="5" t="s">
        <v>133</v>
      </c>
      <c r="K135" s="5" t="s">
        <v>549</v>
      </c>
      <c r="L135" s="5"/>
      <c r="M135" s="5"/>
      <c r="N135" s="5" t="s">
        <v>50</v>
      </c>
      <c r="O135" s="5" t="s">
        <v>97</v>
      </c>
      <c r="P135" s="6">
        <f>IF(A135="","",COUNTA(D135:F135)+COUNTA(G135:G135)+COUNTA(H135:H135)+COUNTA(I135:I135))</f>
        <v>6</v>
      </c>
      <c r="Q135" s="6" t="str">
        <f>IF(A135="","",IF(AND(P135=6,UPPER(L135)&lt;&gt;"Y",C135&lt;&gt;""),"Yes","No"))</f>
        <v>Yes</v>
      </c>
      <c r="R135" s="5" t="s">
        <v>51</v>
      </c>
      <c r="S135" s="5"/>
      <c r="T135" s="5" t="s">
        <v>550</v>
      </c>
      <c r="U135" s="5" t="s">
        <v>77</v>
      </c>
      <c r="V135" s="5" t="s">
        <v>100</v>
      </c>
      <c r="W135" s="5" t="s">
        <v>43</v>
      </c>
      <c r="X135" s="5" t="s">
        <v>187</v>
      </c>
      <c r="Y135" s="5" t="s">
        <v>101</v>
      </c>
    </row>
    <row r="136" spans="1:25" x14ac:dyDescent="0.25">
      <c r="A136" s="5" t="s">
        <v>554</v>
      </c>
      <c r="B136" s="5"/>
      <c r="C136" s="5" t="s">
        <v>70</v>
      </c>
      <c r="D136" s="5" t="s">
        <v>44</v>
      </c>
      <c r="E136" s="5"/>
      <c r="F136" s="5"/>
      <c r="G136" s="5"/>
      <c r="H136" s="5"/>
      <c r="I136" s="5"/>
      <c r="J136" s="5"/>
      <c r="K136" s="5"/>
      <c r="L136" s="5"/>
      <c r="M136" s="5"/>
      <c r="N136" s="5" t="s">
        <v>50</v>
      </c>
      <c r="O136" s="5"/>
      <c r="P136" s="6">
        <f>IF(A136="","",COUNTA(D136:F136)+COUNTA(G136:G136)+COUNTA(H136:H136)+COUNTA(I136:I136))</f>
        <v>1</v>
      </c>
      <c r="Q136" s="6" t="str">
        <f>IF(A136="","",IF(AND(P136=6,UPPER(L136)&lt;&gt;"Y",C136&lt;&gt;""),"Yes","No"))</f>
        <v>No</v>
      </c>
      <c r="R136" s="5" t="s">
        <v>51</v>
      </c>
      <c r="S136" s="5"/>
      <c r="T136" s="5"/>
      <c r="U136" s="5"/>
      <c r="V136" s="5"/>
      <c r="W136" s="5"/>
      <c r="X136" s="5"/>
      <c r="Y136" s="5" t="s">
        <v>189</v>
      </c>
    </row>
    <row r="137" spans="1:25" x14ac:dyDescent="0.25">
      <c r="A137" s="5" t="s">
        <v>555</v>
      </c>
      <c r="B137" s="5"/>
      <c r="C137" s="5" t="s">
        <v>43</v>
      </c>
      <c r="D137" s="5"/>
      <c r="E137" s="5"/>
      <c r="F137" s="5"/>
      <c r="G137" s="5" t="s">
        <v>47</v>
      </c>
      <c r="H137" s="5"/>
      <c r="I137" s="5"/>
      <c r="J137" s="5"/>
      <c r="K137" s="5"/>
      <c r="L137" s="5"/>
      <c r="M137" s="5"/>
      <c r="N137" s="5" t="s">
        <v>50</v>
      </c>
      <c r="O137" s="5"/>
      <c r="P137" s="6">
        <f>IF(A137="","",COUNTA(D137:F137)+COUNTA(G137:G137)+COUNTA(H137:H137)+COUNTA(I137:I137))</f>
        <v>1</v>
      </c>
      <c r="Q137" s="6" t="str">
        <f>IF(A137="","",IF(AND(P137=6,UPPER(L137)&lt;&gt;"Y",C137&lt;&gt;""),"Yes","No"))</f>
        <v>No</v>
      </c>
      <c r="R137" s="5" t="s">
        <v>51</v>
      </c>
      <c r="S137" s="5"/>
      <c r="T137" s="5"/>
      <c r="U137" s="5"/>
      <c r="V137" s="5"/>
      <c r="W137" s="5" t="s">
        <v>43</v>
      </c>
      <c r="X137" s="5" t="s">
        <v>68</v>
      </c>
      <c r="Y137" s="5" t="s">
        <v>547</v>
      </c>
    </row>
    <row r="138" spans="1:25" x14ac:dyDescent="0.25">
      <c r="A138" s="5" t="s">
        <v>556</v>
      </c>
      <c r="B138" s="5"/>
      <c r="C138" s="5"/>
      <c r="D138" s="5"/>
      <c r="E138" s="5"/>
      <c r="F138" s="5"/>
      <c r="G138" s="5"/>
      <c r="H138" s="5" t="s">
        <v>557</v>
      </c>
      <c r="I138" s="5"/>
      <c r="J138" s="5"/>
      <c r="K138" s="5"/>
      <c r="L138" s="5"/>
      <c r="M138" s="5"/>
      <c r="N138" s="5" t="s">
        <v>66</v>
      </c>
      <c r="O138" s="5" t="s">
        <v>103</v>
      </c>
      <c r="P138" s="6">
        <f>IF(A138="","",COUNTA(D138:F138)+COUNTA(G138:G138)+COUNTA(H138:H138)+COUNTA(I138:I138))</f>
        <v>1</v>
      </c>
      <c r="Q138" s="6" t="str">
        <f>IF(A138="","",IF(AND(P138=6,UPPER(L138)&lt;&gt;"Y",C138&lt;&gt;""),"Yes","No"))</f>
        <v>No</v>
      </c>
      <c r="R138" s="5" t="s">
        <v>51</v>
      </c>
      <c r="S138" s="5"/>
      <c r="T138" s="5" t="s">
        <v>558</v>
      </c>
      <c r="U138" s="5" t="s">
        <v>557</v>
      </c>
      <c r="V138" s="5"/>
      <c r="W138" s="5" t="s">
        <v>105</v>
      </c>
      <c r="X138" s="5"/>
      <c r="Y138" s="5"/>
    </row>
    <row r="139" spans="1:25" x14ac:dyDescent="0.25">
      <c r="A139" s="5" t="s">
        <v>559</v>
      </c>
      <c r="B139" s="5"/>
      <c r="C139" s="5"/>
      <c r="D139" s="5"/>
      <c r="E139" s="5"/>
      <c r="F139" s="5"/>
      <c r="G139" s="5" t="s">
        <v>47</v>
      </c>
      <c r="H139" s="5"/>
      <c r="I139" s="5" t="s">
        <v>178</v>
      </c>
      <c r="J139" s="5"/>
      <c r="K139" s="5" t="s">
        <v>178</v>
      </c>
      <c r="L139" s="5"/>
      <c r="M139" s="5"/>
      <c r="N139" s="5" t="s">
        <v>66</v>
      </c>
      <c r="O139" s="5" t="s">
        <v>103</v>
      </c>
      <c r="P139" s="6">
        <f>IF(A139="","",COUNTA(D139:F139)+COUNTA(G139:G139)+COUNTA(H139:H139)+COUNTA(I139:I139))</f>
        <v>2</v>
      </c>
      <c r="Q139" s="6" t="str">
        <f>IF(A139="","",IF(AND(P139=6,UPPER(L139)&lt;&gt;"Y",C139&lt;&gt;""),"Yes","No"))</f>
        <v>No</v>
      </c>
      <c r="R139" s="5" t="s">
        <v>51</v>
      </c>
      <c r="S139" s="5"/>
      <c r="T139" s="5" t="s">
        <v>560</v>
      </c>
      <c r="U139" s="5"/>
      <c r="V139" s="5" t="s">
        <v>561</v>
      </c>
      <c r="W139" s="5" t="s">
        <v>105</v>
      </c>
      <c r="X139" s="5"/>
      <c r="Y139" s="5"/>
    </row>
    <row r="140" spans="1:25" x14ac:dyDescent="0.25">
      <c r="A140" s="5" t="s">
        <v>562</v>
      </c>
      <c r="B140" s="5"/>
      <c r="C140" s="5" t="s">
        <v>128</v>
      </c>
      <c r="D140" s="5"/>
      <c r="E140" s="5"/>
      <c r="F140" s="5"/>
      <c r="G140" s="5" t="s">
        <v>57</v>
      </c>
      <c r="H140" s="5" t="s">
        <v>563</v>
      </c>
      <c r="I140" s="5"/>
      <c r="J140" s="5"/>
      <c r="K140" s="5"/>
      <c r="L140" s="5"/>
      <c r="M140" s="5"/>
      <c r="N140" s="5" t="s">
        <v>66</v>
      </c>
      <c r="O140" s="5"/>
      <c r="P140" s="6">
        <f>IF(A140="","",COUNTA(D140:F140)+COUNTA(G140:G140)+COUNTA(H140:H140)+COUNTA(I140:I140))</f>
        <v>2</v>
      </c>
      <c r="Q140" s="6" t="str">
        <f>IF(A140="","",IF(AND(P140=6,UPPER(L140)&lt;&gt;"Y",C140&lt;&gt;""),"Yes","No"))</f>
        <v>No</v>
      </c>
      <c r="R140" s="5" t="s">
        <v>51</v>
      </c>
      <c r="S140" s="5"/>
      <c r="T140" s="5"/>
      <c r="U140" s="5" t="s">
        <v>563</v>
      </c>
      <c r="V140" s="5" t="s">
        <v>57</v>
      </c>
      <c r="W140" s="5" t="s">
        <v>128</v>
      </c>
      <c r="X140" s="5" t="s">
        <v>130</v>
      </c>
      <c r="Y140" s="5"/>
    </row>
    <row r="141" spans="1:25" x14ac:dyDescent="0.25">
      <c r="A141" s="5" t="s">
        <v>564</v>
      </c>
      <c r="B141" s="5"/>
      <c r="C141" s="5" t="s">
        <v>43</v>
      </c>
      <c r="D141" s="5" t="s">
        <v>244</v>
      </c>
      <c r="E141" s="5" t="s">
        <v>45</v>
      </c>
      <c r="F141" s="5" t="s">
        <v>107</v>
      </c>
      <c r="G141" s="5" t="s">
        <v>57</v>
      </c>
      <c r="H141" s="5" t="s">
        <v>58</v>
      </c>
      <c r="I141" s="5" t="s">
        <v>49</v>
      </c>
      <c r="J141" s="5"/>
      <c r="K141" s="5" t="s">
        <v>49</v>
      </c>
      <c r="L141" s="5"/>
      <c r="M141" s="5"/>
      <c r="N141" s="5" t="s">
        <v>110</v>
      </c>
      <c r="O141" s="5"/>
      <c r="P141" s="6">
        <f>IF(A141="","",COUNTA(D141:F141)+COUNTA(G141:G141)+COUNTA(H141:H141)+COUNTA(I141:I141))</f>
        <v>6</v>
      </c>
      <c r="Q141" s="6" t="str">
        <f>IF(A141="","",IF(AND(P141=6,UPPER(L141)&lt;&gt;"Y",C141&lt;&gt;""),"Yes","No"))</f>
        <v>Yes</v>
      </c>
      <c r="R141" s="5" t="s">
        <v>112</v>
      </c>
      <c r="S141" s="5" t="s">
        <v>564</v>
      </c>
      <c r="T141" s="5" t="s">
        <v>565</v>
      </c>
      <c r="U141" s="5" t="s">
        <v>63</v>
      </c>
      <c r="V141" s="5"/>
      <c r="W141" s="5" t="s">
        <v>43</v>
      </c>
      <c r="X141" s="5" t="s">
        <v>566</v>
      </c>
      <c r="Y141" s="5" t="s">
        <v>219</v>
      </c>
    </row>
    <row r="142" spans="1:25" x14ac:dyDescent="0.25">
      <c r="A142" s="5" t="s">
        <v>567</v>
      </c>
      <c r="B142" s="5"/>
      <c r="C142" s="5" t="s">
        <v>70</v>
      </c>
      <c r="D142" s="5" t="s">
        <v>76</v>
      </c>
      <c r="E142" s="5"/>
      <c r="F142" s="5"/>
      <c r="G142" s="5"/>
      <c r="H142" s="5" t="s">
        <v>77</v>
      </c>
      <c r="I142" s="5" t="s">
        <v>72</v>
      </c>
      <c r="J142" s="5" t="s">
        <v>568</v>
      </c>
      <c r="K142" s="5" t="s">
        <v>569</v>
      </c>
      <c r="L142" s="5"/>
      <c r="M142" s="5"/>
      <c r="N142" s="5" t="s">
        <v>50</v>
      </c>
      <c r="O142" s="5"/>
      <c r="P142" s="6">
        <f>IF(A142="","",COUNTA(D142:F142)+COUNTA(G142:G142)+COUNTA(H142:H142)+COUNTA(I142:I142))</f>
        <v>3</v>
      </c>
      <c r="Q142" s="6" t="str">
        <f>IF(A142="","",IF(AND(P142=6,UPPER(L142)&lt;&gt;"Y",C142&lt;&gt;""),"Yes","No"))</f>
        <v>No</v>
      </c>
      <c r="R142" s="5" t="s">
        <v>51</v>
      </c>
      <c r="S142" s="5"/>
      <c r="T142" s="5" t="s">
        <v>570</v>
      </c>
      <c r="U142" s="5" t="s">
        <v>77</v>
      </c>
      <c r="V142" s="5"/>
      <c r="W142" s="5"/>
      <c r="X142" s="5"/>
      <c r="Y142" s="5" t="s">
        <v>428</v>
      </c>
    </row>
    <row r="143" spans="1:25" x14ac:dyDescent="0.25">
      <c r="A143" s="5" t="s">
        <v>571</v>
      </c>
      <c r="B143" s="5"/>
      <c r="C143" s="5" t="s">
        <v>70</v>
      </c>
      <c r="D143" s="5" t="s">
        <v>44</v>
      </c>
      <c r="E143" s="5" t="s">
        <v>45</v>
      </c>
      <c r="F143" s="5" t="s">
        <v>46</v>
      </c>
      <c r="G143" s="5"/>
      <c r="H143" s="5" t="s">
        <v>572</v>
      </c>
      <c r="I143" s="5"/>
      <c r="J143" s="5"/>
      <c r="K143" s="5" t="s">
        <v>139</v>
      </c>
      <c r="L143" s="5"/>
      <c r="M143" s="5"/>
      <c r="N143" s="5" t="s">
        <v>124</v>
      </c>
      <c r="O143" s="5"/>
      <c r="P143" s="6">
        <f>IF(A143="","",COUNTA(D143:F143)+COUNTA(G143:G143)+COUNTA(H143:H143)+COUNTA(I143:I143))</f>
        <v>4</v>
      </c>
      <c r="Q143" s="6" t="str">
        <f>IF(A143="","",IF(AND(P143=6,UPPER(L143)&lt;&gt;"Y",C143&lt;&gt;""),"Yes","No"))</f>
        <v>No</v>
      </c>
      <c r="R143" s="5" t="s">
        <v>125</v>
      </c>
      <c r="S143" s="5" t="s">
        <v>573</v>
      </c>
      <c r="T143" s="5"/>
      <c r="U143" s="5" t="s">
        <v>572</v>
      </c>
      <c r="V143" s="5"/>
      <c r="W143" s="5"/>
      <c r="X143" s="5"/>
      <c r="Y143" s="5" t="s">
        <v>155</v>
      </c>
    </row>
    <row r="144" spans="1:25" x14ac:dyDescent="0.25">
      <c r="A144" s="5" t="s">
        <v>574</v>
      </c>
      <c r="B144" s="5"/>
      <c r="C144" s="5" t="s">
        <v>70</v>
      </c>
      <c r="D144" s="5" t="s">
        <v>44</v>
      </c>
      <c r="E144" s="5" t="s">
        <v>45</v>
      </c>
      <c r="F144" s="5" t="s">
        <v>107</v>
      </c>
      <c r="G144" s="5" t="s">
        <v>47</v>
      </c>
      <c r="H144" s="5" t="s">
        <v>456</v>
      </c>
      <c r="I144" s="5"/>
      <c r="J144" s="5"/>
      <c r="K144" s="5" t="s">
        <v>139</v>
      </c>
      <c r="L144" s="5"/>
      <c r="M144" s="5"/>
      <c r="N144" s="5" t="s">
        <v>124</v>
      </c>
      <c r="O144" s="5"/>
      <c r="P144" s="6">
        <f>IF(A144="","",COUNTA(D144:F144)+COUNTA(G144:G144)+COUNTA(H144:H144)+COUNTA(I144:I144))</f>
        <v>5</v>
      </c>
      <c r="Q144" s="6" t="str">
        <f>IF(A144="","",IF(AND(P144=6,UPPER(L144)&lt;&gt;"Y",C144&lt;&gt;""),"Yes","No"))</f>
        <v>No</v>
      </c>
      <c r="R144" s="5" t="s">
        <v>125</v>
      </c>
      <c r="S144" s="5" t="s">
        <v>138</v>
      </c>
      <c r="T144" s="5"/>
      <c r="U144" s="5" t="s">
        <v>456</v>
      </c>
      <c r="V144" s="5" t="s">
        <v>47</v>
      </c>
      <c r="W144" s="5"/>
      <c r="X144" s="5"/>
      <c r="Y144" s="5" t="s">
        <v>575</v>
      </c>
    </row>
    <row r="145" spans="1:25" x14ac:dyDescent="0.25">
      <c r="A145" s="5" t="s">
        <v>576</v>
      </c>
      <c r="B145" s="5"/>
      <c r="C145" s="5" t="s">
        <v>43</v>
      </c>
      <c r="D145" s="5" t="s">
        <v>244</v>
      </c>
      <c r="E145" s="5" t="s">
        <v>45</v>
      </c>
      <c r="F145" s="5" t="s">
        <v>46</v>
      </c>
      <c r="G145" s="5" t="s">
        <v>47</v>
      </c>
      <c r="H145" s="5" t="s">
        <v>245</v>
      </c>
      <c r="I145" s="5" t="s">
        <v>123</v>
      </c>
      <c r="J145" s="5" t="s">
        <v>71</v>
      </c>
      <c r="K145" s="5" t="s">
        <v>123</v>
      </c>
      <c r="L145" s="5"/>
      <c r="M145" s="5"/>
      <c r="N145" s="5" t="s">
        <v>50</v>
      </c>
      <c r="O145" s="5"/>
      <c r="P145" s="6">
        <f>IF(A145="","",COUNTA(D145:F145)+COUNTA(G145:G145)+COUNTA(H145:H145)+COUNTA(I145:I145))</f>
        <v>6</v>
      </c>
      <c r="Q145" s="6" t="str">
        <f>IF(A145="","",IF(AND(P145=6,UPPER(L145)&lt;&gt;"Y",C145&lt;&gt;""),"Yes","No"))</f>
        <v>Yes</v>
      </c>
      <c r="R145" s="5" t="s">
        <v>51</v>
      </c>
      <c r="S145" s="5"/>
      <c r="T145" s="5" t="s">
        <v>577</v>
      </c>
      <c r="U145" s="5" t="s">
        <v>245</v>
      </c>
      <c r="V145" s="5"/>
      <c r="W145" s="5"/>
      <c r="X145" s="5"/>
      <c r="Y145" s="5" t="s">
        <v>578</v>
      </c>
    </row>
    <row r="146" spans="1:25" x14ac:dyDescent="0.25">
      <c r="A146" s="5" t="s">
        <v>579</v>
      </c>
      <c r="B146" s="5"/>
      <c r="C146" s="5"/>
      <c r="D146" s="5"/>
      <c r="E146" s="5"/>
      <c r="F146" s="5" t="s">
        <v>46</v>
      </c>
      <c r="G146" s="5"/>
      <c r="H146" s="5" t="s">
        <v>77</v>
      </c>
      <c r="I146" s="5" t="s">
        <v>178</v>
      </c>
      <c r="J146" s="5" t="s">
        <v>580</v>
      </c>
      <c r="K146" s="5" t="s">
        <v>581</v>
      </c>
      <c r="L146" s="5"/>
      <c r="M146" s="5"/>
      <c r="N146" s="5" t="s">
        <v>66</v>
      </c>
      <c r="O146" s="5"/>
      <c r="P146" s="6">
        <f>IF(A146="","",COUNTA(D146:F146)+COUNTA(G146:G146)+COUNTA(H146:H146)+COUNTA(I146:I146))</f>
        <v>3</v>
      </c>
      <c r="Q146" s="6" t="str">
        <f>IF(A146="","",IF(AND(P146=6,UPPER(L146)&lt;&gt;"Y",C146&lt;&gt;""),"Yes","No"))</f>
        <v>No</v>
      </c>
      <c r="R146" s="5" t="s">
        <v>51</v>
      </c>
      <c r="S146" s="5"/>
      <c r="T146" s="5" t="s">
        <v>582</v>
      </c>
      <c r="U146" s="5" t="s">
        <v>77</v>
      </c>
      <c r="V146" s="5"/>
      <c r="W146" s="5"/>
      <c r="X146" s="5"/>
      <c r="Y146" s="5" t="s">
        <v>583</v>
      </c>
    </row>
    <row r="147" spans="1:25" x14ac:dyDescent="0.25">
      <c r="A147" s="5" t="s">
        <v>584</v>
      </c>
      <c r="B147" s="5"/>
      <c r="C147" s="5" t="s">
        <v>43</v>
      </c>
      <c r="D147" s="5" t="s">
        <v>44</v>
      </c>
      <c r="E147" s="5" t="s">
        <v>45</v>
      </c>
      <c r="F147" s="5" t="s">
        <v>46</v>
      </c>
      <c r="G147" s="5" t="s">
        <v>47</v>
      </c>
      <c r="H147" s="5" t="s">
        <v>456</v>
      </c>
      <c r="I147" s="5" t="s">
        <v>71</v>
      </c>
      <c r="J147" s="5"/>
      <c r="K147" s="5" t="s">
        <v>71</v>
      </c>
      <c r="L147" s="5"/>
      <c r="M147" s="5"/>
      <c r="N147" s="5" t="s">
        <v>50</v>
      </c>
      <c r="O147" s="5"/>
      <c r="P147" s="6">
        <f>IF(A147="","",COUNTA(D147:F147)+COUNTA(G147:G147)+COUNTA(H147:H147)+COUNTA(I147:I147))</f>
        <v>6</v>
      </c>
      <c r="Q147" s="6" t="str">
        <f>IF(A147="","",IF(AND(P147=6,UPPER(L147)&lt;&gt;"Y",C147&lt;&gt;""),"Yes","No"))</f>
        <v>Yes</v>
      </c>
      <c r="R147" s="5" t="s">
        <v>51</v>
      </c>
      <c r="S147" s="5"/>
      <c r="T147" s="5" t="s">
        <v>585</v>
      </c>
      <c r="U147" s="5" t="s">
        <v>456</v>
      </c>
      <c r="V147" s="5" t="s">
        <v>586</v>
      </c>
      <c r="W147" s="5" t="s">
        <v>43</v>
      </c>
      <c r="X147" s="5"/>
      <c r="Y147" s="5" t="s">
        <v>587</v>
      </c>
    </row>
    <row r="148" spans="1:25" x14ac:dyDescent="0.25">
      <c r="A148" s="5" t="s">
        <v>588</v>
      </c>
      <c r="B148" s="5"/>
      <c r="C148" s="5" t="s">
        <v>43</v>
      </c>
      <c r="D148" s="5" t="s">
        <v>76</v>
      </c>
      <c r="E148" s="5" t="s">
        <v>45</v>
      </c>
      <c r="F148" s="5" t="s">
        <v>107</v>
      </c>
      <c r="G148" s="5" t="s">
        <v>1851</v>
      </c>
      <c r="H148" s="5" t="s">
        <v>77</v>
      </c>
      <c r="I148" s="5" t="s">
        <v>71</v>
      </c>
      <c r="J148" s="5" t="s">
        <v>91</v>
      </c>
      <c r="K148" s="5" t="s">
        <v>589</v>
      </c>
      <c r="L148" s="5"/>
      <c r="M148" s="5"/>
      <c r="N148" s="5" t="s">
        <v>50</v>
      </c>
      <c r="O148" s="5"/>
      <c r="P148" s="6">
        <f>IF(A148="","",COUNTA(D148:F148)+COUNTA(G148:G148)+COUNTA(H148:H148)+COUNTA(I148:I148))</f>
        <v>6</v>
      </c>
      <c r="Q148" s="6" t="str">
        <f>IF(A148="","",IF(AND(P148=6,UPPER(L148)&lt;&gt;"Y",C148&lt;&gt;""),"Yes","No"))</f>
        <v>Yes</v>
      </c>
      <c r="R148" s="5" t="s">
        <v>51</v>
      </c>
      <c r="S148" s="5"/>
      <c r="T148" s="5" t="s">
        <v>590</v>
      </c>
      <c r="U148" s="5" t="s">
        <v>149</v>
      </c>
      <c r="V148" s="5"/>
      <c r="W148" s="5" t="s">
        <v>43</v>
      </c>
      <c r="X148" s="5"/>
      <c r="Y148" s="5" t="s">
        <v>591</v>
      </c>
    </row>
    <row r="149" spans="1:25" x14ac:dyDescent="0.25">
      <c r="A149" s="5" t="s">
        <v>592</v>
      </c>
      <c r="B149" s="5"/>
      <c r="C149" s="5" t="s">
        <v>43</v>
      </c>
      <c r="D149" s="5" t="s">
        <v>76</v>
      </c>
      <c r="E149" s="5" t="s">
        <v>593</v>
      </c>
      <c r="F149" s="5" t="s">
        <v>107</v>
      </c>
      <c r="G149" s="5" t="s">
        <v>57</v>
      </c>
      <c r="H149" s="5" t="s">
        <v>594</v>
      </c>
      <c r="I149" s="5" t="s">
        <v>123</v>
      </c>
      <c r="J149" s="5" t="s">
        <v>595</v>
      </c>
      <c r="K149" s="5" t="s">
        <v>123</v>
      </c>
      <c r="L149" s="5"/>
      <c r="M149" s="5"/>
      <c r="N149" s="5" t="s">
        <v>110</v>
      </c>
      <c r="O149" s="5" t="s">
        <v>596</v>
      </c>
      <c r="P149" s="6">
        <f>IF(A149="","",COUNTA(D149:F149)+COUNTA(G149:G149)+COUNTA(H149:H149)+COUNTA(I149:I149))</f>
        <v>6</v>
      </c>
      <c r="Q149" s="6" t="str">
        <f>IF(A149="","",IF(AND(P149=6,UPPER(L149)&lt;&gt;"Y",C149&lt;&gt;""),"Yes","No"))</f>
        <v>Yes</v>
      </c>
      <c r="R149" s="5" t="s">
        <v>112</v>
      </c>
      <c r="S149" s="5"/>
      <c r="T149" s="5" t="s">
        <v>597</v>
      </c>
      <c r="U149" s="5" t="s">
        <v>598</v>
      </c>
      <c r="V149" s="5" t="s">
        <v>57</v>
      </c>
      <c r="W149" s="5" t="s">
        <v>43</v>
      </c>
      <c r="X149" s="5"/>
      <c r="Y149" s="5" t="s">
        <v>599</v>
      </c>
    </row>
    <row r="150" spans="1:25" x14ac:dyDescent="0.25">
      <c r="A150" s="5" t="s">
        <v>600</v>
      </c>
      <c r="B150" s="5"/>
      <c r="C150" s="5"/>
      <c r="D150" s="5"/>
      <c r="E150" s="5"/>
      <c r="F150" s="5"/>
      <c r="G150" s="5"/>
      <c r="H150" s="5" t="s">
        <v>377</v>
      </c>
      <c r="I150" s="5" t="s">
        <v>49</v>
      </c>
      <c r="J150" s="5"/>
      <c r="K150" s="5" t="s">
        <v>601</v>
      </c>
      <c r="L150" s="5"/>
      <c r="M150" s="5"/>
      <c r="N150" s="5" t="s">
        <v>66</v>
      </c>
      <c r="O150" s="5" t="s">
        <v>103</v>
      </c>
      <c r="P150" s="6">
        <f>IF(A150="","",COUNTA(D150:F150)+COUNTA(G150:G150)+COUNTA(H150:H150)+COUNTA(I150:I150))</f>
        <v>2</v>
      </c>
      <c r="Q150" s="6" t="str">
        <f>IF(A150="","",IF(AND(P150=6,UPPER(L150)&lt;&gt;"Y",C150&lt;&gt;""),"Yes","No"))</f>
        <v>No</v>
      </c>
      <c r="R150" s="5" t="s">
        <v>51</v>
      </c>
      <c r="S150" s="5"/>
      <c r="T150" s="5"/>
      <c r="U150" s="5" t="s">
        <v>377</v>
      </c>
      <c r="V150" s="5"/>
      <c r="W150" s="5" t="s">
        <v>105</v>
      </c>
      <c r="X150" s="5"/>
      <c r="Y150" s="5"/>
    </row>
    <row r="151" spans="1:25" x14ac:dyDescent="0.25">
      <c r="A151" s="5" t="s">
        <v>602</v>
      </c>
      <c r="B151" s="5" t="s">
        <v>603</v>
      </c>
      <c r="C151" s="5"/>
      <c r="D151" s="5"/>
      <c r="E151" s="5"/>
      <c r="F151" s="5"/>
      <c r="G151" s="5"/>
      <c r="H151" s="5" t="s">
        <v>259</v>
      </c>
      <c r="I151" s="5"/>
      <c r="J151" s="5"/>
      <c r="K151" s="5"/>
      <c r="L151" s="5"/>
      <c r="M151" s="5"/>
      <c r="N151" s="5" t="s">
        <v>66</v>
      </c>
      <c r="O151" s="5" t="s">
        <v>163</v>
      </c>
      <c r="P151" s="6">
        <f>IF(A151="","",COUNTA(D151:F151)+COUNTA(G151:G151)+COUNTA(H151:H151)+COUNTA(I151:I151))</f>
        <v>1</v>
      </c>
      <c r="Q151" s="6" t="str">
        <f>IF(A151="","",IF(AND(P151=6,UPPER(L151)&lt;&gt;"Y",C151&lt;&gt;""),"Yes","No"))</f>
        <v>No</v>
      </c>
      <c r="R151" s="5" t="s">
        <v>51</v>
      </c>
      <c r="S151" s="5"/>
      <c r="T151" s="5" t="s">
        <v>604</v>
      </c>
      <c r="U151" s="5" t="s">
        <v>261</v>
      </c>
      <c r="V151" s="5"/>
      <c r="W151" s="5" t="s">
        <v>166</v>
      </c>
      <c r="X151" s="5"/>
      <c r="Y151" s="5"/>
    </row>
    <row r="152" spans="1:25" x14ac:dyDescent="0.25">
      <c r="A152" s="5" t="s">
        <v>605</v>
      </c>
      <c r="B152" s="5"/>
      <c r="C152" s="5" t="s">
        <v>43</v>
      </c>
      <c r="D152" s="5" t="s">
        <v>44</v>
      </c>
      <c r="E152" s="5" t="s">
        <v>45</v>
      </c>
      <c r="F152" s="5" t="s">
        <v>107</v>
      </c>
      <c r="G152" s="5" t="s">
        <v>47</v>
      </c>
      <c r="H152" s="5" t="s">
        <v>214</v>
      </c>
      <c r="I152" s="5" t="s">
        <v>78</v>
      </c>
      <c r="J152" s="5" t="s">
        <v>606</v>
      </c>
      <c r="K152" s="5" t="s">
        <v>607</v>
      </c>
      <c r="L152" s="5"/>
      <c r="M152" s="5"/>
      <c r="N152" s="5" t="s">
        <v>110</v>
      </c>
      <c r="O152" s="5" t="s">
        <v>608</v>
      </c>
      <c r="P152" s="6">
        <f>IF(A152="","",COUNTA(D152:F152)+COUNTA(G152:G152)+COUNTA(H152:H152)+COUNTA(I152:I152))</f>
        <v>6</v>
      </c>
      <c r="Q152" s="6" t="str">
        <f>IF(A152="","",IF(AND(P152=6,UPPER(L152)&lt;&gt;"Y",C152&lt;&gt;""),"Yes","No"))</f>
        <v>Yes</v>
      </c>
      <c r="R152" s="5" t="s">
        <v>112</v>
      </c>
      <c r="S152" s="5" t="s">
        <v>609</v>
      </c>
      <c r="T152" s="5" t="s">
        <v>610</v>
      </c>
      <c r="U152" s="5" t="s">
        <v>611</v>
      </c>
      <c r="V152" s="5" t="s">
        <v>612</v>
      </c>
      <c r="W152" s="5" t="s">
        <v>43</v>
      </c>
      <c r="X152" s="5"/>
      <c r="Y152" s="5" t="s">
        <v>540</v>
      </c>
    </row>
    <row r="153" spans="1:25" x14ac:dyDescent="0.25">
      <c r="A153" s="5" t="s">
        <v>613</v>
      </c>
      <c r="B153" s="5"/>
      <c r="C153" s="5" t="s">
        <v>70</v>
      </c>
      <c r="D153" s="5"/>
      <c r="E153" s="5" t="s">
        <v>593</v>
      </c>
      <c r="F153" s="5"/>
      <c r="G153" s="5" t="s">
        <v>47</v>
      </c>
      <c r="H153" s="5" t="s">
        <v>138</v>
      </c>
      <c r="I153" s="5"/>
      <c r="J153" s="5"/>
      <c r="K153" s="5" t="s">
        <v>614</v>
      </c>
      <c r="L153" s="5"/>
      <c r="M153" s="5"/>
      <c r="N153" s="5" t="s">
        <v>124</v>
      </c>
      <c r="O153" s="5" t="s">
        <v>615</v>
      </c>
      <c r="P153" s="6">
        <f>IF(A153="","",COUNTA(D153:F153)+COUNTA(G153:G153)+COUNTA(H153:H153)+COUNTA(I153:I153))</f>
        <v>3</v>
      </c>
      <c r="Q153" s="6" t="str">
        <f>IF(A153="","",IF(AND(P153=6,UPPER(L153)&lt;&gt;"Y",C153&lt;&gt;""),"Yes","No"))</f>
        <v>No</v>
      </c>
      <c r="R153" s="5" t="s">
        <v>125</v>
      </c>
      <c r="S153" s="5" t="s">
        <v>138</v>
      </c>
      <c r="T153" s="5"/>
      <c r="U153" s="5" t="s">
        <v>138</v>
      </c>
      <c r="V153" s="5" t="s">
        <v>47</v>
      </c>
      <c r="W153" s="5"/>
      <c r="X153" s="5"/>
      <c r="Y153" s="5" t="s">
        <v>616</v>
      </c>
    </row>
    <row r="154" spans="1:25" x14ac:dyDescent="0.25">
      <c r="A154" s="5" t="s">
        <v>617</v>
      </c>
      <c r="B154" s="5"/>
      <c r="C154" s="5" t="s">
        <v>70</v>
      </c>
      <c r="D154" s="5" t="s">
        <v>76</v>
      </c>
      <c r="E154" s="5" t="s">
        <v>45</v>
      </c>
      <c r="F154" s="5" t="s">
        <v>107</v>
      </c>
      <c r="G154" s="5"/>
      <c r="H154" s="5" t="s">
        <v>58</v>
      </c>
      <c r="I154" s="5" t="s">
        <v>192</v>
      </c>
      <c r="J154" s="5"/>
      <c r="K154" s="5" t="s">
        <v>192</v>
      </c>
      <c r="L154" s="5"/>
      <c r="M154" s="5"/>
      <c r="N154" s="5" t="s">
        <v>50</v>
      </c>
      <c r="O154" s="5"/>
      <c r="P154" s="6">
        <f>IF(A154="","",COUNTA(D154:F154)+COUNTA(G154:G154)+COUNTA(H154:H154)+COUNTA(I154:I154))</f>
        <v>5</v>
      </c>
      <c r="Q154" s="6" t="str">
        <f>IF(A154="","",IF(AND(P154=6,UPPER(L154)&lt;&gt;"Y",C154&lt;&gt;""),"Yes","No"))</f>
        <v>No</v>
      </c>
      <c r="R154" s="5" t="s">
        <v>51</v>
      </c>
      <c r="S154" s="5"/>
      <c r="T154" s="5" t="s">
        <v>618</v>
      </c>
      <c r="U154" s="5" t="s">
        <v>63</v>
      </c>
      <c r="V154" s="5"/>
      <c r="W154" s="5"/>
      <c r="X154" s="5"/>
      <c r="Y154" s="5" t="s">
        <v>619</v>
      </c>
    </row>
    <row r="155" spans="1:25" x14ac:dyDescent="0.25">
      <c r="A155" s="5" t="s">
        <v>620</v>
      </c>
      <c r="B155" s="5"/>
      <c r="C155" s="5" t="s">
        <v>128</v>
      </c>
      <c r="D155" s="5"/>
      <c r="E155" s="5"/>
      <c r="F155" s="5"/>
      <c r="G155" s="5" t="s">
        <v>57</v>
      </c>
      <c r="H155" s="5" t="s">
        <v>129</v>
      </c>
      <c r="I155" s="5"/>
      <c r="J155" s="5"/>
      <c r="K155" s="5"/>
      <c r="L155" s="5"/>
      <c r="M155" s="5"/>
      <c r="N155" s="5" t="s">
        <v>66</v>
      </c>
      <c r="O155" s="5"/>
      <c r="P155" s="6">
        <f>IF(A155="","",COUNTA(D155:F155)+COUNTA(G155:G155)+COUNTA(H155:H155)+COUNTA(I155:I155))</f>
        <v>2</v>
      </c>
      <c r="Q155" s="6" t="str">
        <f>IF(A155="","",IF(AND(P155=6,UPPER(L155)&lt;&gt;"Y",C155&lt;&gt;""),"Yes","No"))</f>
        <v>No</v>
      </c>
      <c r="R155" s="5" t="s">
        <v>51</v>
      </c>
      <c r="S155" s="5"/>
      <c r="T155" s="5" t="s">
        <v>621</v>
      </c>
      <c r="U155" s="5" t="s">
        <v>129</v>
      </c>
      <c r="V155" s="5" t="s">
        <v>57</v>
      </c>
      <c r="W155" s="5" t="s">
        <v>128</v>
      </c>
      <c r="X155" s="5" t="s">
        <v>130</v>
      </c>
      <c r="Y155" s="5"/>
    </row>
    <row r="156" spans="1:25" x14ac:dyDescent="0.25">
      <c r="A156" s="5" t="s">
        <v>622</v>
      </c>
      <c r="B156" s="5"/>
      <c r="C156" s="5"/>
      <c r="D156" s="5"/>
      <c r="E156" s="5"/>
      <c r="F156" s="5"/>
      <c r="G156" s="5"/>
      <c r="H156" s="5"/>
      <c r="I156" s="5"/>
      <c r="J156" s="5"/>
      <c r="K156" s="5"/>
      <c r="L156" s="5"/>
      <c r="M156" s="5"/>
      <c r="N156" s="5" t="s">
        <v>66</v>
      </c>
      <c r="O156" s="5"/>
      <c r="P156" s="6">
        <f>IF(A156="","",COUNTA(D156:F156)+COUNTA(G156:G156)+COUNTA(H156:H156)+COUNTA(I156:I156))</f>
        <v>0</v>
      </c>
      <c r="Q156" s="6" t="str">
        <f>IF(A156="","",IF(AND(P156=6,UPPER(L156)&lt;&gt;"Y",C156&lt;&gt;""),"Yes","No"))</f>
        <v>No</v>
      </c>
      <c r="R156" s="5" t="s">
        <v>51</v>
      </c>
      <c r="S156" s="5"/>
      <c r="T156" s="5" t="s">
        <v>623</v>
      </c>
      <c r="U156" s="5"/>
      <c r="V156" s="5"/>
      <c r="W156" s="5"/>
      <c r="X156" s="5"/>
      <c r="Y156" s="5"/>
    </row>
    <row r="157" spans="1:25" x14ac:dyDescent="0.25">
      <c r="A157" s="5" t="s">
        <v>624</v>
      </c>
      <c r="B157" s="5"/>
      <c r="C157" s="5" t="s">
        <v>43</v>
      </c>
      <c r="D157" s="5" t="s">
        <v>76</v>
      </c>
      <c r="E157" s="5" t="s">
        <v>45</v>
      </c>
      <c r="F157" s="5" t="s">
        <v>46</v>
      </c>
      <c r="G157" s="5" t="s">
        <v>47</v>
      </c>
      <c r="H157" s="5" t="s">
        <v>77</v>
      </c>
      <c r="I157" s="5" t="s">
        <v>133</v>
      </c>
      <c r="J157" s="5"/>
      <c r="K157" s="5" t="s">
        <v>625</v>
      </c>
      <c r="L157" s="5"/>
      <c r="M157" s="5"/>
      <c r="N157" s="5" t="s">
        <v>110</v>
      </c>
      <c r="O157" s="5" t="s">
        <v>225</v>
      </c>
      <c r="P157" s="6">
        <f>IF(A157="","",COUNTA(D157:F157)+COUNTA(G157:G157)+COUNTA(H157:H157)+COUNTA(I157:I157))</f>
        <v>6</v>
      </c>
      <c r="Q157" s="6" t="str">
        <f>IF(A157="","",IF(AND(P157=6,UPPER(L157)&lt;&gt;"Y",C157&lt;&gt;""),"Yes","No"))</f>
        <v>Yes</v>
      </c>
      <c r="R157" s="5" t="s">
        <v>112</v>
      </c>
      <c r="S157" s="5" t="s">
        <v>626</v>
      </c>
      <c r="T157" s="5" t="s">
        <v>627</v>
      </c>
      <c r="U157" s="5" t="s">
        <v>115</v>
      </c>
      <c r="V157" s="5" t="s">
        <v>470</v>
      </c>
      <c r="W157" s="5" t="s">
        <v>43</v>
      </c>
      <c r="X157" s="5" t="s">
        <v>628</v>
      </c>
      <c r="Y157" s="5" t="s">
        <v>117</v>
      </c>
    </row>
    <row r="158" spans="1:25" x14ac:dyDescent="0.25">
      <c r="A158" s="5" t="s">
        <v>629</v>
      </c>
      <c r="B158" s="5"/>
      <c r="C158" s="5" t="s">
        <v>43</v>
      </c>
      <c r="D158" s="5"/>
      <c r="E158" s="5" t="s">
        <v>45</v>
      </c>
      <c r="F158" s="5" t="s">
        <v>107</v>
      </c>
      <c r="G158" s="5" t="s">
        <v>47</v>
      </c>
      <c r="H158" s="5"/>
      <c r="I158" s="5"/>
      <c r="J158" s="5"/>
      <c r="K158" s="5"/>
      <c r="L158" s="5"/>
      <c r="M158" s="5"/>
      <c r="N158" s="5" t="s">
        <v>66</v>
      </c>
      <c r="O158" s="5"/>
      <c r="P158" s="6">
        <f>IF(A158="","",COUNTA(D158:F158)+COUNTA(G158:G158)+COUNTA(H158:H158)+COUNTA(I158:I158))</f>
        <v>3</v>
      </c>
      <c r="Q158" s="6" t="str">
        <f>IF(A158="","",IF(AND(P158=6,UPPER(L158)&lt;&gt;"Y",C158&lt;&gt;""),"Yes","No"))</f>
        <v>No</v>
      </c>
      <c r="R158" s="5" t="s">
        <v>51</v>
      </c>
      <c r="S158" s="5" t="s">
        <v>630</v>
      </c>
      <c r="T158" s="5"/>
      <c r="U158" s="5"/>
      <c r="V158" s="5" t="s">
        <v>67</v>
      </c>
      <c r="W158" s="5" t="s">
        <v>43</v>
      </c>
      <c r="X158" s="5" t="s">
        <v>68</v>
      </c>
      <c r="Y158" s="5" t="s">
        <v>392</v>
      </c>
    </row>
    <row r="159" spans="1:25" x14ac:dyDescent="0.25">
      <c r="A159" s="5" t="s">
        <v>631</v>
      </c>
      <c r="B159" s="5"/>
      <c r="C159" s="5" t="s">
        <v>43</v>
      </c>
      <c r="D159" s="5"/>
      <c r="E159" s="5" t="s">
        <v>45</v>
      </c>
      <c r="F159" s="5" t="s">
        <v>46</v>
      </c>
      <c r="G159" s="5"/>
      <c r="H159" s="5"/>
      <c r="I159" s="5" t="s">
        <v>49</v>
      </c>
      <c r="J159" s="5"/>
      <c r="K159" s="5" t="s">
        <v>49</v>
      </c>
      <c r="L159" s="5"/>
      <c r="M159" s="5"/>
      <c r="N159" s="5" t="s">
        <v>66</v>
      </c>
      <c r="O159" s="5"/>
      <c r="P159" s="6">
        <f>IF(A159="","",COUNTA(D159:F159)+COUNTA(G159:G159)+COUNTA(H159:H159)+COUNTA(I159:I159))</f>
        <v>3</v>
      </c>
      <c r="Q159" s="6" t="str">
        <f>IF(A159="","",IF(AND(P159=6,UPPER(L159)&lt;&gt;"Y",C159&lt;&gt;""),"Yes","No"))</f>
        <v>No</v>
      </c>
      <c r="R159" s="5" t="s">
        <v>51</v>
      </c>
      <c r="S159" s="5"/>
      <c r="T159" s="5"/>
      <c r="U159" s="5"/>
      <c r="V159" s="5"/>
      <c r="W159" s="5" t="s">
        <v>43</v>
      </c>
      <c r="X159" s="5"/>
      <c r="Y159" s="5" t="s">
        <v>167</v>
      </c>
    </row>
    <row r="160" spans="1:25" x14ac:dyDescent="0.25">
      <c r="A160" s="5" t="s">
        <v>632</v>
      </c>
      <c r="B160" s="5"/>
      <c r="C160" s="5" t="s">
        <v>70</v>
      </c>
      <c r="D160" s="5" t="s">
        <v>44</v>
      </c>
      <c r="E160" s="5"/>
      <c r="F160" s="5" t="s">
        <v>46</v>
      </c>
      <c r="G160" s="5"/>
      <c r="H160" s="5" t="s">
        <v>633</v>
      </c>
      <c r="I160" s="5" t="s">
        <v>119</v>
      </c>
      <c r="J160" s="5"/>
      <c r="K160" s="5" t="s">
        <v>119</v>
      </c>
      <c r="L160" s="5"/>
      <c r="M160" s="5"/>
      <c r="N160" s="5" t="s">
        <v>50</v>
      </c>
      <c r="O160" s="5"/>
      <c r="P160" s="6">
        <f>IF(A160="","",COUNTA(D160:F160)+COUNTA(G160:G160)+COUNTA(H160:H160)+COUNTA(I160:I160))</f>
        <v>4</v>
      </c>
      <c r="Q160" s="6" t="str">
        <f>IF(A160="","",IF(AND(P160=6,UPPER(L160)&lt;&gt;"Y",C160&lt;&gt;""),"Yes","No"))</f>
        <v>No</v>
      </c>
      <c r="R160" s="5" t="s">
        <v>51</v>
      </c>
      <c r="S160" s="5"/>
      <c r="T160" s="5" t="s">
        <v>634</v>
      </c>
      <c r="U160" s="5" t="s">
        <v>635</v>
      </c>
      <c r="V160" s="5"/>
      <c r="W160" s="5"/>
      <c r="X160" s="5"/>
      <c r="Y160" s="5" t="s">
        <v>301</v>
      </c>
    </row>
    <row r="161" spans="1:25" x14ac:dyDescent="0.25">
      <c r="A161" s="5" t="s">
        <v>636</v>
      </c>
      <c r="B161" s="5"/>
      <c r="C161" s="5" t="s">
        <v>70</v>
      </c>
      <c r="D161" s="5"/>
      <c r="E161" s="5" t="s">
        <v>45</v>
      </c>
      <c r="F161" s="5" t="s">
        <v>107</v>
      </c>
      <c r="G161" s="5" t="s">
        <v>57</v>
      </c>
      <c r="H161" s="5" t="s">
        <v>637</v>
      </c>
      <c r="I161" s="5"/>
      <c r="J161" s="5"/>
      <c r="K161" s="5" t="s">
        <v>139</v>
      </c>
      <c r="L161" s="5"/>
      <c r="M161" s="5"/>
      <c r="N161" s="5" t="s">
        <v>124</v>
      </c>
      <c r="O161" s="5"/>
      <c r="P161" s="6">
        <f>IF(A161="","",COUNTA(D161:F161)+COUNTA(G161:G161)+COUNTA(H161:H161)+COUNTA(I161:I161))</f>
        <v>4</v>
      </c>
      <c r="Q161" s="6" t="str">
        <f>IF(A161="","",IF(AND(P161=6,UPPER(L161)&lt;&gt;"Y",C161&lt;&gt;""),"Yes","No"))</f>
        <v>No</v>
      </c>
      <c r="R161" s="5" t="s">
        <v>125</v>
      </c>
      <c r="S161" s="5"/>
      <c r="T161" s="5"/>
      <c r="U161" s="5" t="s">
        <v>637</v>
      </c>
      <c r="V161" s="5"/>
      <c r="W161" s="5"/>
      <c r="X161" s="5"/>
      <c r="Y161" s="5" t="s">
        <v>545</v>
      </c>
    </row>
    <row r="162" spans="1:25" x14ac:dyDescent="0.25">
      <c r="A162" s="5" t="s">
        <v>638</v>
      </c>
      <c r="B162" s="5"/>
      <c r="C162" s="5" t="s">
        <v>70</v>
      </c>
      <c r="D162" s="5"/>
      <c r="E162" s="5" t="s">
        <v>45</v>
      </c>
      <c r="F162" s="5" t="s">
        <v>107</v>
      </c>
      <c r="G162" s="5" t="s">
        <v>47</v>
      </c>
      <c r="H162" s="5"/>
      <c r="I162" s="5"/>
      <c r="J162" s="5"/>
      <c r="K162" s="5" t="s">
        <v>139</v>
      </c>
      <c r="L162" s="5"/>
      <c r="M162" s="5"/>
      <c r="N162" s="5" t="s">
        <v>124</v>
      </c>
      <c r="O162" s="5" t="s">
        <v>140</v>
      </c>
      <c r="P162" s="6">
        <f>IF(A162="","",COUNTA(D162:F162)+COUNTA(G162:G162)+COUNTA(H162:H162)+COUNTA(I162:I162))</f>
        <v>3</v>
      </c>
      <c r="Q162" s="6" t="str">
        <f>IF(A162="","",IF(AND(P162=6,UPPER(L162)&lt;&gt;"Y",C162&lt;&gt;""),"Yes","No"))</f>
        <v>No</v>
      </c>
      <c r="R162" s="5" t="s">
        <v>125</v>
      </c>
      <c r="S162" s="5"/>
      <c r="T162" s="5"/>
      <c r="U162" s="5"/>
      <c r="V162" s="5" t="s">
        <v>47</v>
      </c>
      <c r="W162" s="5"/>
      <c r="X162" s="5"/>
      <c r="Y162" s="5" t="s">
        <v>639</v>
      </c>
    </row>
    <row r="163" spans="1:25" x14ac:dyDescent="0.25">
      <c r="A163" s="5" t="s">
        <v>640</v>
      </c>
      <c r="B163" s="5"/>
      <c r="C163" s="5"/>
      <c r="D163" s="5"/>
      <c r="E163" s="5" t="s">
        <v>45</v>
      </c>
      <c r="F163" s="5" t="s">
        <v>107</v>
      </c>
      <c r="G163" s="5"/>
      <c r="H163" s="5" t="s">
        <v>90</v>
      </c>
      <c r="I163" s="5"/>
      <c r="J163" s="5"/>
      <c r="K163" s="5"/>
      <c r="L163" s="5"/>
      <c r="M163" s="5"/>
      <c r="N163" s="5" t="s">
        <v>66</v>
      </c>
      <c r="O163" s="5" t="s">
        <v>103</v>
      </c>
      <c r="P163" s="6">
        <f>IF(A163="","",COUNTA(D163:F163)+COUNTA(G163:G163)+COUNTA(H163:H163)+COUNTA(I163:I163))</f>
        <v>3</v>
      </c>
      <c r="Q163" s="6" t="str">
        <f>IF(A163="","",IF(AND(P163=6,UPPER(L163)&lt;&gt;"Y",C163&lt;&gt;""),"Yes","No"))</f>
        <v>No</v>
      </c>
      <c r="R163" s="5" t="s">
        <v>51</v>
      </c>
      <c r="S163" s="5" t="s">
        <v>641</v>
      </c>
      <c r="T163" s="5" t="s">
        <v>642</v>
      </c>
      <c r="U163" s="5" t="s">
        <v>90</v>
      </c>
      <c r="V163" s="5"/>
      <c r="W163" s="5" t="s">
        <v>105</v>
      </c>
      <c r="X163" s="5"/>
      <c r="Y163" s="5" t="s">
        <v>392</v>
      </c>
    </row>
    <row r="164" spans="1:25" x14ac:dyDescent="0.25">
      <c r="A164" s="5" t="s">
        <v>643</v>
      </c>
      <c r="B164" s="5"/>
      <c r="C164" s="5" t="s">
        <v>70</v>
      </c>
      <c r="D164" s="5" t="s">
        <v>44</v>
      </c>
      <c r="E164" s="5"/>
      <c r="F164" s="5"/>
      <c r="G164" s="5"/>
      <c r="H164" s="5"/>
      <c r="I164" s="5" t="s">
        <v>123</v>
      </c>
      <c r="J164" s="5"/>
      <c r="K164" s="5" t="s">
        <v>123</v>
      </c>
      <c r="L164" s="5"/>
      <c r="M164" s="5"/>
      <c r="N164" s="5" t="s">
        <v>124</v>
      </c>
      <c r="O164" s="5"/>
      <c r="P164" s="6">
        <f>IF(A164="","",COUNTA(D164:F164)+COUNTA(G164:G164)+COUNTA(H164:H164)+COUNTA(I164:I164))</f>
        <v>2</v>
      </c>
      <c r="Q164" s="6" t="str">
        <f>IF(A164="","",IF(AND(P164=6,UPPER(L164)&lt;&gt;"Y",C164&lt;&gt;""),"Yes","No"))</f>
        <v>No</v>
      </c>
      <c r="R164" s="5" t="s">
        <v>125</v>
      </c>
      <c r="S164" s="5"/>
      <c r="T164" s="5"/>
      <c r="U164" s="5"/>
      <c r="V164" s="5"/>
      <c r="W164" s="5"/>
      <c r="X164" s="5"/>
      <c r="Y164" s="5" t="s">
        <v>553</v>
      </c>
    </row>
    <row r="165" spans="1:25" x14ac:dyDescent="0.25">
      <c r="A165" s="5" t="s">
        <v>644</v>
      </c>
      <c r="B165" s="5"/>
      <c r="C165" s="5" t="s">
        <v>43</v>
      </c>
      <c r="D165" s="5" t="s">
        <v>44</v>
      </c>
      <c r="E165" s="5"/>
      <c r="F165" s="5"/>
      <c r="G165" s="5"/>
      <c r="H165" s="5" t="s">
        <v>645</v>
      </c>
      <c r="I165" s="5"/>
      <c r="J165" s="5"/>
      <c r="K165" s="5"/>
      <c r="L165" s="5"/>
      <c r="M165" s="5"/>
      <c r="N165" s="5" t="s">
        <v>50</v>
      </c>
      <c r="O165" s="5"/>
      <c r="P165" s="6">
        <f>IF(A165="","",COUNTA(D165:F165)+COUNTA(G165:G165)+COUNTA(H165:H165)+COUNTA(I165:I165))</f>
        <v>2</v>
      </c>
      <c r="Q165" s="6" t="str">
        <f>IF(A165="","",IF(AND(P165=6,UPPER(L165)&lt;&gt;"Y",C165&lt;&gt;""),"Yes","No"))</f>
        <v>No</v>
      </c>
      <c r="R165" s="5" t="s">
        <v>51</v>
      </c>
      <c r="S165" s="5"/>
      <c r="T165" s="5" t="s">
        <v>646</v>
      </c>
      <c r="U165" s="5" t="s">
        <v>645</v>
      </c>
      <c r="V165" s="5"/>
      <c r="W165" s="5" t="s">
        <v>43</v>
      </c>
      <c r="X165" s="5"/>
      <c r="Y165" s="5" t="s">
        <v>136</v>
      </c>
    </row>
    <row r="166" spans="1:25" x14ac:dyDescent="0.25">
      <c r="A166" s="5" t="s">
        <v>647</v>
      </c>
      <c r="B166" s="5"/>
      <c r="C166" s="5" t="s">
        <v>43</v>
      </c>
      <c r="D166" s="5"/>
      <c r="E166" s="5" t="s">
        <v>45</v>
      </c>
      <c r="F166" s="5" t="s">
        <v>107</v>
      </c>
      <c r="G166" s="5" t="s">
        <v>47</v>
      </c>
      <c r="H166" s="5"/>
      <c r="I166" s="5"/>
      <c r="J166" s="5"/>
      <c r="K166" s="5"/>
      <c r="L166" s="5"/>
      <c r="M166" s="5"/>
      <c r="N166" s="5" t="s">
        <v>66</v>
      </c>
      <c r="O166" s="5"/>
      <c r="P166" s="6">
        <f>IF(A166="","",COUNTA(D166:F166)+COUNTA(G166:G166)+COUNTA(H166:H166)+COUNTA(I166:I166))</f>
        <v>3</v>
      </c>
      <c r="Q166" s="6" t="str">
        <f>IF(A166="","",IF(AND(P166=6,UPPER(L166)&lt;&gt;"Y",C166&lt;&gt;""),"Yes","No"))</f>
        <v>No</v>
      </c>
      <c r="R166" s="5" t="s">
        <v>51</v>
      </c>
      <c r="S166" s="5" t="s">
        <v>648</v>
      </c>
      <c r="T166" s="5"/>
      <c r="U166" s="5"/>
      <c r="V166" s="5" t="s">
        <v>67</v>
      </c>
      <c r="W166" s="5" t="s">
        <v>43</v>
      </c>
      <c r="X166" s="5"/>
      <c r="Y166" s="5" t="s">
        <v>392</v>
      </c>
    </row>
    <row r="167" spans="1:25" x14ac:dyDescent="0.25">
      <c r="A167" s="5" t="s">
        <v>649</v>
      </c>
      <c r="B167" s="5"/>
      <c r="C167" s="5" t="s">
        <v>43</v>
      </c>
      <c r="D167" s="5"/>
      <c r="E167" s="5" t="s">
        <v>45</v>
      </c>
      <c r="F167" s="5" t="s">
        <v>46</v>
      </c>
      <c r="G167" s="5" t="s">
        <v>47</v>
      </c>
      <c r="H167" s="5"/>
      <c r="I167" s="5"/>
      <c r="J167" s="5"/>
      <c r="K167" s="5"/>
      <c r="L167" s="5"/>
      <c r="M167" s="5"/>
      <c r="N167" s="5" t="s">
        <v>66</v>
      </c>
      <c r="O167" s="5"/>
      <c r="P167" s="6">
        <f>IF(A167="","",COUNTA(D167:F167)+COUNTA(G167:G167)+COUNTA(H167:H167)+COUNTA(I167:I167))</f>
        <v>3</v>
      </c>
      <c r="Q167" s="6" t="str">
        <f>IF(A167="","",IF(AND(P167=6,UPPER(L167)&lt;&gt;"Y",C167&lt;&gt;""),"Yes","No"))</f>
        <v>No</v>
      </c>
      <c r="R167" s="5" t="s">
        <v>51</v>
      </c>
      <c r="S167" s="5" t="s">
        <v>650</v>
      </c>
      <c r="T167" s="5"/>
      <c r="U167" s="5"/>
      <c r="V167" s="5" t="s">
        <v>67</v>
      </c>
      <c r="W167" s="5" t="s">
        <v>43</v>
      </c>
      <c r="X167" s="5" t="s">
        <v>68</v>
      </c>
      <c r="Y167" s="5" t="s">
        <v>392</v>
      </c>
    </row>
    <row r="168" spans="1:25" x14ac:dyDescent="0.25">
      <c r="A168" s="5" t="s">
        <v>651</v>
      </c>
      <c r="B168" s="5"/>
      <c r="C168" s="5" t="s">
        <v>70</v>
      </c>
      <c r="D168" s="5" t="s">
        <v>76</v>
      </c>
      <c r="E168" s="5"/>
      <c r="F168" s="5"/>
      <c r="G168" s="5"/>
      <c r="H168" s="5"/>
      <c r="I168" s="5"/>
      <c r="J168" s="5"/>
      <c r="K168" s="5"/>
      <c r="L168" s="5"/>
      <c r="M168" s="5"/>
      <c r="N168" s="5" t="s">
        <v>124</v>
      </c>
      <c r="O168" s="5"/>
      <c r="P168" s="6">
        <f>IF(A168="","",COUNTA(D168:F168)+COUNTA(G168:G168)+COUNTA(H168:H168)+COUNTA(I168:I168))</f>
        <v>1</v>
      </c>
      <c r="Q168" s="6" t="str">
        <f>IF(A168="","",IF(AND(P168=6,UPPER(L168)&lt;&gt;"Y",C168&lt;&gt;""),"Yes","No"))</f>
        <v>No</v>
      </c>
      <c r="R168" s="5" t="s">
        <v>125</v>
      </c>
      <c r="S168" s="5"/>
      <c r="T168" s="5"/>
      <c r="U168" s="5"/>
      <c r="V168" s="5"/>
      <c r="W168" s="5"/>
      <c r="X168" s="5"/>
      <c r="Y168" s="5" t="s">
        <v>553</v>
      </c>
    </row>
    <row r="169" spans="1:25" x14ac:dyDescent="0.25">
      <c r="A169" s="5" t="s">
        <v>652</v>
      </c>
      <c r="B169" s="5"/>
      <c r="C169" s="5" t="s">
        <v>128</v>
      </c>
      <c r="D169" s="5" t="s">
        <v>44</v>
      </c>
      <c r="E169" s="5" t="s">
        <v>45</v>
      </c>
      <c r="F169" s="5" t="s">
        <v>107</v>
      </c>
      <c r="G169" s="5" t="s">
        <v>57</v>
      </c>
      <c r="H169" s="5" t="s">
        <v>1857</v>
      </c>
      <c r="I169" s="5" t="s">
        <v>119</v>
      </c>
      <c r="J169" s="5" t="s">
        <v>71</v>
      </c>
      <c r="K169" s="5"/>
      <c r="L169" s="5"/>
      <c r="M169" s="5"/>
      <c r="N169" s="5" t="s">
        <v>66</v>
      </c>
      <c r="O169" s="5"/>
      <c r="P169" s="6">
        <f>IF(A169="","",COUNTA(D169:F169)+COUNTA(G169:G169)+COUNTA(H169:H169)+COUNTA(I169:I169))</f>
        <v>6</v>
      </c>
      <c r="Q169" s="6" t="str">
        <f>IF(A169="","",IF(AND(P169=6,UPPER(L169)&lt;&gt;"Y",C169&lt;&gt;""),"Yes","No"))</f>
        <v>Yes</v>
      </c>
      <c r="R169" s="5" t="s">
        <v>51</v>
      </c>
      <c r="S169" s="5"/>
      <c r="T169" s="5"/>
      <c r="U169" s="5"/>
      <c r="V169" s="5" t="s">
        <v>57</v>
      </c>
      <c r="W169" s="5" t="s">
        <v>128</v>
      </c>
      <c r="X169" s="5" t="s">
        <v>249</v>
      </c>
      <c r="Y169" s="5"/>
    </row>
    <row r="170" spans="1:25" x14ac:dyDescent="0.25">
      <c r="A170" s="5" t="s">
        <v>653</v>
      </c>
      <c r="B170" s="5"/>
      <c r="C170" s="5"/>
      <c r="D170" s="5"/>
      <c r="E170" s="5"/>
      <c r="F170" s="5"/>
      <c r="G170" s="5"/>
      <c r="H170" s="5" t="s">
        <v>83</v>
      </c>
      <c r="I170" s="5"/>
      <c r="J170" s="5"/>
      <c r="K170" s="5"/>
      <c r="L170" s="5"/>
      <c r="M170" s="5"/>
      <c r="N170" s="5" t="s">
        <v>66</v>
      </c>
      <c r="O170" s="5" t="s">
        <v>103</v>
      </c>
      <c r="P170" s="6">
        <f>IF(A170="","",COUNTA(D170:F170)+COUNTA(G170:G170)+COUNTA(H170:H170)+COUNTA(I170:I170))</f>
        <v>1</v>
      </c>
      <c r="Q170" s="6" t="str">
        <f>IF(A170="","",IF(AND(P170=6,UPPER(L170)&lt;&gt;"Y",C170&lt;&gt;""),"Yes","No"))</f>
        <v>No</v>
      </c>
      <c r="R170" s="5" t="s">
        <v>51</v>
      </c>
      <c r="S170" s="5"/>
      <c r="T170" s="5" t="s">
        <v>654</v>
      </c>
      <c r="U170" s="5" t="s">
        <v>83</v>
      </c>
      <c r="V170" s="5"/>
      <c r="W170" s="5" t="s">
        <v>105</v>
      </c>
      <c r="X170" s="5"/>
      <c r="Y170" s="5"/>
    </row>
    <row r="171" spans="1:25" x14ac:dyDescent="0.25">
      <c r="A171" s="5" t="s">
        <v>655</v>
      </c>
      <c r="B171" s="5"/>
      <c r="C171" s="5" t="s">
        <v>70</v>
      </c>
      <c r="D171" s="5" t="s">
        <v>76</v>
      </c>
      <c r="E171" s="5"/>
      <c r="F171" s="5"/>
      <c r="G171" s="5"/>
      <c r="H171" s="5" t="s">
        <v>77</v>
      </c>
      <c r="I171" s="5"/>
      <c r="J171" s="5"/>
      <c r="K171" s="5"/>
      <c r="L171" s="5"/>
      <c r="M171" s="5"/>
      <c r="N171" s="5" t="s">
        <v>50</v>
      </c>
      <c r="O171" s="5"/>
      <c r="P171" s="6">
        <f>IF(A171="","",COUNTA(D171:F171)+COUNTA(G171:G171)+COUNTA(H171:H171)+COUNTA(I171:I171))</f>
        <v>2</v>
      </c>
      <c r="Q171" s="6" t="str">
        <f>IF(A171="","",IF(AND(P171=6,UPPER(L171)&lt;&gt;"Y",C171&lt;&gt;""),"Yes","No"))</f>
        <v>No</v>
      </c>
      <c r="R171" s="5" t="s">
        <v>51</v>
      </c>
      <c r="S171" s="5"/>
      <c r="T171" s="5" t="s">
        <v>656</v>
      </c>
      <c r="U171" s="5" t="s">
        <v>77</v>
      </c>
      <c r="V171" s="5"/>
      <c r="W171" s="5"/>
      <c r="X171" s="5"/>
      <c r="Y171" s="5" t="s">
        <v>189</v>
      </c>
    </row>
    <row r="172" spans="1:25" x14ac:dyDescent="0.25">
      <c r="A172" s="5" t="s">
        <v>657</v>
      </c>
      <c r="B172" s="5"/>
      <c r="C172" s="5"/>
      <c r="D172" s="5"/>
      <c r="E172" s="5"/>
      <c r="F172" s="5"/>
      <c r="G172" s="5" t="s">
        <v>47</v>
      </c>
      <c r="H172" s="5"/>
      <c r="I172" s="5" t="s">
        <v>119</v>
      </c>
      <c r="J172" s="5" t="s">
        <v>78</v>
      </c>
      <c r="K172" s="5" t="s">
        <v>658</v>
      </c>
      <c r="L172" s="5"/>
      <c r="M172" s="5"/>
      <c r="N172" s="5" t="s">
        <v>66</v>
      </c>
      <c r="O172" s="5" t="s">
        <v>103</v>
      </c>
      <c r="P172" s="6">
        <f>IF(A172="","",COUNTA(D172:F172)+COUNTA(G172:G172)+COUNTA(H172:H172)+COUNTA(I172:I172))</f>
        <v>2</v>
      </c>
      <c r="Q172" s="6" t="str">
        <f>IF(A172="","",IF(AND(P172=6,UPPER(L172)&lt;&gt;"Y",C172&lt;&gt;""),"Yes","No"))</f>
        <v>No</v>
      </c>
      <c r="R172" s="5" t="s">
        <v>51</v>
      </c>
      <c r="S172" s="5"/>
      <c r="T172" s="5"/>
      <c r="U172" s="5"/>
      <c r="V172" s="5" t="s">
        <v>561</v>
      </c>
      <c r="W172" s="5" t="s">
        <v>105</v>
      </c>
      <c r="X172" s="5"/>
      <c r="Y172" s="5"/>
    </row>
    <row r="173" spans="1:25" x14ac:dyDescent="0.25">
      <c r="A173" s="5" t="s">
        <v>659</v>
      </c>
      <c r="B173" s="5"/>
      <c r="C173" s="5" t="s">
        <v>70</v>
      </c>
      <c r="D173" s="5"/>
      <c r="E173" s="5"/>
      <c r="F173" s="5"/>
      <c r="G173" s="5"/>
      <c r="H173" s="5"/>
      <c r="I173" s="5"/>
      <c r="J173" s="5"/>
      <c r="K173" s="5"/>
      <c r="L173" s="5"/>
      <c r="M173" s="5"/>
      <c r="N173" s="5" t="s">
        <v>50</v>
      </c>
      <c r="O173" s="5"/>
      <c r="P173" s="6">
        <f>IF(A173="","",COUNTA(D173:F173)+COUNTA(G173:G173)+COUNTA(H173:H173)+COUNTA(I173:I173))</f>
        <v>0</v>
      </c>
      <c r="Q173" s="6" t="str">
        <f>IF(A173="","",IF(AND(P173=6,UPPER(L173)&lt;&gt;"Y",C173&lt;&gt;""),"Yes","No"))</f>
        <v>No</v>
      </c>
      <c r="R173" s="5" t="s">
        <v>51</v>
      </c>
      <c r="S173" s="5"/>
      <c r="T173" s="5" t="s">
        <v>660</v>
      </c>
      <c r="U173" s="5"/>
      <c r="V173" s="5"/>
      <c r="W173" s="5"/>
      <c r="X173" s="5"/>
      <c r="Y173" s="5" t="s">
        <v>74</v>
      </c>
    </row>
    <row r="174" spans="1:25" x14ac:dyDescent="0.25">
      <c r="A174" s="5" t="s">
        <v>661</v>
      </c>
      <c r="B174" s="5"/>
      <c r="C174" s="5" t="s">
        <v>43</v>
      </c>
      <c r="D174" s="5" t="s">
        <v>44</v>
      </c>
      <c r="E174" s="5" t="s">
        <v>45</v>
      </c>
      <c r="F174" s="5" t="s">
        <v>107</v>
      </c>
      <c r="G174" s="5" t="s">
        <v>57</v>
      </c>
      <c r="H174" s="5" t="s">
        <v>662</v>
      </c>
      <c r="I174" s="5" t="s">
        <v>78</v>
      </c>
      <c r="J174" s="5"/>
      <c r="K174" s="5" t="s">
        <v>78</v>
      </c>
      <c r="L174" s="5"/>
      <c r="M174" s="5"/>
      <c r="N174" s="5" t="s">
        <v>50</v>
      </c>
      <c r="O174" s="5"/>
      <c r="P174" s="6">
        <f>IF(A174="","",COUNTA(D174:F174)+COUNTA(G174:G174)+COUNTA(H174:H174)+COUNTA(I174:I174))</f>
        <v>6</v>
      </c>
      <c r="Q174" s="6" t="str">
        <f>IF(A174="","",IF(AND(P174=6,UPPER(L174)&lt;&gt;"Y",C174&lt;&gt;""),"Yes","No"))</f>
        <v>Yes</v>
      </c>
      <c r="R174" s="5" t="s">
        <v>51</v>
      </c>
      <c r="S174" s="5"/>
      <c r="T174" s="5" t="s">
        <v>663</v>
      </c>
      <c r="U174" s="5" t="s">
        <v>662</v>
      </c>
      <c r="V174" s="5"/>
      <c r="W174" s="5" t="s">
        <v>43</v>
      </c>
      <c r="X174" s="5" t="s">
        <v>450</v>
      </c>
      <c r="Y174" s="5" t="s">
        <v>55</v>
      </c>
    </row>
    <row r="175" spans="1:25" x14ac:dyDescent="0.25">
      <c r="A175" s="5" t="s">
        <v>664</v>
      </c>
      <c r="B175" s="5"/>
      <c r="C175" s="5"/>
      <c r="D175" s="5"/>
      <c r="E175" s="5" t="s">
        <v>45</v>
      </c>
      <c r="F175" s="5"/>
      <c r="G175" s="5"/>
      <c r="H175" s="5" t="s">
        <v>83</v>
      </c>
      <c r="I175" s="5" t="s">
        <v>192</v>
      </c>
      <c r="J175" s="5" t="s">
        <v>91</v>
      </c>
      <c r="K175" s="5" t="s">
        <v>665</v>
      </c>
      <c r="L175" s="5"/>
      <c r="M175" s="5"/>
      <c r="N175" s="5" t="s">
        <v>66</v>
      </c>
      <c r="O175" s="5" t="s">
        <v>103</v>
      </c>
      <c r="P175" s="6">
        <f>IF(A175="","",COUNTA(D175:F175)+COUNTA(G175:G175)+COUNTA(H175:H175)+COUNTA(I175:I175))</f>
        <v>3</v>
      </c>
      <c r="Q175" s="6" t="str">
        <f>IF(A175="","",IF(AND(P175=6,UPPER(L175)&lt;&gt;"Y",C175&lt;&gt;""),"Yes","No"))</f>
        <v>No</v>
      </c>
      <c r="R175" s="5" t="s">
        <v>51</v>
      </c>
      <c r="S175" s="5" t="s">
        <v>666</v>
      </c>
      <c r="T175" s="5" t="s">
        <v>667</v>
      </c>
      <c r="U175" s="5" t="s">
        <v>83</v>
      </c>
      <c r="V175" s="5"/>
      <c r="W175" s="5" t="s">
        <v>105</v>
      </c>
      <c r="X175" s="5"/>
      <c r="Y175" s="5" t="s">
        <v>336</v>
      </c>
    </row>
    <row r="176" spans="1:25" x14ac:dyDescent="0.25">
      <c r="A176" s="5" t="s">
        <v>668</v>
      </c>
      <c r="B176" s="5"/>
      <c r="C176" s="5" t="s">
        <v>43</v>
      </c>
      <c r="D176" s="5" t="s">
        <v>44</v>
      </c>
      <c r="E176" s="5" t="s">
        <v>45</v>
      </c>
      <c r="F176" s="5" t="s">
        <v>46</v>
      </c>
      <c r="G176" s="5"/>
      <c r="H176" s="5" t="s">
        <v>645</v>
      </c>
      <c r="I176" s="5" t="s">
        <v>192</v>
      </c>
      <c r="J176" s="5" t="s">
        <v>119</v>
      </c>
      <c r="K176" s="5" t="s">
        <v>669</v>
      </c>
      <c r="L176" s="5"/>
      <c r="M176" s="5"/>
      <c r="N176" s="5" t="s">
        <v>50</v>
      </c>
      <c r="O176" s="5"/>
      <c r="P176" s="6">
        <f>IF(A176="","",COUNTA(D176:F176)+COUNTA(G176:G176)+COUNTA(H176:H176)+COUNTA(I176:I176))</f>
        <v>5</v>
      </c>
      <c r="Q176" s="6" t="str">
        <f>IF(A176="","",IF(AND(P176=6,UPPER(L176)&lt;&gt;"Y",C176&lt;&gt;""),"Yes","No"))</f>
        <v>No</v>
      </c>
      <c r="R176" s="5" t="s">
        <v>51</v>
      </c>
      <c r="S176" s="5"/>
      <c r="T176" s="5" t="s">
        <v>670</v>
      </c>
      <c r="U176" s="5" t="s">
        <v>645</v>
      </c>
      <c r="V176" s="5"/>
      <c r="W176" s="5" t="s">
        <v>43</v>
      </c>
      <c r="X176" s="5"/>
      <c r="Y176" s="5" t="s">
        <v>55</v>
      </c>
    </row>
    <row r="177" spans="1:25" x14ac:dyDescent="0.25">
      <c r="A177" s="5" t="s">
        <v>671</v>
      </c>
      <c r="B177" s="5"/>
      <c r="C177" s="5" t="s">
        <v>43</v>
      </c>
      <c r="D177" s="5" t="s">
        <v>44</v>
      </c>
      <c r="E177" s="5" t="s">
        <v>45</v>
      </c>
      <c r="F177" s="5" t="s">
        <v>107</v>
      </c>
      <c r="G177" s="5" t="s">
        <v>47</v>
      </c>
      <c r="H177" s="5" t="s">
        <v>96</v>
      </c>
      <c r="I177" s="5" t="s">
        <v>59</v>
      </c>
      <c r="J177" s="5" t="s">
        <v>72</v>
      </c>
      <c r="K177" s="5" t="s">
        <v>672</v>
      </c>
      <c r="L177" s="5"/>
      <c r="M177" s="5"/>
      <c r="N177" s="5" t="s">
        <v>50</v>
      </c>
      <c r="O177" s="5"/>
      <c r="P177" s="6">
        <f>IF(A177="","",COUNTA(D177:F177)+COUNTA(G177:G177)+COUNTA(H177:H177)+COUNTA(I177:I177))</f>
        <v>6</v>
      </c>
      <c r="Q177" s="6" t="str">
        <f>IF(A177="","",IF(AND(P177=6,UPPER(L177)&lt;&gt;"Y",C177&lt;&gt;""),"Yes","No"))</f>
        <v>Yes</v>
      </c>
      <c r="R177" s="5" t="s">
        <v>51</v>
      </c>
      <c r="S177" s="5" t="s">
        <v>673</v>
      </c>
      <c r="T177" s="5" t="s">
        <v>674</v>
      </c>
      <c r="U177" s="5" t="s">
        <v>99</v>
      </c>
      <c r="V177" s="5" t="s">
        <v>67</v>
      </c>
      <c r="W177" s="5" t="s">
        <v>43</v>
      </c>
      <c r="X177" s="5" t="s">
        <v>675</v>
      </c>
      <c r="Y177" s="5" t="s">
        <v>347</v>
      </c>
    </row>
    <row r="178" spans="1:25" x14ac:dyDescent="0.25">
      <c r="A178" s="5" t="s">
        <v>676</v>
      </c>
      <c r="B178" s="5"/>
      <c r="C178" s="5" t="s">
        <v>43</v>
      </c>
      <c r="D178" s="5"/>
      <c r="E178" s="5"/>
      <c r="F178" s="5"/>
      <c r="G178" s="5" t="s">
        <v>47</v>
      </c>
      <c r="H178" s="5"/>
      <c r="I178" s="5"/>
      <c r="J178" s="5"/>
      <c r="K178" s="5"/>
      <c r="L178" s="5"/>
      <c r="M178" s="5"/>
      <c r="N178" s="5" t="s">
        <v>66</v>
      </c>
      <c r="O178" s="5"/>
      <c r="P178" s="6">
        <f>IF(A178="","",COUNTA(D178:F178)+COUNTA(G178:G178)+COUNTA(H178:H178)+COUNTA(I178:I178))</f>
        <v>1</v>
      </c>
      <c r="Q178" s="6" t="str">
        <f>IF(A178="","",IF(AND(P178=6,UPPER(L178)&lt;&gt;"Y",C178&lt;&gt;""),"Yes","No"))</f>
        <v>No</v>
      </c>
      <c r="R178" s="5" t="s">
        <v>51</v>
      </c>
      <c r="S178" s="5"/>
      <c r="T178" s="5"/>
      <c r="U178" s="5"/>
      <c r="V178" s="5" t="s">
        <v>67</v>
      </c>
      <c r="W178" s="5" t="s">
        <v>43</v>
      </c>
      <c r="X178" s="5" t="s">
        <v>68</v>
      </c>
      <c r="Y178" s="5"/>
    </row>
    <row r="179" spans="1:25" x14ac:dyDescent="0.25">
      <c r="A179" s="5" t="s">
        <v>677</v>
      </c>
      <c r="B179" s="5"/>
      <c r="C179" s="5" t="s">
        <v>128</v>
      </c>
      <c r="D179" s="5"/>
      <c r="E179" s="5"/>
      <c r="F179" s="5"/>
      <c r="G179" s="5" t="s">
        <v>57</v>
      </c>
      <c r="H179" s="5" t="s">
        <v>318</v>
      </c>
      <c r="I179" s="5"/>
      <c r="J179" s="5"/>
      <c r="K179" s="5"/>
      <c r="L179" s="5"/>
      <c r="M179" s="5"/>
      <c r="N179" s="5" t="s">
        <v>66</v>
      </c>
      <c r="O179" s="5"/>
      <c r="P179" s="6">
        <f>IF(A179="","",COUNTA(D179:F179)+COUNTA(G179:G179)+COUNTA(H179:H179)+COUNTA(I179:I179))</f>
        <v>2</v>
      </c>
      <c r="Q179" s="6" t="str">
        <f>IF(A179="","",IF(AND(P179=6,UPPER(L179)&lt;&gt;"Y",C179&lt;&gt;""),"Yes","No"))</f>
        <v>No</v>
      </c>
      <c r="R179" s="5" t="s">
        <v>51</v>
      </c>
      <c r="S179" s="5"/>
      <c r="T179" s="5"/>
      <c r="U179" s="5" t="s">
        <v>318</v>
      </c>
      <c r="V179" s="5" t="s">
        <v>57</v>
      </c>
      <c r="W179" s="5" t="s">
        <v>319</v>
      </c>
      <c r="X179" s="5" t="s">
        <v>320</v>
      </c>
      <c r="Y179" s="5"/>
    </row>
    <row r="180" spans="1:25" x14ac:dyDescent="0.25">
      <c r="A180" s="5" t="s">
        <v>678</v>
      </c>
      <c r="B180" s="5"/>
      <c r="C180" s="5" t="s">
        <v>43</v>
      </c>
      <c r="D180" s="5" t="s">
        <v>76</v>
      </c>
      <c r="E180" s="5"/>
      <c r="F180" s="5"/>
      <c r="G180" s="5"/>
      <c r="H180" s="5" t="s">
        <v>83</v>
      </c>
      <c r="I180" s="5"/>
      <c r="J180" s="5"/>
      <c r="K180" s="5"/>
      <c r="L180" s="5"/>
      <c r="M180" s="5"/>
      <c r="N180" s="5" t="s">
        <v>50</v>
      </c>
      <c r="O180" s="5"/>
      <c r="P180" s="6">
        <f>IF(A180="","",COUNTA(D180:F180)+COUNTA(G180:G180)+COUNTA(H180:H180)+COUNTA(I180:I180))</f>
        <v>2</v>
      </c>
      <c r="Q180" s="6" t="str">
        <f>IF(A180="","",IF(AND(P180=6,UPPER(L180)&lt;&gt;"Y",C180&lt;&gt;""),"Yes","No"))</f>
        <v>No</v>
      </c>
      <c r="R180" s="5" t="s">
        <v>51</v>
      </c>
      <c r="S180" s="5"/>
      <c r="T180" s="5"/>
      <c r="U180" s="5" t="s">
        <v>83</v>
      </c>
      <c r="V180" s="5"/>
      <c r="W180" s="5" t="s">
        <v>43</v>
      </c>
      <c r="X180" s="5"/>
      <c r="Y180" s="5" t="s">
        <v>136</v>
      </c>
    </row>
    <row r="181" spans="1:25" x14ac:dyDescent="0.25">
      <c r="A181" s="5" t="s">
        <v>679</v>
      </c>
      <c r="B181" s="5"/>
      <c r="C181" s="5"/>
      <c r="D181" s="5"/>
      <c r="E181" s="5"/>
      <c r="F181" s="5"/>
      <c r="G181" s="5"/>
      <c r="H181" s="5" t="s">
        <v>83</v>
      </c>
      <c r="I181" s="5"/>
      <c r="J181" s="5"/>
      <c r="K181" s="5"/>
      <c r="L181" s="5"/>
      <c r="M181" s="5"/>
      <c r="N181" s="5" t="s">
        <v>66</v>
      </c>
      <c r="O181" s="5" t="s">
        <v>103</v>
      </c>
      <c r="P181" s="6">
        <f>IF(A181="","",COUNTA(D181:F181)+COUNTA(G181:G181)+COUNTA(H181:H181)+COUNTA(I181:I181))</f>
        <v>1</v>
      </c>
      <c r="Q181" s="6" t="str">
        <f>IF(A181="","",IF(AND(P181=6,UPPER(L181)&lt;&gt;"Y",C181&lt;&gt;""),"Yes","No"))</f>
        <v>No</v>
      </c>
      <c r="R181" s="5" t="s">
        <v>51</v>
      </c>
      <c r="S181" s="5"/>
      <c r="T181" s="5"/>
      <c r="U181" s="5" t="s">
        <v>83</v>
      </c>
      <c r="V181" s="5"/>
      <c r="W181" s="5" t="s">
        <v>105</v>
      </c>
      <c r="X181" s="5"/>
      <c r="Y181" s="5"/>
    </row>
    <row r="182" spans="1:25" x14ac:dyDescent="0.25">
      <c r="A182" s="5" t="s">
        <v>680</v>
      </c>
      <c r="B182" s="5"/>
      <c r="C182" s="5" t="s">
        <v>43</v>
      </c>
      <c r="D182" s="5"/>
      <c r="E182" s="5"/>
      <c r="F182" s="5"/>
      <c r="G182" s="5"/>
      <c r="H182" s="5"/>
      <c r="I182" s="5"/>
      <c r="J182" s="5"/>
      <c r="K182" s="5"/>
      <c r="L182" s="5"/>
      <c r="M182" s="5"/>
      <c r="N182" s="5" t="s">
        <v>66</v>
      </c>
      <c r="O182" s="5"/>
      <c r="P182" s="6">
        <f>IF(A182="","",COUNTA(D182:F182)+COUNTA(G182:G182)+COUNTA(H182:H182)+COUNTA(I182:I182))</f>
        <v>0</v>
      </c>
      <c r="Q182" s="6" t="str">
        <f>IF(A182="","",IF(AND(P182=6,UPPER(L182)&lt;&gt;"Y",C182&lt;&gt;""),"Yes","No"))</f>
        <v>No</v>
      </c>
      <c r="R182" s="5" t="s">
        <v>51</v>
      </c>
      <c r="S182" s="5"/>
      <c r="T182" s="5"/>
      <c r="U182" s="5"/>
      <c r="V182" s="5"/>
      <c r="W182" s="5" t="s">
        <v>43</v>
      </c>
      <c r="X182" s="5"/>
      <c r="Y182" s="5"/>
    </row>
    <row r="183" spans="1:25" x14ac:dyDescent="0.25">
      <c r="A183" s="5" t="s">
        <v>681</v>
      </c>
      <c r="B183" s="5"/>
      <c r="C183" s="5" t="s">
        <v>43</v>
      </c>
      <c r="D183" s="5" t="s">
        <v>76</v>
      </c>
      <c r="E183" s="5" t="s">
        <v>45</v>
      </c>
      <c r="F183" s="5" t="s">
        <v>46</v>
      </c>
      <c r="G183" s="5" t="s">
        <v>57</v>
      </c>
      <c r="H183" s="5" t="s">
        <v>322</v>
      </c>
      <c r="I183" s="5" t="s">
        <v>119</v>
      </c>
      <c r="J183" s="5"/>
      <c r="K183" s="5" t="s">
        <v>119</v>
      </c>
      <c r="L183" s="5"/>
      <c r="M183" s="5"/>
      <c r="N183" s="5" t="s">
        <v>50</v>
      </c>
      <c r="O183" s="5"/>
      <c r="P183" s="6">
        <f>IF(A183="","",COUNTA(D183:F183)+COUNTA(G183:G183)+COUNTA(H183:H183)+COUNTA(I183:I183))</f>
        <v>6</v>
      </c>
      <c r="Q183" s="6" t="str">
        <f>IF(A183="","",IF(AND(P183=6,UPPER(L183)&lt;&gt;"Y",C183&lt;&gt;""),"Yes","No"))</f>
        <v>Yes</v>
      </c>
      <c r="R183" s="5" t="s">
        <v>51</v>
      </c>
      <c r="S183" s="5" t="s">
        <v>682</v>
      </c>
      <c r="T183" s="5" t="s">
        <v>683</v>
      </c>
      <c r="U183" s="5" t="s">
        <v>322</v>
      </c>
      <c r="V183" s="5"/>
      <c r="W183" s="5" t="s">
        <v>43</v>
      </c>
      <c r="X183" s="5" t="s">
        <v>684</v>
      </c>
      <c r="Y183" s="5" t="s">
        <v>347</v>
      </c>
    </row>
    <row r="184" spans="1:25" x14ac:dyDescent="0.25">
      <c r="A184" s="5" t="s">
        <v>685</v>
      </c>
      <c r="B184" s="5"/>
      <c r="C184" s="5"/>
      <c r="D184" s="5"/>
      <c r="E184" s="5"/>
      <c r="F184" s="5"/>
      <c r="G184" s="5"/>
      <c r="H184" s="5" t="s">
        <v>58</v>
      </c>
      <c r="I184" s="5"/>
      <c r="J184" s="5"/>
      <c r="K184" s="5"/>
      <c r="L184" s="5"/>
      <c r="M184" s="5"/>
      <c r="N184" s="5" t="s">
        <v>66</v>
      </c>
      <c r="O184" s="5" t="s">
        <v>103</v>
      </c>
      <c r="P184" s="6">
        <f>IF(A184="","",COUNTA(D184:F184)+COUNTA(G184:G184)+COUNTA(H184:H184)+COUNTA(I184:I184))</f>
        <v>1</v>
      </c>
      <c r="Q184" s="6" t="str">
        <f>IF(A184="","",IF(AND(P184=6,UPPER(L184)&lt;&gt;"Y",C184&lt;&gt;""),"Yes","No"))</f>
        <v>No</v>
      </c>
      <c r="R184" s="5" t="s">
        <v>51</v>
      </c>
      <c r="S184" s="5"/>
      <c r="T184" s="5" t="s">
        <v>686</v>
      </c>
      <c r="U184" s="5" t="s">
        <v>63</v>
      </c>
      <c r="V184" s="5"/>
      <c r="W184" s="5" t="s">
        <v>105</v>
      </c>
      <c r="X184" s="5"/>
      <c r="Y184" s="5"/>
    </row>
    <row r="185" spans="1:25" x14ac:dyDescent="0.25">
      <c r="A185" s="5" t="s">
        <v>687</v>
      </c>
      <c r="B185" s="5" t="s">
        <v>688</v>
      </c>
      <c r="C185" s="5" t="s">
        <v>43</v>
      </c>
      <c r="D185" s="5" t="s">
        <v>44</v>
      </c>
      <c r="E185" s="5" t="s">
        <v>45</v>
      </c>
      <c r="F185" s="5" t="s">
        <v>107</v>
      </c>
      <c r="G185" s="5" t="s">
        <v>57</v>
      </c>
      <c r="H185" s="5" t="s">
        <v>1865</v>
      </c>
      <c r="I185" s="5" t="s">
        <v>78</v>
      </c>
      <c r="J185" s="5" t="s">
        <v>689</v>
      </c>
      <c r="K185" s="5" t="s">
        <v>690</v>
      </c>
      <c r="L185" s="5"/>
      <c r="M185" s="5"/>
      <c r="N185" s="5" t="s">
        <v>110</v>
      </c>
      <c r="O185" s="5" t="s">
        <v>225</v>
      </c>
      <c r="P185" s="6">
        <f>IF(A185="","",COUNTA(D185:F185)+COUNTA(G185:G185)+COUNTA(H185:H185)+COUNTA(I185:I185))</f>
        <v>6</v>
      </c>
      <c r="Q185" s="6" t="str">
        <f>IF(A185="","",IF(AND(P185=6,UPPER(L185)&lt;&gt;"Y",C185&lt;&gt;""),"Yes","No"))</f>
        <v>Yes</v>
      </c>
      <c r="R185" s="5" t="s">
        <v>112</v>
      </c>
      <c r="S185" s="5" t="s">
        <v>691</v>
      </c>
      <c r="T185" s="5" t="s">
        <v>692</v>
      </c>
      <c r="U185" s="5" t="s">
        <v>693</v>
      </c>
      <c r="V185" s="5"/>
      <c r="W185" s="5" t="s">
        <v>43</v>
      </c>
      <c r="X185" s="5" t="s">
        <v>694</v>
      </c>
      <c r="Y185" s="5" t="s">
        <v>695</v>
      </c>
    </row>
    <row r="186" spans="1:25" x14ac:dyDescent="0.25">
      <c r="A186" s="5" t="s">
        <v>696</v>
      </c>
      <c r="B186" s="5"/>
      <c r="C186" s="5" t="s">
        <v>70</v>
      </c>
      <c r="D186" s="5" t="s">
        <v>44</v>
      </c>
      <c r="E186" s="5"/>
      <c r="F186" s="5"/>
      <c r="G186" s="5"/>
      <c r="H186" s="5"/>
      <c r="I186" s="5"/>
      <c r="J186" s="5"/>
      <c r="K186" s="5"/>
      <c r="L186" s="5"/>
      <c r="M186" s="5"/>
      <c r="N186" s="5" t="s">
        <v>124</v>
      </c>
      <c r="O186" s="5"/>
      <c r="P186" s="6">
        <f>IF(A186="","",COUNTA(D186:F186)+COUNTA(G186:G186)+COUNTA(H186:H186)+COUNTA(I186:I186))</f>
        <v>1</v>
      </c>
      <c r="Q186" s="6" t="str">
        <f>IF(A186="","",IF(AND(P186=6,UPPER(L186)&lt;&gt;"Y",C186&lt;&gt;""),"Yes","No"))</f>
        <v>No</v>
      </c>
      <c r="R186" s="5" t="s">
        <v>125</v>
      </c>
      <c r="S186" s="5"/>
      <c r="T186" s="5"/>
      <c r="U186" s="5"/>
      <c r="V186" s="5"/>
      <c r="W186" s="5"/>
      <c r="X186" s="5"/>
      <c r="Y186" s="5" t="s">
        <v>553</v>
      </c>
    </row>
    <row r="187" spans="1:25" x14ac:dyDescent="0.25">
      <c r="A187" s="5" t="s">
        <v>697</v>
      </c>
      <c r="B187" s="5"/>
      <c r="C187" s="5" t="s">
        <v>43</v>
      </c>
      <c r="D187" s="5" t="s">
        <v>76</v>
      </c>
      <c r="E187" s="5" t="s">
        <v>45</v>
      </c>
      <c r="F187" s="5" t="s">
        <v>107</v>
      </c>
      <c r="G187" s="5" t="s">
        <v>47</v>
      </c>
      <c r="H187" s="5" t="s">
        <v>698</v>
      </c>
      <c r="I187" s="5" t="s">
        <v>91</v>
      </c>
      <c r="J187" s="5"/>
      <c r="K187" s="5" t="s">
        <v>91</v>
      </c>
      <c r="L187" s="5"/>
      <c r="M187" s="5"/>
      <c r="N187" s="5" t="s">
        <v>50</v>
      </c>
      <c r="O187" s="5"/>
      <c r="P187" s="6">
        <f>IF(A187="","",COUNTA(D187:F187)+COUNTA(G187:G187)+COUNTA(H187:H187)+COUNTA(I187:I187))</f>
        <v>6</v>
      </c>
      <c r="Q187" s="6" t="str">
        <f>IF(A187="","",IF(AND(P187=6,UPPER(L187)&lt;&gt;"Y",C187&lt;&gt;""),"Yes","No"))</f>
        <v>Yes</v>
      </c>
      <c r="R187" s="5" t="s">
        <v>51</v>
      </c>
      <c r="S187" s="5"/>
      <c r="T187" s="5"/>
      <c r="U187" s="5" t="s">
        <v>698</v>
      </c>
      <c r="V187" s="5" t="s">
        <v>47</v>
      </c>
      <c r="W187" s="5" t="s">
        <v>43</v>
      </c>
      <c r="X187" s="5" t="s">
        <v>684</v>
      </c>
      <c r="Y187" s="5" t="s">
        <v>136</v>
      </c>
    </row>
    <row r="188" spans="1:25" x14ac:dyDescent="0.25">
      <c r="A188" s="5" t="s">
        <v>699</v>
      </c>
      <c r="B188" s="5"/>
      <c r="C188" s="5" t="s">
        <v>70</v>
      </c>
      <c r="D188" s="5" t="s">
        <v>44</v>
      </c>
      <c r="E188" s="5"/>
      <c r="F188" s="5"/>
      <c r="G188" s="5" t="s">
        <v>57</v>
      </c>
      <c r="H188" s="5" t="s">
        <v>700</v>
      </c>
      <c r="I188" s="5" t="s">
        <v>192</v>
      </c>
      <c r="J188" s="5"/>
      <c r="K188" s="5" t="s">
        <v>192</v>
      </c>
      <c r="L188" s="5"/>
      <c r="M188" s="5"/>
      <c r="N188" s="5" t="s">
        <v>124</v>
      </c>
      <c r="O188" s="5"/>
      <c r="P188" s="6">
        <f>IF(A188="","",COUNTA(D188:F188)+COUNTA(G188:G188)+COUNTA(H188:H188)+COUNTA(I188:I188))</f>
        <v>4</v>
      </c>
      <c r="Q188" s="6" t="str">
        <f>IF(A188="","",IF(AND(P188=6,UPPER(L188)&lt;&gt;"Y",C188&lt;&gt;""),"Yes","No"))</f>
        <v>No</v>
      </c>
      <c r="R188" s="5" t="s">
        <v>125</v>
      </c>
      <c r="S188" s="5"/>
      <c r="T188" s="5"/>
      <c r="U188" s="5" t="s">
        <v>700</v>
      </c>
      <c r="V188" s="5" t="s">
        <v>57</v>
      </c>
      <c r="W188" s="5"/>
      <c r="X188" s="5"/>
      <c r="Y188" s="5" t="s">
        <v>285</v>
      </c>
    </row>
    <row r="189" spans="1:25" x14ac:dyDescent="0.25">
      <c r="A189" s="5" t="s">
        <v>701</v>
      </c>
      <c r="B189" s="5"/>
      <c r="C189" s="5" t="s">
        <v>70</v>
      </c>
      <c r="D189" s="5" t="s">
        <v>76</v>
      </c>
      <c r="E189" s="5"/>
      <c r="F189" s="5"/>
      <c r="G189" s="5"/>
      <c r="H189" s="5" t="s">
        <v>77</v>
      </c>
      <c r="I189" s="5" t="s">
        <v>49</v>
      </c>
      <c r="J189" s="5"/>
      <c r="K189" s="5" t="s">
        <v>49</v>
      </c>
      <c r="L189" s="5"/>
      <c r="M189" s="5"/>
      <c r="N189" s="5" t="s">
        <v>50</v>
      </c>
      <c r="O189" s="5"/>
      <c r="P189" s="6">
        <f>IF(A189="","",COUNTA(D189:F189)+COUNTA(G189:G189)+COUNTA(H189:H189)+COUNTA(I189:I189))</f>
        <v>3</v>
      </c>
      <c r="Q189" s="6" t="str">
        <f>IF(A189="","",IF(AND(P189=6,UPPER(L189)&lt;&gt;"Y",C189&lt;&gt;""),"Yes","No"))</f>
        <v>No</v>
      </c>
      <c r="R189" s="5" t="s">
        <v>51</v>
      </c>
      <c r="S189" s="5"/>
      <c r="T189" s="5" t="s">
        <v>702</v>
      </c>
      <c r="U189" s="5" t="s">
        <v>77</v>
      </c>
      <c r="V189" s="5"/>
      <c r="W189" s="5"/>
      <c r="X189" s="5"/>
      <c r="Y189" s="5" t="s">
        <v>428</v>
      </c>
    </row>
    <row r="190" spans="1:25" x14ac:dyDescent="0.25">
      <c r="A190" s="5" t="s">
        <v>703</v>
      </c>
      <c r="B190" s="5"/>
      <c r="C190" s="5" t="s">
        <v>43</v>
      </c>
      <c r="D190" s="5" t="s">
        <v>44</v>
      </c>
      <c r="E190" s="5" t="s">
        <v>45</v>
      </c>
      <c r="F190" s="5" t="s">
        <v>46</v>
      </c>
      <c r="G190" s="5" t="s">
        <v>47</v>
      </c>
      <c r="H190" s="5" t="s">
        <v>515</v>
      </c>
      <c r="I190" s="5" t="s">
        <v>178</v>
      </c>
      <c r="J190" s="5" t="s">
        <v>193</v>
      </c>
      <c r="K190" s="5" t="s">
        <v>705</v>
      </c>
      <c r="L190" s="5" t="s">
        <v>706</v>
      </c>
      <c r="M190" s="5"/>
      <c r="N190" s="5" t="s">
        <v>110</v>
      </c>
      <c r="O190" s="5" t="s">
        <v>707</v>
      </c>
      <c r="P190" s="6">
        <f>IF(A190="","",COUNTA(D190:F190)+COUNTA(G190:G190)+COUNTA(H190:H190)+COUNTA(I190:I190))</f>
        <v>6</v>
      </c>
      <c r="Q190" s="6" t="str">
        <f>IF(A190="","",IF(AND(P190=6,UPPER(L190)&lt;&gt;"Y",C190&lt;&gt;""),"Yes","No"))</f>
        <v>No</v>
      </c>
      <c r="R190" s="5" t="s">
        <v>112</v>
      </c>
      <c r="S190" s="5" t="s">
        <v>708</v>
      </c>
      <c r="T190" s="5" t="s">
        <v>709</v>
      </c>
      <c r="U190" s="5" t="s">
        <v>704</v>
      </c>
      <c r="V190" s="5"/>
      <c r="W190" s="5" t="s">
        <v>43</v>
      </c>
      <c r="X190" s="5" t="s">
        <v>675</v>
      </c>
      <c r="Y190" s="5" t="s">
        <v>219</v>
      </c>
    </row>
    <row r="191" spans="1:25" x14ac:dyDescent="0.25">
      <c r="A191" s="5" t="s">
        <v>710</v>
      </c>
      <c r="B191" s="5"/>
      <c r="C191" s="5" t="s">
        <v>43</v>
      </c>
      <c r="D191" s="5"/>
      <c r="E191" s="5"/>
      <c r="F191" s="5"/>
      <c r="G191" s="5" t="s">
        <v>47</v>
      </c>
      <c r="H191" s="5" t="s">
        <v>515</v>
      </c>
      <c r="I191" s="5"/>
      <c r="J191" s="5"/>
      <c r="K191" s="5"/>
      <c r="L191" s="5"/>
      <c r="M191" s="5"/>
      <c r="N191" s="5" t="s">
        <v>50</v>
      </c>
      <c r="O191" s="5"/>
      <c r="P191" s="6">
        <f>IF(A191="","",COUNTA(D191:F191)+COUNTA(G191:G191)+COUNTA(H191:H191)+COUNTA(I191:I191))</f>
        <v>2</v>
      </c>
      <c r="Q191" s="6" t="str">
        <f>IF(A191="","",IF(AND(P191=6,UPPER(L191)&lt;&gt;"Y",C191&lt;&gt;""),"Yes","No"))</f>
        <v>No</v>
      </c>
      <c r="R191" s="5" t="s">
        <v>51</v>
      </c>
      <c r="S191" s="5"/>
      <c r="T191" s="5"/>
      <c r="U191" s="5"/>
      <c r="V191" s="5" t="s">
        <v>67</v>
      </c>
      <c r="W191" s="5" t="s">
        <v>43</v>
      </c>
      <c r="X191" s="5"/>
      <c r="Y191" s="5" t="s">
        <v>711</v>
      </c>
    </row>
    <row r="192" spans="1:25" x14ac:dyDescent="0.25">
      <c r="A192" s="5" t="s">
        <v>712</v>
      </c>
      <c r="B192" s="5"/>
      <c r="C192" s="5"/>
      <c r="D192" s="5"/>
      <c r="E192" s="5" t="s">
        <v>45</v>
      </c>
      <c r="F192" s="5" t="s">
        <v>107</v>
      </c>
      <c r="G192" s="5"/>
      <c r="H192" s="5" t="s">
        <v>77</v>
      </c>
      <c r="I192" s="5" t="s">
        <v>119</v>
      </c>
      <c r="J192" s="5" t="s">
        <v>91</v>
      </c>
      <c r="K192" s="5" t="s">
        <v>713</v>
      </c>
      <c r="L192" s="5"/>
      <c r="M192" s="5"/>
      <c r="N192" s="5" t="s">
        <v>66</v>
      </c>
      <c r="O192" s="5" t="s">
        <v>103</v>
      </c>
      <c r="P192" s="6">
        <f>IF(A192="","",COUNTA(D192:F192)+COUNTA(G192:G192)+COUNTA(H192:H192)+COUNTA(I192:I192))</f>
        <v>4</v>
      </c>
      <c r="Q192" s="6" t="str">
        <f>IF(A192="","",IF(AND(P192=6,UPPER(L192)&lt;&gt;"Y",C192&lt;&gt;""),"Yes","No"))</f>
        <v>No</v>
      </c>
      <c r="R192" s="5" t="s">
        <v>51</v>
      </c>
      <c r="S192" s="5" t="s">
        <v>714</v>
      </c>
      <c r="T192" s="5" t="s">
        <v>715</v>
      </c>
      <c r="U192" s="5" t="s">
        <v>77</v>
      </c>
      <c r="V192" s="5"/>
      <c r="W192" s="5" t="s">
        <v>105</v>
      </c>
      <c r="X192" s="5"/>
      <c r="Y192" s="5" t="s">
        <v>167</v>
      </c>
    </row>
    <row r="193" spans="1:25" x14ac:dyDescent="0.25">
      <c r="A193" s="5" t="s">
        <v>716</v>
      </c>
      <c r="B193" s="5" t="s">
        <v>717</v>
      </c>
      <c r="C193" s="5" t="s">
        <v>128</v>
      </c>
      <c r="D193" s="5" t="s">
        <v>44</v>
      </c>
      <c r="E193" s="5" t="s">
        <v>45</v>
      </c>
      <c r="F193" s="5" t="s">
        <v>107</v>
      </c>
      <c r="G193" s="5" t="s">
        <v>57</v>
      </c>
      <c r="H193" s="5" t="s">
        <v>718</v>
      </c>
      <c r="I193" s="5" t="s">
        <v>119</v>
      </c>
      <c r="J193" s="5" t="s">
        <v>1860</v>
      </c>
      <c r="K193" s="5"/>
      <c r="L193" s="5"/>
      <c r="M193" s="5"/>
      <c r="N193" s="5" t="s">
        <v>66</v>
      </c>
      <c r="O193" s="5"/>
      <c r="P193" s="6">
        <f>IF(A193="","",COUNTA(D193:F193)+COUNTA(G193:G193)+COUNTA(H193:H193)+COUNTA(I193:I193))</f>
        <v>6</v>
      </c>
      <c r="Q193" s="6" t="str">
        <f>IF(A193="","",IF(AND(P193=6,UPPER(L193)&lt;&gt;"Y",C193&lt;&gt;""),"Yes","No"))</f>
        <v>Yes</v>
      </c>
      <c r="R193" s="5" t="s">
        <v>51</v>
      </c>
      <c r="S193" s="5"/>
      <c r="T193" s="5" t="s">
        <v>719</v>
      </c>
      <c r="U193" s="5" t="s">
        <v>718</v>
      </c>
      <c r="V193" s="5" t="s">
        <v>57</v>
      </c>
      <c r="W193" s="5" t="s">
        <v>128</v>
      </c>
      <c r="X193" s="5" t="s">
        <v>268</v>
      </c>
      <c r="Y193" s="5"/>
    </row>
    <row r="194" spans="1:25" x14ac:dyDescent="0.25">
      <c r="A194" s="5" t="s">
        <v>720</v>
      </c>
      <c r="B194" s="5"/>
      <c r="C194" s="5" t="s">
        <v>128</v>
      </c>
      <c r="D194" s="5" t="s">
        <v>76</v>
      </c>
      <c r="E194" s="5" t="s">
        <v>45</v>
      </c>
      <c r="F194" s="5" t="s">
        <v>107</v>
      </c>
      <c r="G194" s="5" t="s">
        <v>57</v>
      </c>
      <c r="H194" s="5" t="s">
        <v>1862</v>
      </c>
      <c r="I194" s="5"/>
      <c r="J194" s="5"/>
      <c r="K194" s="5"/>
      <c r="L194" s="5"/>
      <c r="M194" s="5"/>
      <c r="N194" s="5" t="s">
        <v>66</v>
      </c>
      <c r="O194" s="5"/>
      <c r="P194" s="6">
        <f>IF(A194="","",COUNTA(D194:F194)+COUNTA(G194:G194)+COUNTA(H194:H194)+COUNTA(I194:I194))</f>
        <v>5</v>
      </c>
      <c r="Q194" s="6" t="str">
        <f>IF(A194="","",IF(AND(P194=6,UPPER(L194)&lt;&gt;"Y",C194&lt;&gt;""),"Yes","No"))</f>
        <v>No</v>
      </c>
      <c r="R194" s="5" t="s">
        <v>51</v>
      </c>
      <c r="S194" s="5"/>
      <c r="T194" s="5"/>
      <c r="U194" s="5" t="s">
        <v>318</v>
      </c>
      <c r="V194" s="5" t="s">
        <v>47</v>
      </c>
      <c r="W194" s="5" t="s">
        <v>319</v>
      </c>
      <c r="X194" s="5" t="s">
        <v>320</v>
      </c>
      <c r="Y194" s="5"/>
    </row>
    <row r="195" spans="1:25" x14ac:dyDescent="0.25">
      <c r="A195" s="5" t="s">
        <v>721</v>
      </c>
      <c r="B195" s="5"/>
      <c r="C195" s="5"/>
      <c r="D195" s="5"/>
      <c r="E195" s="5"/>
      <c r="F195" s="5"/>
      <c r="G195" s="5"/>
      <c r="H195" s="5"/>
      <c r="I195" s="5"/>
      <c r="J195" s="5"/>
      <c r="K195" s="5"/>
      <c r="L195" s="5"/>
      <c r="M195" s="5"/>
      <c r="N195" s="5" t="s">
        <v>66</v>
      </c>
      <c r="O195" s="5"/>
      <c r="P195" s="6">
        <f>IF(A195="","",COUNTA(D195:F195)+COUNTA(G195:G195)+COUNTA(H195:H195)+COUNTA(I195:I195))</f>
        <v>0</v>
      </c>
      <c r="Q195" s="6" t="str">
        <f>IF(A195="","",IF(AND(P195=6,UPPER(L195)&lt;&gt;"Y",C195&lt;&gt;""),"Yes","No"))</f>
        <v>No</v>
      </c>
      <c r="R195" s="5" t="s">
        <v>51</v>
      </c>
      <c r="S195" s="5"/>
      <c r="T195" s="5"/>
      <c r="U195" s="5"/>
      <c r="V195" s="5"/>
      <c r="W195" s="5"/>
      <c r="X195" s="5"/>
      <c r="Y195" s="5"/>
    </row>
    <row r="196" spans="1:25" x14ac:dyDescent="0.25">
      <c r="A196" s="5" t="s">
        <v>722</v>
      </c>
      <c r="B196" s="5"/>
      <c r="C196" s="5" t="s">
        <v>43</v>
      </c>
      <c r="D196" s="5"/>
      <c r="E196" s="5"/>
      <c r="F196" s="5"/>
      <c r="G196" s="5" t="s">
        <v>47</v>
      </c>
      <c r="H196" s="5"/>
      <c r="I196" s="5"/>
      <c r="J196" s="5"/>
      <c r="K196" s="5"/>
      <c r="L196" s="5"/>
      <c r="M196" s="5"/>
      <c r="N196" s="5" t="s">
        <v>66</v>
      </c>
      <c r="O196" s="5"/>
      <c r="P196" s="6">
        <f>IF(A196="","",COUNTA(D196:F196)+COUNTA(G196:G196)+COUNTA(H196:H196)+COUNTA(I196:I196))</f>
        <v>1</v>
      </c>
      <c r="Q196" s="6" t="str">
        <f>IF(A196="","",IF(AND(P196=6,UPPER(L196)&lt;&gt;"Y",C196&lt;&gt;""),"Yes","No"))</f>
        <v>No</v>
      </c>
      <c r="R196" s="5" t="s">
        <v>51</v>
      </c>
      <c r="S196" s="5"/>
      <c r="T196" s="5"/>
      <c r="U196" s="5"/>
      <c r="V196" s="5" t="s">
        <v>67</v>
      </c>
      <c r="W196" s="5" t="s">
        <v>43</v>
      </c>
      <c r="X196" s="5" t="s">
        <v>68</v>
      </c>
      <c r="Y196" s="5"/>
    </row>
    <row r="197" spans="1:25" x14ac:dyDescent="0.25">
      <c r="A197" s="5" t="s">
        <v>723</v>
      </c>
      <c r="B197" s="5"/>
      <c r="C197" s="5" t="s">
        <v>43</v>
      </c>
      <c r="D197" s="5" t="s">
        <v>76</v>
      </c>
      <c r="E197" s="5" t="s">
        <v>45</v>
      </c>
      <c r="F197" s="5" t="s">
        <v>46</v>
      </c>
      <c r="G197" s="5" t="s">
        <v>47</v>
      </c>
      <c r="H197" s="5" t="s">
        <v>83</v>
      </c>
      <c r="I197" s="5" t="s">
        <v>192</v>
      </c>
      <c r="J197" s="5" t="s">
        <v>119</v>
      </c>
      <c r="K197" s="5" t="s">
        <v>119</v>
      </c>
      <c r="L197" s="5"/>
      <c r="M197" s="5"/>
      <c r="N197" s="5" t="s">
        <v>50</v>
      </c>
      <c r="O197" s="5"/>
      <c r="P197" s="6">
        <f>IF(A197="","",COUNTA(D197:F197)+COUNTA(G197:G197)+COUNTA(H197:H197)+COUNTA(I197:I197))</f>
        <v>6</v>
      </c>
      <c r="Q197" s="6" t="str">
        <f>IF(A197="","",IF(AND(P197=6,UPPER(L197)&lt;&gt;"Y",C197&lt;&gt;""),"Yes","No"))</f>
        <v>Yes</v>
      </c>
      <c r="R197" s="5" t="s">
        <v>51</v>
      </c>
      <c r="S197" s="5" t="s">
        <v>724</v>
      </c>
      <c r="T197" s="5" t="s">
        <v>725</v>
      </c>
      <c r="U197" s="5" t="s">
        <v>83</v>
      </c>
      <c r="V197" s="5" t="s">
        <v>67</v>
      </c>
      <c r="W197" s="5" t="s">
        <v>43</v>
      </c>
      <c r="X197" s="5" t="s">
        <v>726</v>
      </c>
      <c r="Y197" s="5" t="s">
        <v>347</v>
      </c>
    </row>
    <row r="198" spans="1:25" x14ac:dyDescent="0.25">
      <c r="A198" s="5" t="s">
        <v>727</v>
      </c>
      <c r="B198" s="5"/>
      <c r="C198" s="5" t="s">
        <v>43</v>
      </c>
      <c r="D198" s="5" t="s">
        <v>44</v>
      </c>
      <c r="E198" s="5" t="s">
        <v>45</v>
      </c>
      <c r="F198" s="5" t="s">
        <v>46</v>
      </c>
      <c r="G198" s="5" t="s">
        <v>1851</v>
      </c>
      <c r="H198" s="5" t="s">
        <v>58</v>
      </c>
      <c r="I198" s="5" t="s">
        <v>133</v>
      </c>
      <c r="J198" s="5" t="s">
        <v>78</v>
      </c>
      <c r="K198" s="5" t="s">
        <v>133</v>
      </c>
      <c r="L198" s="5"/>
      <c r="M198" s="5"/>
      <c r="N198" s="5" t="s">
        <v>50</v>
      </c>
      <c r="O198" s="5"/>
      <c r="P198" s="6">
        <f>IF(A198="","",COUNTA(D198:F198)+COUNTA(G198:G198)+COUNTA(H198:H198)+COUNTA(I198:I198))</f>
        <v>6</v>
      </c>
      <c r="Q198" s="6" t="str">
        <f>IF(A198="","",IF(AND(P198=6,UPPER(L198)&lt;&gt;"Y",C198&lt;&gt;""),"Yes","No"))</f>
        <v>Yes</v>
      </c>
      <c r="R198" s="5" t="s">
        <v>51</v>
      </c>
      <c r="S198" s="5"/>
      <c r="T198" s="5" t="s">
        <v>728</v>
      </c>
      <c r="U198" s="5" t="s">
        <v>63</v>
      </c>
      <c r="V198" s="5"/>
      <c r="W198" s="5" t="s">
        <v>43</v>
      </c>
      <c r="X198" s="5"/>
      <c r="Y198" s="5" t="s">
        <v>352</v>
      </c>
    </row>
    <row r="199" spans="1:25" x14ac:dyDescent="0.25">
      <c r="A199" s="5" t="s">
        <v>729</v>
      </c>
      <c r="B199" s="5"/>
      <c r="C199" s="5"/>
      <c r="D199" s="5"/>
      <c r="E199" s="5"/>
      <c r="F199" s="5"/>
      <c r="G199" s="5"/>
      <c r="H199" s="5" t="s">
        <v>83</v>
      </c>
      <c r="I199" s="5"/>
      <c r="J199" s="5"/>
      <c r="K199" s="5"/>
      <c r="L199" s="5"/>
      <c r="M199" s="5"/>
      <c r="N199" s="5" t="s">
        <v>66</v>
      </c>
      <c r="O199" s="5"/>
      <c r="P199" s="6">
        <f>IF(A199="","",COUNTA(D199:F199)+COUNTA(G199:G199)+COUNTA(H199:H199)+COUNTA(I199:I199))</f>
        <v>1</v>
      </c>
      <c r="Q199" s="6" t="str">
        <f>IF(A199="","",IF(AND(P199=6,UPPER(L199)&lt;&gt;"Y",C199&lt;&gt;""),"Yes","No"))</f>
        <v>No</v>
      </c>
      <c r="R199" s="5" t="s">
        <v>51</v>
      </c>
      <c r="S199" s="5"/>
      <c r="T199" s="5"/>
      <c r="U199" s="5" t="s">
        <v>83</v>
      </c>
      <c r="V199" s="5"/>
      <c r="W199" s="5"/>
      <c r="X199" s="5"/>
      <c r="Y199" s="5"/>
    </row>
    <row r="200" spans="1:25" x14ac:dyDescent="0.25">
      <c r="A200" s="5" t="s">
        <v>731</v>
      </c>
      <c r="B200" s="5"/>
      <c r="C200" s="5" t="s">
        <v>43</v>
      </c>
      <c r="D200" s="5" t="s">
        <v>76</v>
      </c>
      <c r="E200" s="5" t="s">
        <v>45</v>
      </c>
      <c r="F200" s="5" t="s">
        <v>46</v>
      </c>
      <c r="G200" s="5" t="s">
        <v>57</v>
      </c>
      <c r="H200" s="5" t="s">
        <v>77</v>
      </c>
      <c r="I200" s="5" t="s">
        <v>59</v>
      </c>
      <c r="J200" s="5" t="s">
        <v>193</v>
      </c>
      <c r="K200" s="5" t="s">
        <v>732</v>
      </c>
      <c r="L200" s="5"/>
      <c r="M200" s="5"/>
      <c r="N200" s="5" t="s">
        <v>66</v>
      </c>
      <c r="O200" s="5" t="s">
        <v>103</v>
      </c>
      <c r="P200" s="6">
        <f>IF(A200="","",COUNTA(D200:F200)+COUNTA(G200:G200)+COUNTA(H200:H200)+COUNTA(I200:I200))</f>
        <v>6</v>
      </c>
      <c r="Q200" s="6" t="str">
        <f>IF(A200="","",IF(AND(P200=6,UPPER(L200)&lt;&gt;"Y",C200&lt;&gt;""),"Yes","No"))</f>
        <v>Yes</v>
      </c>
      <c r="R200" s="5" t="s">
        <v>51</v>
      </c>
      <c r="S200" s="5" t="s">
        <v>733</v>
      </c>
      <c r="T200" s="5" t="s">
        <v>734</v>
      </c>
      <c r="U200" s="5" t="s">
        <v>77</v>
      </c>
      <c r="V200" s="5"/>
      <c r="W200" s="5" t="s">
        <v>105</v>
      </c>
      <c r="X200" s="5"/>
      <c r="Y200" s="5" t="s">
        <v>203</v>
      </c>
    </row>
    <row r="201" spans="1:25" x14ac:dyDescent="0.25">
      <c r="A201" s="5" t="s">
        <v>735</v>
      </c>
      <c r="B201" s="5"/>
      <c r="C201" s="5" t="s">
        <v>70</v>
      </c>
      <c r="D201" s="5" t="s">
        <v>76</v>
      </c>
      <c r="E201" s="5"/>
      <c r="F201" s="5"/>
      <c r="G201" s="5"/>
      <c r="H201" s="5" t="s">
        <v>77</v>
      </c>
      <c r="I201" s="5"/>
      <c r="J201" s="5"/>
      <c r="K201" s="5"/>
      <c r="L201" s="5"/>
      <c r="M201" s="5"/>
      <c r="N201" s="5" t="s">
        <v>50</v>
      </c>
      <c r="O201" s="5"/>
      <c r="P201" s="6">
        <f>IF(A201="","",COUNTA(D201:F201)+COUNTA(G201:G201)+COUNTA(H201:H201)+COUNTA(I201:I201))</f>
        <v>2</v>
      </c>
      <c r="Q201" s="6" t="str">
        <f>IF(A201="","",IF(AND(P201=6,UPPER(L201)&lt;&gt;"Y",C201&lt;&gt;""),"Yes","No"))</f>
        <v>No</v>
      </c>
      <c r="R201" s="5" t="s">
        <v>51</v>
      </c>
      <c r="S201" s="5"/>
      <c r="T201" s="5"/>
      <c r="U201" s="5"/>
      <c r="V201" s="5"/>
      <c r="W201" s="5"/>
      <c r="X201" s="5"/>
      <c r="Y201" s="5" t="s">
        <v>327</v>
      </c>
    </row>
    <row r="202" spans="1:25" x14ac:dyDescent="0.25">
      <c r="A202" s="5" t="s">
        <v>736</v>
      </c>
      <c r="B202" s="5"/>
      <c r="C202" s="5" t="s">
        <v>43</v>
      </c>
      <c r="D202" s="5" t="s">
        <v>44</v>
      </c>
      <c r="E202" s="5" t="s">
        <v>45</v>
      </c>
      <c r="F202" s="5" t="s">
        <v>46</v>
      </c>
      <c r="G202" s="5" t="s">
        <v>47</v>
      </c>
      <c r="H202" s="5" t="s">
        <v>58</v>
      </c>
      <c r="I202" s="5" t="s">
        <v>72</v>
      </c>
      <c r="J202" s="5" t="s">
        <v>78</v>
      </c>
      <c r="K202" s="5" t="s">
        <v>737</v>
      </c>
      <c r="L202" s="5"/>
      <c r="M202" s="5"/>
      <c r="N202" s="5" t="s">
        <v>66</v>
      </c>
      <c r="O202" s="5"/>
      <c r="P202" s="6">
        <f>IF(A202="","",COUNTA(D202:F202)+COUNTA(G202:G202)+COUNTA(H202:H202)+COUNTA(I202:I202))</f>
        <v>6</v>
      </c>
      <c r="Q202" s="6" t="str">
        <f>IF(A202="","",IF(AND(P202=6,UPPER(L202)&lt;&gt;"Y",C202&lt;&gt;""),"Yes","No"))</f>
        <v>Yes</v>
      </c>
      <c r="R202" s="5" t="s">
        <v>51</v>
      </c>
      <c r="S202" s="5"/>
      <c r="T202" s="5" t="s">
        <v>738</v>
      </c>
      <c r="U202" s="5" t="s">
        <v>63</v>
      </c>
      <c r="V202" s="5" t="s">
        <v>181</v>
      </c>
      <c r="W202" s="5" t="s">
        <v>43</v>
      </c>
      <c r="X202" s="5"/>
      <c r="Y202" s="5"/>
    </row>
    <row r="203" spans="1:25" x14ac:dyDescent="0.25">
      <c r="A203" s="5" t="s">
        <v>739</v>
      </c>
      <c r="B203" s="5"/>
      <c r="C203" s="5" t="s">
        <v>43</v>
      </c>
      <c r="D203" s="5" t="s">
        <v>44</v>
      </c>
      <c r="E203" s="5" t="s">
        <v>45</v>
      </c>
      <c r="F203" s="5" t="s">
        <v>107</v>
      </c>
      <c r="G203" s="5" t="s">
        <v>57</v>
      </c>
      <c r="H203" s="5" t="s">
        <v>214</v>
      </c>
      <c r="I203" s="5" t="s">
        <v>192</v>
      </c>
      <c r="J203" s="5"/>
      <c r="K203" s="5" t="s">
        <v>740</v>
      </c>
      <c r="L203" s="5"/>
      <c r="M203" s="5"/>
      <c r="N203" s="5" t="s">
        <v>50</v>
      </c>
      <c r="O203" s="5"/>
      <c r="P203" s="6">
        <f>IF(A203="","",COUNTA(D203:F203)+COUNTA(G203:G203)+COUNTA(H203:H203)+COUNTA(I203:I203))</f>
        <v>6</v>
      </c>
      <c r="Q203" s="6" t="str">
        <f>IF(A203="","",IF(AND(P203=6,UPPER(L203)&lt;&gt;"Y",C203&lt;&gt;""),"Yes","No"))</f>
        <v>Yes</v>
      </c>
      <c r="R203" s="5" t="s">
        <v>51</v>
      </c>
      <c r="S203" s="5" t="s">
        <v>741</v>
      </c>
      <c r="T203" s="5" t="s">
        <v>742</v>
      </c>
      <c r="U203" s="5" t="s">
        <v>214</v>
      </c>
      <c r="V203" s="5"/>
      <c r="W203" s="5" t="s">
        <v>43</v>
      </c>
      <c r="X203" s="5" t="s">
        <v>218</v>
      </c>
      <c r="Y203" s="5" t="s">
        <v>487</v>
      </c>
    </row>
    <row r="204" spans="1:25" x14ac:dyDescent="0.25">
      <c r="A204" s="5" t="s">
        <v>743</v>
      </c>
      <c r="B204" s="5"/>
      <c r="C204" s="5" t="s">
        <v>43</v>
      </c>
      <c r="D204" s="5"/>
      <c r="E204" s="5"/>
      <c r="F204" s="5"/>
      <c r="G204" s="5" t="s">
        <v>47</v>
      </c>
      <c r="H204" s="5"/>
      <c r="I204" s="5"/>
      <c r="J204" s="5"/>
      <c r="K204" s="5"/>
      <c r="L204" s="5"/>
      <c r="M204" s="5"/>
      <c r="N204" s="5" t="s">
        <v>66</v>
      </c>
      <c r="O204" s="5"/>
      <c r="P204" s="6">
        <f>IF(A204="","",COUNTA(D204:F204)+COUNTA(G204:G204)+COUNTA(H204:H204)+COUNTA(I204:I204))</f>
        <v>1</v>
      </c>
      <c r="Q204" s="6" t="str">
        <f>IF(A204="","",IF(AND(P204=6,UPPER(L204)&lt;&gt;"Y",C204&lt;&gt;""),"Yes","No"))</f>
        <v>No</v>
      </c>
      <c r="R204" s="5" t="s">
        <v>51</v>
      </c>
      <c r="S204" s="5"/>
      <c r="T204" s="5" t="s">
        <v>744</v>
      </c>
      <c r="U204" s="5"/>
      <c r="V204" s="5" t="s">
        <v>47</v>
      </c>
      <c r="W204" s="5" t="s">
        <v>43</v>
      </c>
      <c r="X204" s="5"/>
      <c r="Y204" s="5"/>
    </row>
    <row r="205" spans="1:25" x14ac:dyDescent="0.25">
      <c r="A205" s="5" t="s">
        <v>745</v>
      </c>
      <c r="B205" s="5"/>
      <c r="C205" s="5" t="s">
        <v>70</v>
      </c>
      <c r="D205" s="5" t="s">
        <v>76</v>
      </c>
      <c r="E205" s="5"/>
      <c r="F205" s="5"/>
      <c r="G205" s="5"/>
      <c r="H205" s="5" t="s">
        <v>332</v>
      </c>
      <c r="I205" s="5" t="s">
        <v>72</v>
      </c>
      <c r="J205" s="5"/>
      <c r="K205" s="5" t="s">
        <v>72</v>
      </c>
      <c r="L205" s="5"/>
      <c r="M205" s="5"/>
      <c r="N205" s="5" t="s">
        <v>50</v>
      </c>
      <c r="O205" s="5" t="s">
        <v>225</v>
      </c>
      <c r="P205" s="6">
        <f>IF(A205="","",COUNTA(D205:F205)+COUNTA(G205:G205)+COUNTA(H205:H205)+COUNTA(I205:I205))</f>
        <v>3</v>
      </c>
      <c r="Q205" s="6" t="str">
        <f>IF(A205="","",IF(AND(P205=6,UPPER(L205)&lt;&gt;"Y",C205&lt;&gt;""),"Yes","No"))</f>
        <v>No</v>
      </c>
      <c r="R205" s="5" t="s">
        <v>51</v>
      </c>
      <c r="S205" s="5"/>
      <c r="T205" s="5"/>
      <c r="U205" s="5" t="s">
        <v>746</v>
      </c>
      <c r="V205" s="5"/>
      <c r="W205" s="5"/>
      <c r="X205" s="5"/>
      <c r="Y205" s="5" t="s">
        <v>747</v>
      </c>
    </row>
    <row r="206" spans="1:25" x14ac:dyDescent="0.25">
      <c r="A206" s="5" t="s">
        <v>749</v>
      </c>
      <c r="B206" s="5"/>
      <c r="C206" s="5" t="s">
        <v>43</v>
      </c>
      <c r="D206" s="5"/>
      <c r="E206" s="5" t="s">
        <v>45</v>
      </c>
      <c r="F206" s="5" t="s">
        <v>46</v>
      </c>
      <c r="G206" s="5" t="s">
        <v>47</v>
      </c>
      <c r="H206" s="5"/>
      <c r="I206" s="5"/>
      <c r="J206" s="5"/>
      <c r="K206" s="5"/>
      <c r="L206" s="5"/>
      <c r="M206" s="5"/>
      <c r="N206" s="5" t="s">
        <v>66</v>
      </c>
      <c r="O206" s="5"/>
      <c r="P206" s="6">
        <f>IF(A206="","",COUNTA(D206:F206)+COUNTA(G206:G206)+COUNTA(H206:H206)+COUNTA(I206:I206))</f>
        <v>3</v>
      </c>
      <c r="Q206" s="6" t="str">
        <f>IF(A206="","",IF(AND(P206=6,UPPER(L206)&lt;&gt;"Y",C206&lt;&gt;""),"Yes","No"))</f>
        <v>No</v>
      </c>
      <c r="R206" s="5" t="s">
        <v>51</v>
      </c>
      <c r="S206" s="5" t="s">
        <v>750</v>
      </c>
      <c r="T206" s="5" t="s">
        <v>751</v>
      </c>
      <c r="U206" s="5"/>
      <c r="V206" s="5" t="s">
        <v>67</v>
      </c>
      <c r="W206" s="5" t="s">
        <v>43</v>
      </c>
      <c r="X206" s="5" t="s">
        <v>68</v>
      </c>
      <c r="Y206" s="5" t="s">
        <v>392</v>
      </c>
    </row>
    <row r="207" spans="1:25" x14ac:dyDescent="0.25">
      <c r="A207" s="5" t="s">
        <v>752</v>
      </c>
      <c r="B207" s="5"/>
      <c r="C207" s="5" t="s">
        <v>43</v>
      </c>
      <c r="D207" s="5" t="s">
        <v>44</v>
      </c>
      <c r="E207" s="5"/>
      <c r="F207" s="5"/>
      <c r="G207" s="5"/>
      <c r="H207" s="5" t="s">
        <v>493</v>
      </c>
      <c r="I207" s="5" t="s">
        <v>71</v>
      </c>
      <c r="J207" s="5"/>
      <c r="K207" s="5" t="s">
        <v>71</v>
      </c>
      <c r="L207" s="5"/>
      <c r="M207" s="5"/>
      <c r="N207" s="5" t="s">
        <v>50</v>
      </c>
      <c r="O207" s="5"/>
      <c r="P207" s="6">
        <f>IF(A207="","",COUNTA(D207:F207)+COUNTA(G207:G207)+COUNTA(H207:H207)+COUNTA(I207:I207))</f>
        <v>3</v>
      </c>
      <c r="Q207" s="6" t="str">
        <f>IF(A207="","",IF(AND(P207=6,UPPER(L207)&lt;&gt;"Y",C207&lt;&gt;""),"Yes","No"))</f>
        <v>No</v>
      </c>
      <c r="R207" s="5" t="s">
        <v>51</v>
      </c>
      <c r="S207" s="5"/>
      <c r="T207" s="5"/>
      <c r="U207" s="5" t="s">
        <v>493</v>
      </c>
      <c r="V207" s="5"/>
      <c r="W207" s="5" t="s">
        <v>43</v>
      </c>
      <c r="X207" s="5"/>
      <c r="Y207" s="5" t="s">
        <v>352</v>
      </c>
    </row>
    <row r="208" spans="1:25" x14ac:dyDescent="0.25">
      <c r="A208" s="5" t="s">
        <v>753</v>
      </c>
      <c r="B208" s="5"/>
      <c r="C208" s="5" t="s">
        <v>70</v>
      </c>
      <c r="D208" s="5"/>
      <c r="E208" s="5"/>
      <c r="F208" s="5"/>
      <c r="G208" s="5"/>
      <c r="H208" s="5"/>
      <c r="I208" s="5"/>
      <c r="J208" s="5"/>
      <c r="K208" s="5"/>
      <c r="L208" s="5"/>
      <c r="M208" s="5"/>
      <c r="N208" s="5" t="s">
        <v>50</v>
      </c>
      <c r="O208" s="5"/>
      <c r="P208" s="6">
        <f>IF(A208="","",COUNTA(D208:F208)+COUNTA(G208:G208)+COUNTA(H208:H208)+COUNTA(I208:I208))</f>
        <v>0</v>
      </c>
      <c r="Q208" s="6" t="str">
        <f>IF(A208="","",IF(AND(P208=6,UPPER(L208)&lt;&gt;"Y",C208&lt;&gt;""),"Yes","No"))</f>
        <v>No</v>
      </c>
      <c r="R208" s="5" t="s">
        <v>51</v>
      </c>
      <c r="S208" s="5"/>
      <c r="T208" s="5"/>
      <c r="U208" s="5"/>
      <c r="V208" s="5"/>
      <c r="W208" s="5"/>
      <c r="X208" s="5"/>
      <c r="Y208" s="5" t="s">
        <v>74</v>
      </c>
    </row>
    <row r="209" spans="1:25" x14ac:dyDescent="0.25">
      <c r="A209" s="5" t="s">
        <v>754</v>
      </c>
      <c r="B209" s="5"/>
      <c r="C209" s="5" t="s">
        <v>43</v>
      </c>
      <c r="D209" s="5" t="s">
        <v>244</v>
      </c>
      <c r="E209" s="5"/>
      <c r="F209" s="5"/>
      <c r="G209" s="5" t="s">
        <v>47</v>
      </c>
      <c r="H209" s="5" t="s">
        <v>245</v>
      </c>
      <c r="I209" s="5" t="s">
        <v>123</v>
      </c>
      <c r="J209" s="5"/>
      <c r="K209" s="5" t="s">
        <v>123</v>
      </c>
      <c r="L209" s="5"/>
      <c r="M209" s="5"/>
      <c r="N209" s="5" t="s">
        <v>50</v>
      </c>
      <c r="O209" s="5"/>
      <c r="P209" s="6">
        <f>IF(A209="","",COUNTA(D209:F209)+COUNTA(G209:G209)+COUNTA(H209:H209)+COUNTA(I209:I209))</f>
        <v>4</v>
      </c>
      <c r="Q209" s="6" t="str">
        <f>IF(A209="","",IF(AND(P209=6,UPPER(L209)&lt;&gt;"Y",C209&lt;&gt;""),"Yes","No"))</f>
        <v>No</v>
      </c>
      <c r="R209" s="5" t="s">
        <v>51</v>
      </c>
      <c r="S209" s="5"/>
      <c r="T209" s="5" t="s">
        <v>755</v>
      </c>
      <c r="U209" s="5" t="s">
        <v>245</v>
      </c>
      <c r="V209" s="5"/>
      <c r="W209" s="5" t="s">
        <v>43</v>
      </c>
      <c r="X209" s="5"/>
      <c r="Y209" s="5" t="s">
        <v>64</v>
      </c>
    </row>
    <row r="210" spans="1:25" x14ac:dyDescent="0.25">
      <c r="A210" s="5" t="s">
        <v>756</v>
      </c>
      <c r="B210" s="5" t="s">
        <v>757</v>
      </c>
      <c r="C210" s="5" t="s">
        <v>43</v>
      </c>
      <c r="D210" s="5" t="s">
        <v>76</v>
      </c>
      <c r="E210" s="5" t="s">
        <v>45</v>
      </c>
      <c r="F210" s="5" t="s">
        <v>107</v>
      </c>
      <c r="G210" s="5" t="s">
        <v>47</v>
      </c>
      <c r="H210" s="5" t="s">
        <v>1888</v>
      </c>
      <c r="I210" s="5" t="s">
        <v>133</v>
      </c>
      <c r="J210" s="5" t="s">
        <v>1897</v>
      </c>
      <c r="K210" s="5" t="s">
        <v>758</v>
      </c>
      <c r="L210" s="5"/>
      <c r="M210" s="5"/>
      <c r="N210" s="5" t="s">
        <v>110</v>
      </c>
      <c r="O210" s="5" t="s">
        <v>225</v>
      </c>
      <c r="P210" s="6">
        <f>IF(A210="","",COUNTA(D210:F210)+COUNTA(G210:G210)+COUNTA(H210:H210)+COUNTA(I210:I210))</f>
        <v>6</v>
      </c>
      <c r="Q210" s="6" t="str">
        <f>IF(A210="","",IF(AND(P210=6,UPPER(L210)&lt;&gt;"Y",C210&lt;&gt;""),"Yes","No"))</f>
        <v>Yes</v>
      </c>
      <c r="R210" s="5" t="s">
        <v>112</v>
      </c>
      <c r="S210" s="5" t="s">
        <v>759</v>
      </c>
      <c r="T210" s="5" t="s">
        <v>760</v>
      </c>
      <c r="U210" s="5" t="s">
        <v>761</v>
      </c>
      <c r="V210" s="5" t="s">
        <v>57</v>
      </c>
      <c r="W210" s="5" t="s">
        <v>43</v>
      </c>
      <c r="X210" s="5" t="s">
        <v>389</v>
      </c>
      <c r="Y210" s="5" t="s">
        <v>433</v>
      </c>
    </row>
    <row r="211" spans="1:25" x14ac:dyDescent="0.25">
      <c r="A211" s="5" t="s">
        <v>762</v>
      </c>
      <c r="B211" s="5"/>
      <c r="C211" s="5" t="s">
        <v>70</v>
      </c>
      <c r="D211" s="5" t="s">
        <v>244</v>
      </c>
      <c r="E211" s="5"/>
      <c r="F211" s="5"/>
      <c r="G211" s="5"/>
      <c r="H211" s="5"/>
      <c r="I211" s="5" t="s">
        <v>49</v>
      </c>
      <c r="J211" s="5"/>
      <c r="K211" s="5" t="s">
        <v>49</v>
      </c>
      <c r="L211" s="5"/>
      <c r="M211" s="5"/>
      <c r="N211" s="5" t="s">
        <v>124</v>
      </c>
      <c r="O211" s="5"/>
      <c r="P211" s="6">
        <f>IF(A211="","",COUNTA(D211:F211)+COUNTA(G211:G211)+COUNTA(H211:H211)+COUNTA(I211:I211))</f>
        <v>2</v>
      </c>
      <c r="Q211" s="6" t="str">
        <f>IF(A211="","",IF(AND(P211=6,UPPER(L211)&lt;&gt;"Y",C211&lt;&gt;""),"Yes","No"))</f>
        <v>No</v>
      </c>
      <c r="R211" s="5" t="s">
        <v>125</v>
      </c>
      <c r="S211" s="5"/>
      <c r="T211" s="5"/>
      <c r="U211" s="5"/>
      <c r="V211" s="5"/>
      <c r="W211" s="5"/>
      <c r="X211" s="5"/>
      <c r="Y211" s="5" t="s">
        <v>553</v>
      </c>
    </row>
    <row r="212" spans="1:25" x14ac:dyDescent="0.25">
      <c r="A212" s="5" t="s">
        <v>763</v>
      </c>
      <c r="B212" s="5" t="s">
        <v>764</v>
      </c>
      <c r="C212" s="5" t="s">
        <v>43</v>
      </c>
      <c r="D212" s="5" t="s">
        <v>76</v>
      </c>
      <c r="E212" s="5" t="s">
        <v>45</v>
      </c>
      <c r="F212" s="5" t="s">
        <v>107</v>
      </c>
      <c r="G212" s="5" t="s">
        <v>57</v>
      </c>
      <c r="H212" s="5" t="s">
        <v>1866</v>
      </c>
      <c r="I212" s="5" t="s">
        <v>72</v>
      </c>
      <c r="J212" s="5" t="s">
        <v>765</v>
      </c>
      <c r="K212" s="5" t="s">
        <v>766</v>
      </c>
      <c r="L212" s="5"/>
      <c r="M212" s="5"/>
      <c r="N212" s="5" t="s">
        <v>110</v>
      </c>
      <c r="O212" s="5" t="s">
        <v>225</v>
      </c>
      <c r="P212" s="6">
        <f>IF(A212="","",COUNTA(D212:F212)+COUNTA(G212:G212)+COUNTA(H212:H212)+COUNTA(I212:I212))</f>
        <v>6</v>
      </c>
      <c r="Q212" s="6" t="str">
        <f>IF(A212="","",IF(AND(P212=6,UPPER(L212)&lt;&gt;"Y",C212&lt;&gt;""),"Yes","No"))</f>
        <v>Yes</v>
      </c>
      <c r="R212" s="5" t="s">
        <v>112</v>
      </c>
      <c r="S212" s="5" t="s">
        <v>767</v>
      </c>
      <c r="T212" s="5" t="s">
        <v>768</v>
      </c>
      <c r="U212" s="5" t="s">
        <v>769</v>
      </c>
      <c r="V212" s="5" t="s">
        <v>57</v>
      </c>
      <c r="W212" s="5" t="s">
        <v>43</v>
      </c>
      <c r="X212" s="5" t="s">
        <v>87</v>
      </c>
      <c r="Y212" s="5" t="s">
        <v>117</v>
      </c>
    </row>
    <row r="213" spans="1:25" x14ac:dyDescent="0.25">
      <c r="A213" s="5" t="s">
        <v>770</v>
      </c>
      <c r="B213" s="5"/>
      <c r="C213" s="5" t="s">
        <v>70</v>
      </c>
      <c r="D213" s="5" t="s">
        <v>76</v>
      </c>
      <c r="E213" s="5"/>
      <c r="F213" s="5"/>
      <c r="G213" s="5" t="s">
        <v>57</v>
      </c>
      <c r="H213" s="5"/>
      <c r="I213" s="5"/>
      <c r="J213" s="5"/>
      <c r="K213" s="5"/>
      <c r="L213" s="5"/>
      <c r="M213" s="5"/>
      <c r="N213" s="5" t="s">
        <v>124</v>
      </c>
      <c r="O213" s="5"/>
      <c r="P213" s="6">
        <f>IF(A213="","",COUNTA(D213:F213)+COUNTA(G213:G213)+COUNTA(H213:H213)+COUNTA(I213:I213))</f>
        <v>2</v>
      </c>
      <c r="Q213" s="6" t="str">
        <f>IF(A213="","",IF(AND(P213=6,UPPER(L213)&lt;&gt;"Y",C213&lt;&gt;""),"Yes","No"))</f>
        <v>No</v>
      </c>
      <c r="R213" s="5" t="s">
        <v>125</v>
      </c>
      <c r="S213" s="5"/>
      <c r="T213" s="5"/>
      <c r="U213" s="5"/>
      <c r="V213" s="5" t="s">
        <v>57</v>
      </c>
      <c r="W213" s="5"/>
      <c r="X213" s="5"/>
      <c r="Y213" s="5" t="s">
        <v>126</v>
      </c>
    </row>
    <row r="214" spans="1:25" x14ac:dyDescent="0.25">
      <c r="A214" s="5" t="s">
        <v>771</v>
      </c>
      <c r="B214" s="5"/>
      <c r="C214" s="5" t="s">
        <v>70</v>
      </c>
      <c r="D214" s="5" t="s">
        <v>76</v>
      </c>
      <c r="E214" s="5"/>
      <c r="F214" s="5"/>
      <c r="G214" s="5"/>
      <c r="H214" s="5" t="s">
        <v>594</v>
      </c>
      <c r="I214" s="5"/>
      <c r="J214" s="5"/>
      <c r="K214" s="5"/>
      <c r="L214" s="5"/>
      <c r="M214" s="5"/>
      <c r="N214" s="5" t="s">
        <v>50</v>
      </c>
      <c r="O214" s="5"/>
      <c r="P214" s="6">
        <f>IF(A214="","",COUNTA(D214:F214)+COUNTA(G214:G214)+COUNTA(H214:H214)+COUNTA(I214:I214))</f>
        <v>2</v>
      </c>
      <c r="Q214" s="6" t="str">
        <f>IF(A214="","",IF(AND(P214=6,UPPER(L214)&lt;&gt;"Y",C214&lt;&gt;""),"Yes","No"))</f>
        <v>No</v>
      </c>
      <c r="R214" s="5" t="s">
        <v>51</v>
      </c>
      <c r="S214" s="5"/>
      <c r="T214" s="5"/>
      <c r="U214" s="5" t="s">
        <v>772</v>
      </c>
      <c r="V214" s="5"/>
      <c r="W214" s="5"/>
      <c r="X214" s="5"/>
      <c r="Y214" s="5" t="s">
        <v>189</v>
      </c>
    </row>
    <row r="215" spans="1:25" x14ac:dyDescent="0.25">
      <c r="A215" s="5" t="s">
        <v>773</v>
      </c>
      <c r="B215" s="5"/>
      <c r="C215" s="5" t="s">
        <v>43</v>
      </c>
      <c r="D215" s="5" t="s">
        <v>76</v>
      </c>
      <c r="E215" s="5" t="s">
        <v>45</v>
      </c>
      <c r="F215" s="5" t="s">
        <v>46</v>
      </c>
      <c r="G215" s="5" t="s">
        <v>57</v>
      </c>
      <c r="H215" s="5" t="s">
        <v>1888</v>
      </c>
      <c r="I215" s="5" t="s">
        <v>91</v>
      </c>
      <c r="J215" s="5" t="s">
        <v>78</v>
      </c>
      <c r="K215" s="5" t="s">
        <v>774</v>
      </c>
      <c r="L215" s="5"/>
      <c r="M215" s="5"/>
      <c r="N215" s="5" t="s">
        <v>50</v>
      </c>
      <c r="O215" s="5"/>
      <c r="P215" s="6">
        <f>IF(A215="","",COUNTA(D215:F215)+COUNTA(G215:G215)+COUNTA(H215:H215)+COUNTA(I215:I215))</f>
        <v>6</v>
      </c>
      <c r="Q215" s="6" t="str">
        <f>IF(A215="","",IF(AND(P215=6,UPPER(L215)&lt;&gt;"Y",C215&lt;&gt;""),"Yes","No"))</f>
        <v>Yes</v>
      </c>
      <c r="R215" s="5" t="s">
        <v>51</v>
      </c>
      <c r="S215" s="5" t="s">
        <v>775</v>
      </c>
      <c r="T215" s="5" t="s">
        <v>776</v>
      </c>
      <c r="U215" s="5" t="s">
        <v>83</v>
      </c>
      <c r="V215" s="5"/>
      <c r="W215" s="5" t="s">
        <v>43</v>
      </c>
      <c r="X215" s="5"/>
      <c r="Y215" s="5" t="s">
        <v>777</v>
      </c>
    </row>
    <row r="216" spans="1:25" x14ac:dyDescent="0.25">
      <c r="A216" s="5" t="s">
        <v>778</v>
      </c>
      <c r="B216" s="5"/>
      <c r="C216" s="5" t="s">
        <v>43</v>
      </c>
      <c r="D216" s="5"/>
      <c r="E216" s="5" t="s">
        <v>45</v>
      </c>
      <c r="F216" s="5" t="s">
        <v>46</v>
      </c>
      <c r="G216" s="5" t="s">
        <v>47</v>
      </c>
      <c r="H216" s="5"/>
      <c r="I216" s="5"/>
      <c r="J216" s="5"/>
      <c r="K216" s="5"/>
      <c r="L216" s="5"/>
      <c r="M216" s="5"/>
      <c r="N216" s="5" t="s">
        <v>66</v>
      </c>
      <c r="O216" s="5"/>
      <c r="P216" s="6">
        <f>IF(A216="","",COUNTA(D216:F216)+COUNTA(G216:G216)+COUNTA(H216:H216)+COUNTA(I216:I216))</f>
        <v>3</v>
      </c>
      <c r="Q216" s="6" t="str">
        <f>IF(A216="","",IF(AND(P216=6,UPPER(L216)&lt;&gt;"Y",C216&lt;&gt;""),"Yes","No"))</f>
        <v>No</v>
      </c>
      <c r="R216" s="5" t="s">
        <v>51</v>
      </c>
      <c r="S216" s="5" t="s">
        <v>779</v>
      </c>
      <c r="T216" s="5"/>
      <c r="U216" s="5"/>
      <c r="V216" s="5" t="s">
        <v>67</v>
      </c>
      <c r="W216" s="5" t="s">
        <v>43</v>
      </c>
      <c r="X216" s="5" t="s">
        <v>68</v>
      </c>
      <c r="Y216" s="5" t="s">
        <v>392</v>
      </c>
    </row>
    <row r="217" spans="1:25" x14ac:dyDescent="0.25">
      <c r="A217" s="5" t="s">
        <v>780</v>
      </c>
      <c r="B217" s="5"/>
      <c r="C217" s="5" t="s">
        <v>128</v>
      </c>
      <c r="D217" s="5"/>
      <c r="E217" s="5"/>
      <c r="F217" s="5"/>
      <c r="G217" s="5" t="s">
        <v>57</v>
      </c>
      <c r="H217" s="5" t="s">
        <v>781</v>
      </c>
      <c r="I217" s="5"/>
      <c r="J217" s="5"/>
      <c r="K217" s="5"/>
      <c r="L217" s="5"/>
      <c r="M217" s="5"/>
      <c r="N217" s="5" t="s">
        <v>66</v>
      </c>
      <c r="O217" s="5"/>
      <c r="P217" s="6">
        <f>IF(A217="","",COUNTA(D217:F217)+COUNTA(G217:G217)+COUNTA(H217:H217)+COUNTA(I217:I217))</f>
        <v>2</v>
      </c>
      <c r="Q217" s="6" t="str">
        <f>IF(A217="","",IF(AND(P217=6,UPPER(L217)&lt;&gt;"Y",C217&lt;&gt;""),"Yes","No"))</f>
        <v>No</v>
      </c>
      <c r="R217" s="5" t="s">
        <v>51</v>
      </c>
      <c r="S217" s="5"/>
      <c r="T217" s="5"/>
      <c r="U217" s="5" t="s">
        <v>781</v>
      </c>
      <c r="V217" s="5" t="s">
        <v>57</v>
      </c>
      <c r="W217" s="5" t="s">
        <v>128</v>
      </c>
      <c r="X217" s="5" t="s">
        <v>249</v>
      </c>
      <c r="Y217" s="5"/>
    </row>
    <row r="218" spans="1:25" x14ac:dyDescent="0.25">
      <c r="A218" s="5" t="s">
        <v>782</v>
      </c>
      <c r="B218" s="5"/>
      <c r="C218" s="5" t="s">
        <v>43</v>
      </c>
      <c r="D218" s="5" t="s">
        <v>76</v>
      </c>
      <c r="E218" s="5" t="s">
        <v>45</v>
      </c>
      <c r="F218" s="5" t="s">
        <v>107</v>
      </c>
      <c r="G218" s="5" t="s">
        <v>1851</v>
      </c>
      <c r="H218" s="5" t="s">
        <v>83</v>
      </c>
      <c r="I218" s="5" t="s">
        <v>78</v>
      </c>
      <c r="J218" s="5"/>
      <c r="K218" s="5" t="s">
        <v>78</v>
      </c>
      <c r="L218" s="5"/>
      <c r="M218" s="5"/>
      <c r="N218" s="5" t="s">
        <v>66</v>
      </c>
      <c r="O218" s="5"/>
      <c r="P218" s="6">
        <f>IF(A218="","",COUNTA(D218:F218)+COUNTA(G218:G218)+COUNTA(H218:H218)+COUNTA(I218:I218))</f>
        <v>6</v>
      </c>
      <c r="Q218" s="6" t="str">
        <f>IF(A218="","",IF(AND(P218=6,UPPER(L218)&lt;&gt;"Y",C218&lt;&gt;""),"Yes","No"))</f>
        <v>Yes</v>
      </c>
      <c r="R218" s="5" t="s">
        <v>51</v>
      </c>
      <c r="S218" s="5" t="s">
        <v>783</v>
      </c>
      <c r="T218" s="5" t="s">
        <v>784</v>
      </c>
      <c r="U218" s="5" t="s">
        <v>83</v>
      </c>
      <c r="V218" s="5"/>
      <c r="W218" s="5" t="s">
        <v>43</v>
      </c>
      <c r="X218" s="5"/>
      <c r="Y218" s="5" t="s">
        <v>88</v>
      </c>
    </row>
    <row r="219" spans="1:25" x14ac:dyDescent="0.25">
      <c r="A219" s="5" t="s">
        <v>785</v>
      </c>
      <c r="B219" s="5"/>
      <c r="C219" s="5"/>
      <c r="D219" s="5"/>
      <c r="E219" s="5"/>
      <c r="F219" s="5"/>
      <c r="G219" s="5"/>
      <c r="H219" s="5"/>
      <c r="I219" s="5" t="s">
        <v>71</v>
      </c>
      <c r="J219" s="5" t="s">
        <v>91</v>
      </c>
      <c r="K219" s="5" t="s">
        <v>535</v>
      </c>
      <c r="L219" s="5"/>
      <c r="M219" s="5"/>
      <c r="N219" s="5" t="s">
        <v>66</v>
      </c>
      <c r="O219" s="5"/>
      <c r="P219" s="6">
        <f>IF(A219="","",COUNTA(D219:F219)+COUNTA(G219:G219)+COUNTA(H219:H219)+COUNTA(I219:I219))</f>
        <v>1</v>
      </c>
      <c r="Q219" s="6" t="str">
        <f>IF(A219="","",IF(AND(P219=6,UPPER(L219)&lt;&gt;"Y",C219&lt;&gt;""),"Yes","No"))</f>
        <v>No</v>
      </c>
      <c r="R219" s="5" t="s">
        <v>51</v>
      </c>
      <c r="S219" s="5"/>
      <c r="T219" s="5" t="s">
        <v>786</v>
      </c>
      <c r="U219" s="5"/>
      <c r="V219" s="5"/>
      <c r="W219" s="5"/>
      <c r="X219" s="5"/>
      <c r="Y219" s="5"/>
    </row>
    <row r="220" spans="1:25" x14ac:dyDescent="0.25">
      <c r="A220" s="5" t="s">
        <v>787</v>
      </c>
      <c r="B220" s="5"/>
      <c r="C220" s="5" t="s">
        <v>70</v>
      </c>
      <c r="D220" s="5"/>
      <c r="E220" s="5"/>
      <c r="F220" s="5"/>
      <c r="G220" s="5" t="s">
        <v>47</v>
      </c>
      <c r="H220" s="5"/>
      <c r="I220" s="5"/>
      <c r="J220" s="5"/>
      <c r="K220" s="5"/>
      <c r="L220" s="5"/>
      <c r="M220" s="5"/>
      <c r="N220" s="5" t="s">
        <v>50</v>
      </c>
      <c r="O220" s="5"/>
      <c r="P220" s="6">
        <f>IF(A220="","",COUNTA(D220:F220)+COUNTA(G220:G220)+COUNTA(H220:H220)+COUNTA(I220:I220))</f>
        <v>1</v>
      </c>
      <c r="Q220" s="6" t="str">
        <f>IF(A220="","",IF(AND(P220=6,UPPER(L220)&lt;&gt;"Y",C220&lt;&gt;""),"Yes","No"))</f>
        <v>No</v>
      </c>
      <c r="R220" s="5" t="s">
        <v>51</v>
      </c>
      <c r="S220" s="5"/>
      <c r="T220" s="5"/>
      <c r="U220" s="5"/>
      <c r="V220" s="5"/>
      <c r="W220" s="5"/>
      <c r="X220" s="5"/>
      <c r="Y220" s="5" t="s">
        <v>256</v>
      </c>
    </row>
    <row r="221" spans="1:25" x14ac:dyDescent="0.25">
      <c r="A221" s="5" t="s">
        <v>788</v>
      </c>
      <c r="B221" s="5"/>
      <c r="C221" s="5" t="s">
        <v>43</v>
      </c>
      <c r="D221" s="5" t="s">
        <v>44</v>
      </c>
      <c r="E221" s="5" t="s">
        <v>45</v>
      </c>
      <c r="F221" s="5" t="s">
        <v>46</v>
      </c>
      <c r="G221" s="5" t="s">
        <v>47</v>
      </c>
      <c r="H221" s="5" t="s">
        <v>313</v>
      </c>
      <c r="I221" s="5" t="s">
        <v>91</v>
      </c>
      <c r="J221" s="5"/>
      <c r="K221" s="5" t="s">
        <v>91</v>
      </c>
      <c r="L221" s="5"/>
      <c r="M221" s="5"/>
      <c r="N221" s="5" t="s">
        <v>66</v>
      </c>
      <c r="O221" s="5"/>
      <c r="P221" s="6">
        <f>IF(A221="","",COUNTA(D221:F221)+COUNTA(G221:G221)+COUNTA(H221:H221)+COUNTA(I221:I221))</f>
        <v>6</v>
      </c>
      <c r="Q221" s="6" t="str">
        <f>IF(A221="","",IF(AND(P221=6,UPPER(L221)&lt;&gt;"Y",C221&lt;&gt;""),"Yes","No"))</f>
        <v>Yes</v>
      </c>
      <c r="R221" s="5" t="s">
        <v>51</v>
      </c>
      <c r="S221" s="5" t="s">
        <v>789</v>
      </c>
      <c r="T221" s="5" t="s">
        <v>790</v>
      </c>
      <c r="U221" s="5" t="s">
        <v>316</v>
      </c>
      <c r="V221" s="5" t="s">
        <v>586</v>
      </c>
      <c r="W221" s="5" t="s">
        <v>43</v>
      </c>
      <c r="X221" s="5"/>
      <c r="Y221" s="5" t="s">
        <v>242</v>
      </c>
    </row>
    <row r="222" spans="1:25" x14ac:dyDescent="0.25">
      <c r="A222" s="5" t="s">
        <v>791</v>
      </c>
      <c r="B222" s="5"/>
      <c r="C222" s="5" t="s">
        <v>70</v>
      </c>
      <c r="D222" s="5" t="s">
        <v>76</v>
      </c>
      <c r="E222" s="5"/>
      <c r="F222" s="5"/>
      <c r="G222" s="5"/>
      <c r="H222" s="5" t="s">
        <v>83</v>
      </c>
      <c r="I222" s="5"/>
      <c r="J222" s="5"/>
      <c r="K222" s="5"/>
      <c r="L222" s="5"/>
      <c r="M222" s="5"/>
      <c r="N222" s="5" t="s">
        <v>50</v>
      </c>
      <c r="O222" s="5"/>
      <c r="P222" s="6">
        <f>IF(A222="","",COUNTA(D222:F222)+COUNTA(G222:G222)+COUNTA(H222:H222)+COUNTA(I222:I222))</f>
        <v>2</v>
      </c>
      <c r="Q222" s="6" t="str">
        <f>IF(A222="","",IF(AND(P222=6,UPPER(L222)&lt;&gt;"Y",C222&lt;&gt;""),"Yes","No"))</f>
        <v>No</v>
      </c>
      <c r="R222" s="5" t="s">
        <v>51</v>
      </c>
      <c r="S222" s="5"/>
      <c r="T222" s="5"/>
      <c r="U222" s="5" t="s">
        <v>83</v>
      </c>
      <c r="V222" s="5"/>
      <c r="W222" s="5"/>
      <c r="X222" s="5"/>
      <c r="Y222" s="5" t="s">
        <v>189</v>
      </c>
    </row>
    <row r="223" spans="1:25" x14ac:dyDescent="0.25">
      <c r="A223" s="5" t="s">
        <v>792</v>
      </c>
      <c r="B223" s="5"/>
      <c r="C223" s="5" t="s">
        <v>43</v>
      </c>
      <c r="D223" s="5" t="s">
        <v>44</v>
      </c>
      <c r="E223" s="5" t="s">
        <v>331</v>
      </c>
      <c r="F223" s="5" t="s">
        <v>46</v>
      </c>
      <c r="G223" s="5" t="s">
        <v>57</v>
      </c>
      <c r="H223" s="5" t="s">
        <v>662</v>
      </c>
      <c r="I223" s="5" t="s">
        <v>119</v>
      </c>
      <c r="J223" s="5"/>
      <c r="K223" s="5" t="s">
        <v>119</v>
      </c>
      <c r="L223" s="5"/>
      <c r="M223" s="5"/>
      <c r="N223" s="5" t="s">
        <v>50</v>
      </c>
      <c r="O223" s="5"/>
      <c r="P223" s="6">
        <f>IF(A223="","",COUNTA(D223:F223)+COUNTA(G223:G223)+COUNTA(H223:H223)+COUNTA(I223:I223))</f>
        <v>6</v>
      </c>
      <c r="Q223" s="6" t="str">
        <f>IF(A223="","",IF(AND(P223=6,UPPER(L223)&lt;&gt;"Y",C223&lt;&gt;""),"Yes","No"))</f>
        <v>Yes</v>
      </c>
      <c r="R223" s="5" t="s">
        <v>51</v>
      </c>
      <c r="S223" s="5" t="s">
        <v>793</v>
      </c>
      <c r="T223" s="5" t="s">
        <v>794</v>
      </c>
      <c r="U223" s="5" t="s">
        <v>662</v>
      </c>
      <c r="V223" s="5"/>
      <c r="W223" s="5" t="s">
        <v>43</v>
      </c>
      <c r="X223" s="5" t="s">
        <v>675</v>
      </c>
      <c r="Y223" s="5" t="s">
        <v>795</v>
      </c>
    </row>
    <row r="224" spans="1:25" x14ac:dyDescent="0.25">
      <c r="A224" s="5" t="s">
        <v>796</v>
      </c>
      <c r="B224" s="5"/>
      <c r="C224" s="5" t="s">
        <v>43</v>
      </c>
      <c r="D224" s="5" t="s">
        <v>76</v>
      </c>
      <c r="E224" s="5" t="s">
        <v>45</v>
      </c>
      <c r="F224" s="5" t="s">
        <v>46</v>
      </c>
      <c r="G224" s="5" t="s">
        <v>57</v>
      </c>
      <c r="H224" s="5" t="s">
        <v>1862</v>
      </c>
      <c r="I224" s="5" t="s">
        <v>91</v>
      </c>
      <c r="J224" s="5" t="s">
        <v>797</v>
      </c>
      <c r="K224" s="5" t="s">
        <v>798</v>
      </c>
      <c r="L224" s="5"/>
      <c r="M224" s="5"/>
      <c r="N224" s="5" t="s">
        <v>110</v>
      </c>
      <c r="O224" s="5" t="s">
        <v>799</v>
      </c>
      <c r="P224" s="6">
        <f>IF(A224="","",COUNTA(D224:F224)+COUNTA(G224:G224)+COUNTA(H224:H224)+COUNTA(I224:I224))</f>
        <v>6</v>
      </c>
      <c r="Q224" s="6" t="str">
        <f>IF(A224="","",IF(AND(P224=6,UPPER(L224)&lt;&gt;"Y",C224&lt;&gt;""),"Yes","No"))</f>
        <v>Yes</v>
      </c>
      <c r="R224" s="5" t="s">
        <v>112</v>
      </c>
      <c r="S224" s="5" t="s">
        <v>800</v>
      </c>
      <c r="T224" s="5" t="s">
        <v>801</v>
      </c>
      <c r="U224" s="5" t="s">
        <v>271</v>
      </c>
      <c r="V224" s="5" t="s">
        <v>802</v>
      </c>
      <c r="W224" s="5" t="s">
        <v>43</v>
      </c>
      <c r="X224" s="5" t="s">
        <v>275</v>
      </c>
      <c r="Y224" s="5" t="s">
        <v>55</v>
      </c>
    </row>
    <row r="225" spans="1:25" x14ac:dyDescent="0.25">
      <c r="A225" s="5" t="s">
        <v>803</v>
      </c>
      <c r="B225" s="5"/>
      <c r="C225" s="5"/>
      <c r="D225" s="5"/>
      <c r="E225" s="5" t="s">
        <v>45</v>
      </c>
      <c r="F225" s="5" t="s">
        <v>46</v>
      </c>
      <c r="G225" s="5"/>
      <c r="H225" s="5" t="s">
        <v>77</v>
      </c>
      <c r="I225" s="5" t="s">
        <v>71</v>
      </c>
      <c r="J225" s="5" t="s">
        <v>804</v>
      </c>
      <c r="K225" s="5" t="s">
        <v>805</v>
      </c>
      <c r="L225" s="5"/>
      <c r="M225" s="5"/>
      <c r="N225" s="5" t="s">
        <v>66</v>
      </c>
      <c r="O225" s="5" t="s">
        <v>103</v>
      </c>
      <c r="P225" s="6">
        <f>IF(A225="","",COUNTA(D225:F225)+COUNTA(G225:G225)+COUNTA(H225:H225)+COUNTA(I225:I225))</f>
        <v>4</v>
      </c>
      <c r="Q225" s="6" t="str">
        <f>IF(A225="","",IF(AND(P225=6,UPPER(L225)&lt;&gt;"Y",C225&lt;&gt;""),"Yes","No"))</f>
        <v>No</v>
      </c>
      <c r="R225" s="5" t="s">
        <v>51</v>
      </c>
      <c r="S225" s="5" t="s">
        <v>806</v>
      </c>
      <c r="T225" s="5" t="s">
        <v>807</v>
      </c>
      <c r="U225" s="5" t="s">
        <v>77</v>
      </c>
      <c r="V225" s="5"/>
      <c r="W225" s="5" t="s">
        <v>105</v>
      </c>
      <c r="X225" s="5"/>
      <c r="Y225" s="5" t="s">
        <v>167</v>
      </c>
    </row>
    <row r="226" spans="1:25" x14ac:dyDescent="0.25">
      <c r="A226" s="5" t="s">
        <v>808</v>
      </c>
      <c r="B226" s="5"/>
      <c r="C226" s="5" t="s">
        <v>43</v>
      </c>
      <c r="D226" s="5" t="s">
        <v>44</v>
      </c>
      <c r="E226" s="5" t="s">
        <v>331</v>
      </c>
      <c r="F226" s="5" t="s">
        <v>107</v>
      </c>
      <c r="G226" s="5" t="s">
        <v>1851</v>
      </c>
      <c r="H226" s="5" t="s">
        <v>332</v>
      </c>
      <c r="I226" s="5" t="s">
        <v>91</v>
      </c>
      <c r="J226" s="5"/>
      <c r="K226" s="5" t="s">
        <v>91</v>
      </c>
      <c r="L226" s="5"/>
      <c r="M226" s="5"/>
      <c r="N226" s="5" t="s">
        <v>50</v>
      </c>
      <c r="O226" s="5" t="s">
        <v>225</v>
      </c>
      <c r="P226" s="6">
        <f>IF(A226="","",COUNTA(D226:F226)+COUNTA(G226:G226)+COUNTA(H226:H226)+COUNTA(I226:I226))</f>
        <v>6</v>
      </c>
      <c r="Q226" s="6" t="str">
        <f>IF(A226="","",IF(AND(P226=6,UPPER(L226)&lt;&gt;"Y",C226&lt;&gt;""),"Yes","No"))</f>
        <v>Yes</v>
      </c>
      <c r="R226" s="5" t="s">
        <v>51</v>
      </c>
      <c r="S226" s="5"/>
      <c r="T226" s="5" t="s">
        <v>809</v>
      </c>
      <c r="U226" s="5" t="s">
        <v>746</v>
      </c>
      <c r="V226" s="5"/>
      <c r="W226" s="5" t="s">
        <v>43</v>
      </c>
      <c r="X226" s="5"/>
      <c r="Y226" s="5" t="s">
        <v>810</v>
      </c>
    </row>
    <row r="227" spans="1:25" x14ac:dyDescent="0.25">
      <c r="A227" s="5" t="s">
        <v>811</v>
      </c>
      <c r="B227" s="5"/>
      <c r="C227" s="5"/>
      <c r="D227" s="5"/>
      <c r="E227" s="5"/>
      <c r="F227" s="5"/>
      <c r="G227" s="5"/>
      <c r="H227" s="5"/>
      <c r="I227" s="5"/>
      <c r="J227" s="5"/>
      <c r="K227" s="5"/>
      <c r="L227" s="5"/>
      <c r="M227" s="5"/>
      <c r="N227" s="5" t="s">
        <v>66</v>
      </c>
      <c r="O227" s="5"/>
      <c r="P227" s="6">
        <f>IF(A227="","",COUNTA(D227:F227)+COUNTA(G227:G227)+COUNTA(H227:H227)+COUNTA(I227:I227))</f>
        <v>0</v>
      </c>
      <c r="Q227" s="6" t="str">
        <f>IF(A227="","",IF(AND(P227=6,UPPER(L227)&lt;&gt;"Y",C227&lt;&gt;""),"Yes","No"))</f>
        <v>No</v>
      </c>
      <c r="R227" s="5" t="s">
        <v>51</v>
      </c>
      <c r="S227" s="5"/>
      <c r="T227" s="5" t="s">
        <v>812</v>
      </c>
      <c r="U227" s="5"/>
      <c r="V227" s="5"/>
      <c r="W227" s="5"/>
      <c r="X227" s="5"/>
      <c r="Y227" s="5"/>
    </row>
    <row r="228" spans="1:25" x14ac:dyDescent="0.25">
      <c r="A228" s="5" t="s">
        <v>813</v>
      </c>
      <c r="B228" s="5"/>
      <c r="C228" s="5" t="s">
        <v>43</v>
      </c>
      <c r="D228" s="5" t="s">
        <v>44</v>
      </c>
      <c r="E228" s="5" t="s">
        <v>45</v>
      </c>
      <c r="F228" s="5" t="s">
        <v>46</v>
      </c>
      <c r="G228" s="5" t="s">
        <v>47</v>
      </c>
      <c r="H228" s="5" t="s">
        <v>313</v>
      </c>
      <c r="I228" s="5" t="s">
        <v>72</v>
      </c>
      <c r="J228" s="5" t="s">
        <v>814</v>
      </c>
      <c r="K228" s="5" t="s">
        <v>815</v>
      </c>
      <c r="L228" s="5"/>
      <c r="M228" s="5"/>
      <c r="N228" s="5" t="s">
        <v>124</v>
      </c>
      <c r="O228" s="5"/>
      <c r="P228" s="6">
        <f>IF(A228="","",COUNTA(D228:F228)+COUNTA(G228:G228)+COUNTA(H228:H228)+COUNTA(I228:I228))</f>
        <v>6</v>
      </c>
      <c r="Q228" s="6" t="str">
        <f>IF(A228="","",IF(AND(P228=6,UPPER(L228)&lt;&gt;"Y",C228&lt;&gt;""),"Yes","No"))</f>
        <v>Yes</v>
      </c>
      <c r="R228" s="5" t="s">
        <v>125</v>
      </c>
      <c r="S228" s="5" t="s">
        <v>138</v>
      </c>
      <c r="T228" s="5"/>
      <c r="U228" s="5" t="s">
        <v>816</v>
      </c>
      <c r="V228" s="5" t="s">
        <v>47</v>
      </c>
      <c r="W228" s="5"/>
      <c r="X228" s="5"/>
      <c r="Y228" s="5" t="s">
        <v>285</v>
      </c>
    </row>
    <row r="229" spans="1:25" x14ac:dyDescent="0.25">
      <c r="A229" s="5" t="s">
        <v>817</v>
      </c>
      <c r="B229" s="5"/>
      <c r="C229" s="5" t="s">
        <v>43</v>
      </c>
      <c r="D229" s="5" t="s">
        <v>76</v>
      </c>
      <c r="E229" s="5"/>
      <c r="F229" s="5"/>
      <c r="G229" s="5" t="s">
        <v>47</v>
      </c>
      <c r="H229" s="5" t="s">
        <v>149</v>
      </c>
      <c r="I229" s="5"/>
      <c r="J229" s="5"/>
      <c r="K229" s="5"/>
      <c r="L229" s="5"/>
      <c r="M229" s="5"/>
      <c r="N229" s="5" t="s">
        <v>50</v>
      </c>
      <c r="O229" s="5"/>
      <c r="P229" s="6">
        <f>IF(A229="","",COUNTA(D229:F229)+COUNTA(G229:G229)+COUNTA(H229:H229)+COUNTA(I229:I229))</f>
        <v>3</v>
      </c>
      <c r="Q229" s="6" t="str">
        <f>IF(A229="","",IF(AND(P229=6,UPPER(L229)&lt;&gt;"Y",C229&lt;&gt;""),"Yes","No"))</f>
        <v>No</v>
      </c>
      <c r="R229" s="5" t="s">
        <v>51</v>
      </c>
      <c r="S229" s="5"/>
      <c r="T229" s="5"/>
      <c r="U229" s="5"/>
      <c r="V229" s="5" t="s">
        <v>67</v>
      </c>
      <c r="W229" s="5" t="s">
        <v>43</v>
      </c>
      <c r="X229" s="5" t="s">
        <v>68</v>
      </c>
      <c r="Y229" s="5" t="s">
        <v>150</v>
      </c>
    </row>
    <row r="230" spans="1:25" x14ac:dyDescent="0.25">
      <c r="A230" s="5" t="s">
        <v>818</v>
      </c>
      <c r="B230" s="5"/>
      <c r="C230" s="5" t="s">
        <v>43</v>
      </c>
      <c r="D230" s="5" t="s">
        <v>76</v>
      </c>
      <c r="E230" s="5" t="s">
        <v>45</v>
      </c>
      <c r="F230" s="5" t="s">
        <v>46</v>
      </c>
      <c r="G230" s="5"/>
      <c r="H230" s="5" t="s">
        <v>149</v>
      </c>
      <c r="I230" s="5"/>
      <c r="J230" s="5"/>
      <c r="K230" s="5"/>
      <c r="L230" s="5"/>
      <c r="M230" s="5"/>
      <c r="N230" s="5" t="s">
        <v>50</v>
      </c>
      <c r="O230" s="5"/>
      <c r="P230" s="6">
        <f>IF(A230="","",COUNTA(D230:F230)+COUNTA(G230:G230)+COUNTA(H230:H230)+COUNTA(I230:I230))</f>
        <v>4</v>
      </c>
      <c r="Q230" s="6" t="str">
        <f>IF(A230="","",IF(AND(P230=6,UPPER(L230)&lt;&gt;"Y",C230&lt;&gt;""),"Yes","No"))</f>
        <v>No</v>
      </c>
      <c r="R230" s="5" t="s">
        <v>51</v>
      </c>
      <c r="S230" s="5" t="s">
        <v>819</v>
      </c>
      <c r="T230" s="5" t="s">
        <v>820</v>
      </c>
      <c r="U230" s="5" t="s">
        <v>149</v>
      </c>
      <c r="V230" s="5"/>
      <c r="W230" s="5" t="s">
        <v>43</v>
      </c>
      <c r="X230" s="5" t="s">
        <v>68</v>
      </c>
      <c r="Y230" s="5" t="s">
        <v>821</v>
      </c>
    </row>
    <row r="231" spans="1:25" x14ac:dyDescent="0.25">
      <c r="A231" s="5" t="s">
        <v>822</v>
      </c>
      <c r="B231" s="5"/>
      <c r="C231" s="5" t="s">
        <v>43</v>
      </c>
      <c r="D231" s="5"/>
      <c r="E231" s="5"/>
      <c r="F231" s="5"/>
      <c r="G231" s="5" t="s">
        <v>47</v>
      </c>
      <c r="H231" s="5"/>
      <c r="I231" s="5"/>
      <c r="J231" s="5"/>
      <c r="K231" s="5"/>
      <c r="L231" s="5"/>
      <c r="M231" s="5"/>
      <c r="N231" s="5" t="s">
        <v>50</v>
      </c>
      <c r="O231" s="5"/>
      <c r="P231" s="6">
        <f>IF(A231="","",COUNTA(D231:F231)+COUNTA(G231:G231)+COUNTA(H231:H231)+COUNTA(I231:I231))</f>
        <v>1</v>
      </c>
      <c r="Q231" s="6" t="str">
        <f>IF(A231="","",IF(AND(P231=6,UPPER(L231)&lt;&gt;"Y",C231&lt;&gt;""),"Yes","No"))</f>
        <v>No</v>
      </c>
      <c r="R231" s="5" t="s">
        <v>51</v>
      </c>
      <c r="S231" s="5"/>
      <c r="T231" s="5"/>
      <c r="U231" s="5"/>
      <c r="V231" s="5"/>
      <c r="W231" s="5" t="s">
        <v>43</v>
      </c>
      <c r="X231" s="5" t="s">
        <v>68</v>
      </c>
      <c r="Y231" s="5" t="s">
        <v>547</v>
      </c>
    </row>
    <row r="232" spans="1:25" x14ac:dyDescent="0.25">
      <c r="A232" s="5" t="s">
        <v>823</v>
      </c>
      <c r="B232" s="5"/>
      <c r="C232" s="5" t="s">
        <v>43</v>
      </c>
      <c r="D232" s="5" t="s">
        <v>44</v>
      </c>
      <c r="E232" s="5" t="s">
        <v>45</v>
      </c>
      <c r="F232" s="5" t="s">
        <v>46</v>
      </c>
      <c r="G232" s="5" t="s">
        <v>47</v>
      </c>
      <c r="H232" s="5" t="s">
        <v>313</v>
      </c>
      <c r="I232" s="5" t="s">
        <v>133</v>
      </c>
      <c r="J232" s="5" t="s">
        <v>72</v>
      </c>
      <c r="K232" s="5" t="s">
        <v>824</v>
      </c>
      <c r="L232" s="5"/>
      <c r="M232" s="5"/>
      <c r="N232" s="5" t="s">
        <v>66</v>
      </c>
      <c r="O232" s="5"/>
      <c r="P232" s="6">
        <f>IF(A232="","",COUNTA(D232:F232)+COUNTA(G232:G232)+COUNTA(H232:H232)+COUNTA(I232:I232))</f>
        <v>6</v>
      </c>
      <c r="Q232" s="6" t="str">
        <f>IF(A232="","",IF(AND(P232=6,UPPER(L232)&lt;&gt;"Y",C232&lt;&gt;""),"Yes","No"))</f>
        <v>Yes</v>
      </c>
      <c r="R232" s="5" t="s">
        <v>51</v>
      </c>
      <c r="S232" s="5"/>
      <c r="T232" s="5" t="s">
        <v>825</v>
      </c>
      <c r="U232" s="5" t="s">
        <v>316</v>
      </c>
      <c r="V232" s="5" t="s">
        <v>373</v>
      </c>
      <c r="W232" s="5" t="s">
        <v>43</v>
      </c>
      <c r="X232" s="5"/>
      <c r="Y232" s="5" t="s">
        <v>88</v>
      </c>
    </row>
    <row r="233" spans="1:25" x14ac:dyDescent="0.25">
      <c r="A233" s="5" t="s">
        <v>826</v>
      </c>
      <c r="B233" s="5"/>
      <c r="C233" s="5" t="s">
        <v>43</v>
      </c>
      <c r="D233" s="5" t="s">
        <v>44</v>
      </c>
      <c r="E233" s="5" t="s">
        <v>45</v>
      </c>
      <c r="F233" s="5" t="s">
        <v>46</v>
      </c>
      <c r="G233" s="5" t="s">
        <v>47</v>
      </c>
      <c r="H233" s="5" t="s">
        <v>1904</v>
      </c>
      <c r="I233" s="5" t="s">
        <v>192</v>
      </c>
      <c r="J233" s="5"/>
      <c r="K233" s="5" t="s">
        <v>192</v>
      </c>
      <c r="L233" s="5"/>
      <c r="M233" s="5"/>
      <c r="N233" s="5" t="s">
        <v>66</v>
      </c>
      <c r="O233" s="5"/>
      <c r="P233" s="6">
        <f>IF(A233="","",COUNTA(D233:F233)+COUNTA(G233:G233)+COUNTA(H233:H233)+COUNTA(I233:I233))</f>
        <v>6</v>
      </c>
      <c r="Q233" s="6" t="str">
        <f>IF(A233="","",IF(AND(P233=6,UPPER(L233)&lt;&gt;"Y",C233&lt;&gt;""),"Yes","No"))</f>
        <v>Yes</v>
      </c>
      <c r="R233" s="5" t="s">
        <v>51</v>
      </c>
      <c r="S233" s="5" t="s">
        <v>827</v>
      </c>
      <c r="T233" s="5" t="s">
        <v>828</v>
      </c>
      <c r="U233" s="5" t="s">
        <v>63</v>
      </c>
      <c r="V233" s="5" t="s">
        <v>829</v>
      </c>
      <c r="W233" s="5" t="s">
        <v>43</v>
      </c>
      <c r="X233" s="5" t="s">
        <v>830</v>
      </c>
      <c r="Y233" s="5" t="s">
        <v>88</v>
      </c>
    </row>
    <row r="234" spans="1:25" x14ac:dyDescent="0.25">
      <c r="A234" s="5" t="s">
        <v>832</v>
      </c>
      <c r="B234" s="5"/>
      <c r="C234" s="5" t="s">
        <v>43</v>
      </c>
      <c r="D234" s="5" t="s">
        <v>44</v>
      </c>
      <c r="E234" s="5" t="s">
        <v>45</v>
      </c>
      <c r="F234" s="5" t="s">
        <v>107</v>
      </c>
      <c r="G234" s="5" t="s">
        <v>47</v>
      </c>
      <c r="H234" s="5" t="s">
        <v>96</v>
      </c>
      <c r="I234" s="5" t="s">
        <v>59</v>
      </c>
      <c r="J234" s="5"/>
      <c r="K234" s="5" t="s">
        <v>59</v>
      </c>
      <c r="L234" s="5"/>
      <c r="M234" s="5"/>
      <c r="N234" s="5" t="s">
        <v>124</v>
      </c>
      <c r="O234" s="5"/>
      <c r="P234" s="6">
        <f>IF(A234="","",COUNTA(D234:F234)+COUNTA(G234:G234)+COUNTA(H234:H234)+COUNTA(I234:I234))</f>
        <v>6</v>
      </c>
      <c r="Q234" s="6" t="str">
        <f>IF(A234="","",IF(AND(P234=6,UPPER(L234)&lt;&gt;"Y",C234&lt;&gt;""),"Yes","No"))</f>
        <v>Yes</v>
      </c>
      <c r="R234" s="5" t="s">
        <v>125</v>
      </c>
      <c r="S234" s="5"/>
      <c r="T234" s="5" t="s">
        <v>831</v>
      </c>
      <c r="U234" s="5" t="s">
        <v>96</v>
      </c>
      <c r="V234" s="5" t="s">
        <v>47</v>
      </c>
      <c r="W234" s="5"/>
      <c r="X234" s="5"/>
      <c r="Y234" s="5" t="s">
        <v>575</v>
      </c>
    </row>
    <row r="235" spans="1:25" x14ac:dyDescent="0.25">
      <c r="A235" s="5" t="s">
        <v>833</v>
      </c>
      <c r="B235" s="5"/>
      <c r="C235" s="5"/>
      <c r="D235" s="5"/>
      <c r="E235" s="5"/>
      <c r="F235" s="5"/>
      <c r="G235" s="5"/>
      <c r="H235" s="5"/>
      <c r="I235" s="5"/>
      <c r="J235" s="5"/>
      <c r="K235" s="5"/>
      <c r="L235" s="5"/>
      <c r="M235" s="5"/>
      <c r="N235" s="5" t="s">
        <v>66</v>
      </c>
      <c r="O235" s="5"/>
      <c r="P235" s="6">
        <f>IF(A235="","",COUNTA(D235:F235)+COUNTA(G235:G235)+COUNTA(H235:H235)+COUNTA(I235:I235))</f>
        <v>0</v>
      </c>
      <c r="Q235" s="6" t="str">
        <f>IF(A235="","",IF(AND(P235=6,UPPER(L235)&lt;&gt;"Y",C235&lt;&gt;""),"Yes","No"))</f>
        <v>No</v>
      </c>
      <c r="R235" s="5" t="s">
        <v>51</v>
      </c>
      <c r="S235" s="5"/>
      <c r="T235" s="5"/>
      <c r="U235" s="5"/>
      <c r="V235" s="5"/>
      <c r="W235" s="5"/>
      <c r="X235" s="5"/>
      <c r="Y235" s="5"/>
    </row>
    <row r="236" spans="1:25" x14ac:dyDescent="0.25">
      <c r="A236" s="5" t="s">
        <v>834</v>
      </c>
      <c r="B236" s="5"/>
      <c r="C236" s="5" t="s">
        <v>43</v>
      </c>
      <c r="D236" s="5" t="s">
        <v>44</v>
      </c>
      <c r="E236" s="5" t="s">
        <v>45</v>
      </c>
      <c r="F236" s="5" t="s">
        <v>107</v>
      </c>
      <c r="G236" s="5" t="s">
        <v>1851</v>
      </c>
      <c r="H236" s="5" t="s">
        <v>132</v>
      </c>
      <c r="I236" s="5" t="s">
        <v>78</v>
      </c>
      <c r="J236" s="5"/>
      <c r="K236" s="5"/>
      <c r="L236" s="5"/>
      <c r="M236" s="5"/>
      <c r="N236" s="5" t="s">
        <v>50</v>
      </c>
      <c r="O236" s="5"/>
      <c r="P236" s="6">
        <f>IF(A236="","",COUNTA(D236:F236)+COUNTA(G236:G236)+COUNTA(H236:H236)+COUNTA(I236:I236))</f>
        <v>6</v>
      </c>
      <c r="Q236" s="6" t="str">
        <f>IF(A236="","",IF(AND(P236=6,UPPER(L236)&lt;&gt;"Y",C236&lt;&gt;""),"Yes","No"))</f>
        <v>Yes</v>
      </c>
      <c r="R236" s="5" t="s">
        <v>51</v>
      </c>
      <c r="S236" s="5"/>
      <c r="T236" s="5" t="s">
        <v>835</v>
      </c>
      <c r="U236" s="5" t="s">
        <v>132</v>
      </c>
      <c r="V236" s="5"/>
      <c r="W236" s="5" t="s">
        <v>43</v>
      </c>
      <c r="X236" s="5"/>
      <c r="Y236" s="5" t="s">
        <v>136</v>
      </c>
    </row>
    <row r="237" spans="1:25" x14ac:dyDescent="0.25">
      <c r="A237" s="5" t="s">
        <v>836</v>
      </c>
      <c r="B237" s="5"/>
      <c r="C237" s="5" t="s">
        <v>43</v>
      </c>
      <c r="D237" s="5"/>
      <c r="E237" s="5" t="s">
        <v>45</v>
      </c>
      <c r="F237" s="5" t="s">
        <v>46</v>
      </c>
      <c r="G237" s="5" t="s">
        <v>47</v>
      </c>
      <c r="H237" s="5"/>
      <c r="I237" s="5"/>
      <c r="J237" s="5"/>
      <c r="K237" s="5"/>
      <c r="L237" s="5"/>
      <c r="M237" s="5"/>
      <c r="N237" s="5" t="s">
        <v>66</v>
      </c>
      <c r="O237" s="5"/>
      <c r="P237" s="6">
        <f>IF(A237="","",COUNTA(D237:F237)+COUNTA(G237:G237)+COUNTA(H237:H237)+COUNTA(I237:I237))</f>
        <v>3</v>
      </c>
      <c r="Q237" s="6" t="str">
        <f>IF(A237="","",IF(AND(P237=6,UPPER(L237)&lt;&gt;"Y",C237&lt;&gt;""),"Yes","No"))</f>
        <v>No</v>
      </c>
      <c r="R237" s="5" t="s">
        <v>51</v>
      </c>
      <c r="S237" s="5" t="s">
        <v>837</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IF(A238="","",COUNTA(D238:F238)+COUNTA(G238:G238)+COUNTA(H238:H238)+COUNTA(I238:I238))</f>
        <v>6</v>
      </c>
      <c r="Q238" s="6" t="str">
        <f>IF(A238="","",IF(AND(P238=6,UPPER(L238)&lt;&gt;"Y",C238&lt;&gt;""),"Yes","No"))</f>
        <v>Yes</v>
      </c>
      <c r="R238" s="5" t="s">
        <v>51</v>
      </c>
      <c r="S238" s="5"/>
      <c r="T238" s="5" t="s">
        <v>838</v>
      </c>
      <c r="U238" s="5" t="s">
        <v>77</v>
      </c>
      <c r="V238" s="5" t="s">
        <v>839</v>
      </c>
      <c r="W238" s="5" t="s">
        <v>43</v>
      </c>
      <c r="X238" s="5"/>
      <c r="Y238" s="5" t="s">
        <v>136</v>
      </c>
    </row>
    <row r="239" spans="1:25" x14ac:dyDescent="0.25">
      <c r="A239" s="5" t="s">
        <v>840</v>
      </c>
      <c r="B239" s="5"/>
      <c r="C239" s="5" t="s">
        <v>43</v>
      </c>
      <c r="D239" s="5"/>
      <c r="E239" s="5"/>
      <c r="F239" s="5"/>
      <c r="G239" s="5" t="s">
        <v>47</v>
      </c>
      <c r="H239" s="5"/>
      <c r="I239" s="5"/>
      <c r="J239" s="5"/>
      <c r="K239" s="5"/>
      <c r="L239" s="5"/>
      <c r="M239" s="5"/>
      <c r="N239" s="5" t="s">
        <v>50</v>
      </c>
      <c r="O239" s="5"/>
      <c r="P239" s="6">
        <f>IF(A239="","",COUNTA(D239:F239)+COUNTA(G239:G239)+COUNTA(H239:H239)+COUNTA(I239:I239))</f>
        <v>1</v>
      </c>
      <c r="Q239" s="6" t="str">
        <f>IF(A239="","",IF(AND(P239=6,UPPER(L239)&lt;&gt;"Y",C239&lt;&gt;""),"Yes","No"))</f>
        <v>No</v>
      </c>
      <c r="R239" s="5" t="s">
        <v>51</v>
      </c>
      <c r="S239" s="5"/>
      <c r="T239" s="5"/>
      <c r="U239" s="5"/>
      <c r="V239" s="5"/>
      <c r="W239" s="5" t="s">
        <v>43</v>
      </c>
      <c r="X239" s="5" t="s">
        <v>68</v>
      </c>
      <c r="Y239" s="5" t="s">
        <v>547</v>
      </c>
    </row>
    <row r="240" spans="1:25" x14ac:dyDescent="0.25">
      <c r="A240" s="5" t="s">
        <v>841</v>
      </c>
      <c r="B240" s="5"/>
      <c r="C240" s="5" t="s">
        <v>70</v>
      </c>
      <c r="D240" s="5" t="s">
        <v>44</v>
      </c>
      <c r="E240" s="5"/>
      <c r="F240" s="5"/>
      <c r="G240" s="5"/>
      <c r="H240" s="5" t="s">
        <v>58</v>
      </c>
      <c r="I240" s="5"/>
      <c r="J240" s="5"/>
      <c r="K240" s="5"/>
      <c r="L240" s="5"/>
      <c r="M240" s="5"/>
      <c r="N240" s="5" t="s">
        <v>50</v>
      </c>
      <c r="O240" s="5"/>
      <c r="P240" s="6">
        <f>IF(A240="","",COUNTA(D240:F240)+COUNTA(G240:G240)+COUNTA(H240:H240)+COUNTA(I240:I240))</f>
        <v>2</v>
      </c>
      <c r="Q240" s="6" t="str">
        <f>IF(A240="","",IF(AND(P240=6,UPPER(L240)&lt;&gt;"Y",C240&lt;&gt;""),"Yes","No"))</f>
        <v>No</v>
      </c>
      <c r="R240" s="5" t="s">
        <v>51</v>
      </c>
      <c r="S240" s="5"/>
      <c r="T240" s="5"/>
      <c r="U240" s="5" t="s">
        <v>63</v>
      </c>
      <c r="V240" s="5"/>
      <c r="W240" s="5"/>
      <c r="X240" s="5"/>
      <c r="Y240" s="5" t="s">
        <v>189</v>
      </c>
    </row>
    <row r="241" spans="1:25" x14ac:dyDescent="0.25">
      <c r="A241" s="5" t="s">
        <v>842</v>
      </c>
      <c r="B241" s="5"/>
      <c r="C241" s="5" t="s">
        <v>128</v>
      </c>
      <c r="D241" s="5" t="s">
        <v>44</v>
      </c>
      <c r="E241" s="5" t="s">
        <v>45</v>
      </c>
      <c r="F241" s="5" t="s">
        <v>46</v>
      </c>
      <c r="G241" s="5" t="s">
        <v>57</v>
      </c>
      <c r="H241" s="5" t="s">
        <v>1886</v>
      </c>
      <c r="I241" s="5" t="s">
        <v>78</v>
      </c>
      <c r="J241" s="5" t="s">
        <v>71</v>
      </c>
      <c r="K241" s="5"/>
      <c r="L241" s="5"/>
      <c r="M241" s="5"/>
      <c r="N241" s="5" t="s">
        <v>66</v>
      </c>
      <c r="O241" s="5"/>
      <c r="P241" s="6">
        <f>IF(A241="","",COUNTA(D241:F241)+COUNTA(G241:G241)+COUNTA(H241:H241)+COUNTA(I241:I241))</f>
        <v>6</v>
      </c>
      <c r="Q241" s="6" t="str">
        <f>IF(A241="","",IF(AND(P241=6,UPPER(L241)&lt;&gt;"Y",C241&lt;&gt;""),"Yes","No"))</f>
        <v>Yes</v>
      </c>
      <c r="R241" s="5" t="s">
        <v>51</v>
      </c>
      <c r="S241" s="5"/>
      <c r="T241" s="5" t="s">
        <v>1887</v>
      </c>
      <c r="U241" s="5"/>
      <c r="V241" s="5" t="s">
        <v>57</v>
      </c>
      <c r="W241" s="5" t="s">
        <v>128</v>
      </c>
      <c r="X241" s="5" t="s">
        <v>249</v>
      </c>
      <c r="Y241" s="5"/>
    </row>
    <row r="242" spans="1:25" x14ac:dyDescent="0.25">
      <c r="A242" s="5" t="s">
        <v>843</v>
      </c>
      <c r="B242" s="5"/>
      <c r="C242" s="5" t="s">
        <v>43</v>
      </c>
      <c r="D242" s="5" t="s">
        <v>44</v>
      </c>
      <c r="E242" s="5" t="s">
        <v>45</v>
      </c>
      <c r="F242" s="5" t="s">
        <v>46</v>
      </c>
      <c r="G242" s="5" t="s">
        <v>47</v>
      </c>
      <c r="H242" s="5" t="s">
        <v>313</v>
      </c>
      <c r="I242" s="5" t="s">
        <v>178</v>
      </c>
      <c r="J242" s="5" t="s">
        <v>72</v>
      </c>
      <c r="K242" s="5" t="s">
        <v>844</v>
      </c>
      <c r="L242" s="5"/>
      <c r="M242" s="5"/>
      <c r="N242" s="5" t="s">
        <v>110</v>
      </c>
      <c r="O242" s="5" t="s">
        <v>225</v>
      </c>
      <c r="P242" s="6">
        <f>IF(A242="","",COUNTA(D242:F242)+COUNTA(G242:G242)+COUNTA(H242:H242)+COUNTA(I242:I242))</f>
        <v>6</v>
      </c>
      <c r="Q242" s="6" t="str">
        <f>IF(A242="","",IF(AND(P242=6,UPPER(L242)&lt;&gt;"Y",C242&lt;&gt;""),"Yes","No"))</f>
        <v>Yes</v>
      </c>
      <c r="R242" s="5" t="s">
        <v>112</v>
      </c>
      <c r="S242" s="5" t="s">
        <v>845</v>
      </c>
      <c r="T242" s="5" t="s">
        <v>846</v>
      </c>
      <c r="U242" s="5" t="s">
        <v>847</v>
      </c>
      <c r="V242" s="5" t="s">
        <v>848</v>
      </c>
      <c r="W242" s="5" t="s">
        <v>43</v>
      </c>
      <c r="X242" s="5" t="s">
        <v>675</v>
      </c>
      <c r="Y242" s="5" t="s">
        <v>117</v>
      </c>
    </row>
    <row r="243" spans="1:25" x14ac:dyDescent="0.25">
      <c r="A243" s="5" t="s">
        <v>849</v>
      </c>
      <c r="B243" s="5"/>
      <c r="C243" s="5" t="s">
        <v>43</v>
      </c>
      <c r="D243" s="5" t="s">
        <v>44</v>
      </c>
      <c r="E243" s="5"/>
      <c r="F243" s="5"/>
      <c r="G243" s="5" t="s">
        <v>57</v>
      </c>
      <c r="H243" s="5" t="s">
        <v>850</v>
      </c>
      <c r="I243" s="5"/>
      <c r="J243" s="5"/>
      <c r="K243" s="5"/>
      <c r="L243" s="5"/>
      <c r="M243" s="5"/>
      <c r="N243" s="5" t="s">
        <v>50</v>
      </c>
      <c r="O243" s="5"/>
      <c r="P243" s="6">
        <f>IF(A243="","",COUNTA(D243:F243)+COUNTA(G243:G243)+COUNTA(H243:H243)+COUNTA(I243:I243))</f>
        <v>3</v>
      </c>
      <c r="Q243" s="6" t="str">
        <f>IF(A243="","",IF(AND(P243=6,UPPER(L243)&lt;&gt;"Y",C243&lt;&gt;""),"Yes","No"))</f>
        <v>No</v>
      </c>
      <c r="R243" s="5" t="s">
        <v>51</v>
      </c>
      <c r="S243" s="5"/>
      <c r="T243" s="5" t="s">
        <v>851</v>
      </c>
      <c r="U243" s="5" t="s">
        <v>850</v>
      </c>
      <c r="V243" s="5"/>
      <c r="W243" s="5" t="s">
        <v>43</v>
      </c>
      <c r="X243" s="5"/>
      <c r="Y243" s="5" t="s">
        <v>64</v>
      </c>
    </row>
    <row r="244" spans="1:25" x14ac:dyDescent="0.25">
      <c r="A244" s="5" t="s">
        <v>852</v>
      </c>
      <c r="B244" s="5"/>
      <c r="C244" s="5"/>
      <c r="D244" s="5"/>
      <c r="E244" s="5" t="s">
        <v>45</v>
      </c>
      <c r="F244" s="5" t="s">
        <v>107</v>
      </c>
      <c r="G244" s="5"/>
      <c r="H244" s="5" t="s">
        <v>77</v>
      </c>
      <c r="I244" s="5" t="s">
        <v>49</v>
      </c>
      <c r="J244" s="5" t="s">
        <v>78</v>
      </c>
      <c r="K244" s="5" t="s">
        <v>853</v>
      </c>
      <c r="L244" s="5"/>
      <c r="M244" s="5"/>
      <c r="N244" s="5" t="s">
        <v>66</v>
      </c>
      <c r="O244" s="5" t="s">
        <v>103</v>
      </c>
      <c r="P244" s="6">
        <f>IF(A244="","",COUNTA(D244:F244)+COUNTA(G244:G244)+COUNTA(H244:H244)+COUNTA(I244:I244))</f>
        <v>4</v>
      </c>
      <c r="Q244" s="6" t="str">
        <f>IF(A244="","",IF(AND(P244=6,UPPER(L244)&lt;&gt;"Y",C244&lt;&gt;""),"Yes","No"))</f>
        <v>No</v>
      </c>
      <c r="R244" s="5" t="s">
        <v>51</v>
      </c>
      <c r="S244" s="5" t="s">
        <v>854</v>
      </c>
      <c r="T244" s="5" t="s">
        <v>855</v>
      </c>
      <c r="U244" s="5" t="s">
        <v>77</v>
      </c>
      <c r="V244" s="5"/>
      <c r="W244" s="5" t="s">
        <v>105</v>
      </c>
      <c r="X244" s="5"/>
      <c r="Y244" s="5" t="s">
        <v>167</v>
      </c>
    </row>
    <row r="245" spans="1:25" x14ac:dyDescent="0.25">
      <c r="A245" s="5" t="s">
        <v>856</v>
      </c>
      <c r="B245" s="5"/>
      <c r="C245" s="5" t="s">
        <v>43</v>
      </c>
      <c r="D245" s="5" t="s">
        <v>76</v>
      </c>
      <c r="E245" s="5" t="s">
        <v>45</v>
      </c>
      <c r="F245" s="5" t="s">
        <v>107</v>
      </c>
      <c r="G245" s="5" t="s">
        <v>1851</v>
      </c>
      <c r="H245" s="5" t="s">
        <v>77</v>
      </c>
      <c r="I245" s="5" t="s">
        <v>78</v>
      </c>
      <c r="J245" s="5" t="s">
        <v>72</v>
      </c>
      <c r="K245" s="5" t="s">
        <v>857</v>
      </c>
      <c r="L245" s="5"/>
      <c r="M245" s="5"/>
      <c r="N245" s="5" t="s">
        <v>50</v>
      </c>
      <c r="O245" s="5"/>
      <c r="P245" s="6">
        <f>IF(A245="","",COUNTA(D245:F245)+COUNTA(G245:G245)+COUNTA(H245:H245)+COUNTA(I245:I245))</f>
        <v>6</v>
      </c>
      <c r="Q245" s="6" t="str">
        <f>IF(A245="","",IF(AND(P245=6,UPPER(L245)&lt;&gt;"Y",C245&lt;&gt;""),"Yes","No"))</f>
        <v>Yes</v>
      </c>
      <c r="R245" s="5" t="s">
        <v>51</v>
      </c>
      <c r="S245" s="5"/>
      <c r="T245" s="5" t="s">
        <v>858</v>
      </c>
      <c r="U245" s="5" t="s">
        <v>77</v>
      </c>
      <c r="V245" s="5"/>
      <c r="W245" s="5" t="s">
        <v>43</v>
      </c>
      <c r="X245" s="5"/>
      <c r="Y245" s="5" t="s">
        <v>136</v>
      </c>
    </row>
    <row r="246" spans="1:25" x14ac:dyDescent="0.25">
      <c r="A246" s="5" t="s">
        <v>859</v>
      </c>
      <c r="B246" s="5"/>
      <c r="C246" s="5" t="s">
        <v>43</v>
      </c>
      <c r="D246" s="5"/>
      <c r="E246" s="5"/>
      <c r="F246" s="5"/>
      <c r="G246" s="5" t="s">
        <v>47</v>
      </c>
      <c r="H246" s="5"/>
      <c r="I246" s="5"/>
      <c r="J246" s="5"/>
      <c r="K246" s="5"/>
      <c r="L246" s="5"/>
      <c r="M246" s="5"/>
      <c r="N246" s="5" t="s">
        <v>66</v>
      </c>
      <c r="O246" s="5"/>
      <c r="P246" s="6">
        <f>IF(A246="","",COUNTA(D246:F246)+COUNTA(G246:G246)+COUNTA(H246:H246)+COUNTA(I246:I246))</f>
        <v>1</v>
      </c>
      <c r="Q246" s="6" t="str">
        <f>IF(A246="","",IF(AND(P246=6,UPPER(L246)&lt;&gt;"Y",C246&lt;&gt;""),"Yes","No"))</f>
        <v>No</v>
      </c>
      <c r="R246" s="5" t="s">
        <v>51</v>
      </c>
      <c r="S246" s="5"/>
      <c r="T246" s="5"/>
      <c r="U246" s="5"/>
      <c r="V246" s="5" t="s">
        <v>67</v>
      </c>
      <c r="W246" s="5" t="s">
        <v>43</v>
      </c>
      <c r="X246" s="5" t="s">
        <v>68</v>
      </c>
      <c r="Y246" s="5"/>
    </row>
    <row r="247" spans="1:25" x14ac:dyDescent="0.25">
      <c r="A247" s="5" t="s">
        <v>860</v>
      </c>
      <c r="B247" s="5"/>
      <c r="C247" s="5" t="s">
        <v>43</v>
      </c>
      <c r="D247" s="5" t="s">
        <v>76</v>
      </c>
      <c r="E247" s="5" t="s">
        <v>331</v>
      </c>
      <c r="F247" s="5"/>
      <c r="G247" s="5"/>
      <c r="H247" s="5" t="s">
        <v>83</v>
      </c>
      <c r="I247" s="5" t="s">
        <v>49</v>
      </c>
      <c r="J247" s="5"/>
      <c r="K247" s="5" t="s">
        <v>49</v>
      </c>
      <c r="L247" s="5"/>
      <c r="M247" s="5"/>
      <c r="N247" s="5" t="s">
        <v>50</v>
      </c>
      <c r="O247" s="5"/>
      <c r="P247" s="6">
        <f>IF(A247="","",COUNTA(D247:F247)+COUNTA(G247:G247)+COUNTA(H247:H247)+COUNTA(I247:I247))</f>
        <v>4</v>
      </c>
      <c r="Q247" s="6" t="str">
        <f>IF(A247="","",IF(AND(P247=6,UPPER(L247)&lt;&gt;"Y",C247&lt;&gt;""),"Yes","No"))</f>
        <v>No</v>
      </c>
      <c r="R247" s="5" t="s">
        <v>51</v>
      </c>
      <c r="S247" s="5"/>
      <c r="T247" s="5" t="s">
        <v>861</v>
      </c>
      <c r="U247" s="5" t="s">
        <v>83</v>
      </c>
      <c r="V247" s="5"/>
      <c r="W247" s="5" t="s">
        <v>43</v>
      </c>
      <c r="X247" s="5"/>
      <c r="Y247" s="5" t="s">
        <v>862</v>
      </c>
    </row>
    <row r="248" spans="1:25" x14ac:dyDescent="0.25">
      <c r="A248" s="5" t="s">
        <v>863</v>
      </c>
      <c r="B248" s="5"/>
      <c r="C248" s="5"/>
      <c r="D248" s="5"/>
      <c r="E248" s="5"/>
      <c r="F248" s="5"/>
      <c r="G248" s="5" t="s">
        <v>47</v>
      </c>
      <c r="H248" s="5" t="s">
        <v>77</v>
      </c>
      <c r="I248" s="5" t="s">
        <v>72</v>
      </c>
      <c r="J248" s="5" t="s">
        <v>71</v>
      </c>
      <c r="K248" s="5" t="s">
        <v>864</v>
      </c>
      <c r="L248" s="5"/>
      <c r="M248" s="5"/>
      <c r="N248" s="5" t="s">
        <v>66</v>
      </c>
      <c r="O248" s="5" t="s">
        <v>103</v>
      </c>
      <c r="P248" s="6">
        <f>IF(A248="","",COUNTA(D248:F248)+COUNTA(G248:G248)+COUNTA(H248:H248)+COUNTA(I248:I248))</f>
        <v>3</v>
      </c>
      <c r="Q248" s="6" t="str">
        <f>IF(A248="","",IF(AND(P248=6,UPPER(L248)&lt;&gt;"Y",C248&lt;&gt;""),"Yes","No"))</f>
        <v>No</v>
      </c>
      <c r="R248" s="5" t="s">
        <v>51</v>
      </c>
      <c r="S248" s="5"/>
      <c r="T248" s="5" t="s">
        <v>865</v>
      </c>
      <c r="U248" s="5" t="s">
        <v>77</v>
      </c>
      <c r="V248" s="5" t="s">
        <v>561</v>
      </c>
      <c r="W248" s="5" t="s">
        <v>105</v>
      </c>
      <c r="X248" s="5"/>
      <c r="Y248" s="5"/>
    </row>
    <row r="249" spans="1:25" x14ac:dyDescent="0.25">
      <c r="A249" s="5" t="s">
        <v>866</v>
      </c>
      <c r="B249" s="5"/>
      <c r="C249" s="5"/>
      <c r="D249" s="5"/>
      <c r="E249" s="5"/>
      <c r="F249" s="5" t="s">
        <v>46</v>
      </c>
      <c r="G249" s="5"/>
      <c r="H249" s="5" t="s">
        <v>83</v>
      </c>
      <c r="I249" s="5"/>
      <c r="J249" s="5"/>
      <c r="K249" s="5"/>
      <c r="L249" s="5"/>
      <c r="M249" s="5"/>
      <c r="N249" s="5" t="s">
        <v>66</v>
      </c>
      <c r="O249" s="5" t="s">
        <v>103</v>
      </c>
      <c r="P249" s="6">
        <f>IF(A249="","",COUNTA(D249:F249)+COUNTA(G249:G249)+COUNTA(H249:H249)+COUNTA(I249:I249))</f>
        <v>2</v>
      </c>
      <c r="Q249" s="6" t="str">
        <f>IF(A249="","",IF(AND(P249=6,UPPER(L249)&lt;&gt;"Y",C249&lt;&gt;""),"Yes","No"))</f>
        <v>No</v>
      </c>
      <c r="R249" s="5" t="s">
        <v>51</v>
      </c>
      <c r="S249" s="5"/>
      <c r="T249" s="5" t="s">
        <v>867</v>
      </c>
      <c r="U249" s="5" t="s">
        <v>83</v>
      </c>
      <c r="V249" s="5"/>
      <c r="W249" s="5" t="s">
        <v>105</v>
      </c>
      <c r="X249" s="5"/>
      <c r="Y249" s="5" t="s">
        <v>583</v>
      </c>
    </row>
    <row r="250" spans="1:25" x14ac:dyDescent="0.25">
      <c r="A250" s="5" t="s">
        <v>868</v>
      </c>
      <c r="B250" s="5"/>
      <c r="C250" s="5" t="s">
        <v>43</v>
      </c>
      <c r="D250" s="5" t="s">
        <v>44</v>
      </c>
      <c r="E250" s="5" t="s">
        <v>45</v>
      </c>
      <c r="F250" s="5" t="s">
        <v>107</v>
      </c>
      <c r="G250" s="5" t="s">
        <v>57</v>
      </c>
      <c r="H250" s="5" t="s">
        <v>271</v>
      </c>
      <c r="I250" s="5" t="s">
        <v>193</v>
      </c>
      <c r="J250" s="5"/>
      <c r="K250" s="5" t="s">
        <v>869</v>
      </c>
      <c r="L250" s="5"/>
      <c r="M250" s="5"/>
      <c r="N250" s="5" t="s">
        <v>110</v>
      </c>
      <c r="O250" s="5" t="s">
        <v>870</v>
      </c>
      <c r="P250" s="6">
        <f>IF(A250="","",COUNTA(D250:F250)+COUNTA(G250:G250)+COUNTA(H250:H250)+COUNTA(I250:I250))</f>
        <v>6</v>
      </c>
      <c r="Q250" s="6" t="str">
        <f>IF(A250="","",IF(AND(P250=6,UPPER(L250)&lt;&gt;"Y",C250&lt;&gt;""),"Yes","No"))</f>
        <v>Yes</v>
      </c>
      <c r="R250" s="5" t="s">
        <v>112</v>
      </c>
      <c r="S250" s="5" t="s">
        <v>871</v>
      </c>
      <c r="T250" s="5" t="s">
        <v>872</v>
      </c>
      <c r="U250" s="5" t="s">
        <v>873</v>
      </c>
      <c r="V250" s="5" t="s">
        <v>874</v>
      </c>
      <c r="W250" s="5" t="s">
        <v>43</v>
      </c>
      <c r="X250" s="5"/>
      <c r="Y250" s="5" t="s">
        <v>875</v>
      </c>
    </row>
    <row r="251" spans="1:25" x14ac:dyDescent="0.25">
      <c r="A251" s="5" t="s">
        <v>876</v>
      </c>
      <c r="B251" s="5"/>
      <c r="C251" s="5" t="s">
        <v>43</v>
      </c>
      <c r="D251" s="5"/>
      <c r="E251" s="5" t="s">
        <v>45</v>
      </c>
      <c r="F251" s="5" t="s">
        <v>46</v>
      </c>
      <c r="G251" s="5" t="s">
        <v>47</v>
      </c>
      <c r="H251" s="5"/>
      <c r="I251" s="5"/>
      <c r="J251" s="5"/>
      <c r="K251" s="5"/>
      <c r="L251" s="5"/>
      <c r="M251" s="5"/>
      <c r="N251" s="5" t="s">
        <v>66</v>
      </c>
      <c r="O251" s="5"/>
      <c r="P251" s="6">
        <f>IF(A251="","",COUNTA(D251:F251)+COUNTA(G251:G251)+COUNTA(H251:H251)+COUNTA(I251:I251))</f>
        <v>3</v>
      </c>
      <c r="Q251" s="6" t="str">
        <f>IF(A251="","",IF(AND(P251=6,UPPER(L251)&lt;&gt;"Y",C251&lt;&gt;""),"Yes","No"))</f>
        <v>No</v>
      </c>
      <c r="R251" s="5" t="s">
        <v>51</v>
      </c>
      <c r="S251" s="5" t="s">
        <v>877</v>
      </c>
      <c r="T251" s="5"/>
      <c r="U251" s="5"/>
      <c r="V251" s="5" t="s">
        <v>67</v>
      </c>
      <c r="W251" s="5" t="s">
        <v>43</v>
      </c>
      <c r="X251" s="5"/>
      <c r="Y251" s="5" t="s">
        <v>392</v>
      </c>
    </row>
    <row r="252" spans="1:25" x14ac:dyDescent="0.25">
      <c r="A252" s="5" t="s">
        <v>878</v>
      </c>
      <c r="B252" s="5"/>
      <c r="C252" s="5" t="s">
        <v>43</v>
      </c>
      <c r="D252" s="5" t="s">
        <v>44</v>
      </c>
      <c r="E252" s="5"/>
      <c r="F252" s="5"/>
      <c r="G252" s="5" t="s">
        <v>57</v>
      </c>
      <c r="H252" s="5" t="s">
        <v>58</v>
      </c>
      <c r="I252" s="5" t="s">
        <v>133</v>
      </c>
      <c r="J252" s="5"/>
      <c r="K252" s="5" t="s">
        <v>133</v>
      </c>
      <c r="L252" s="5"/>
      <c r="M252" s="5"/>
      <c r="N252" s="5" t="s">
        <v>50</v>
      </c>
      <c r="O252" s="5"/>
      <c r="P252" s="6">
        <f>IF(A252="","",COUNTA(D252:F252)+COUNTA(G252:G252)+COUNTA(H252:H252)+COUNTA(I252:I252))</f>
        <v>4</v>
      </c>
      <c r="Q252" s="6" t="str">
        <f>IF(A252="","",IF(AND(P252=6,UPPER(L252)&lt;&gt;"Y",C252&lt;&gt;""),"Yes","No"))</f>
        <v>No</v>
      </c>
      <c r="R252" s="5" t="s">
        <v>51</v>
      </c>
      <c r="S252" s="5"/>
      <c r="T252" s="5" t="s">
        <v>879</v>
      </c>
      <c r="U252" s="5" t="s">
        <v>63</v>
      </c>
      <c r="V252" s="5"/>
      <c r="W252" s="5" t="s">
        <v>43</v>
      </c>
      <c r="X252" s="5"/>
      <c r="Y252" s="5" t="s">
        <v>64</v>
      </c>
    </row>
    <row r="253" spans="1:25" x14ac:dyDescent="0.25">
      <c r="A253" s="5" t="s">
        <v>880</v>
      </c>
      <c r="B253" s="5"/>
      <c r="C253" s="5" t="s">
        <v>43</v>
      </c>
      <c r="D253" s="5" t="s">
        <v>76</v>
      </c>
      <c r="E253" s="5"/>
      <c r="F253" s="5"/>
      <c r="G253" s="5"/>
      <c r="H253" s="5" t="s">
        <v>83</v>
      </c>
      <c r="I253" s="5"/>
      <c r="J253" s="5"/>
      <c r="K253" s="5"/>
      <c r="L253" s="5"/>
      <c r="M253" s="5"/>
      <c r="N253" s="5" t="s">
        <v>50</v>
      </c>
      <c r="O253" s="5"/>
      <c r="P253" s="6">
        <f>IF(A253="","",COUNTA(D253:F253)+COUNTA(G253:G253)+COUNTA(H253:H253)+COUNTA(I253:I253))</f>
        <v>2</v>
      </c>
      <c r="Q253" s="6" t="str">
        <f>IF(A253="","",IF(AND(P253=6,UPPER(L253)&lt;&gt;"Y",C253&lt;&gt;""),"Yes","No"))</f>
        <v>No</v>
      </c>
      <c r="R253" s="5" t="s">
        <v>51</v>
      </c>
      <c r="S253" s="5"/>
      <c r="T253" s="5" t="s">
        <v>881</v>
      </c>
      <c r="U253" s="5" t="s">
        <v>83</v>
      </c>
      <c r="V253" s="5"/>
      <c r="W253" s="5" t="s">
        <v>43</v>
      </c>
      <c r="X253" s="5" t="s">
        <v>68</v>
      </c>
      <c r="Y253" s="5" t="s">
        <v>136</v>
      </c>
    </row>
    <row r="254" spans="1:25" x14ac:dyDescent="0.25">
      <c r="A254" s="5" t="s">
        <v>882</v>
      </c>
      <c r="B254" s="5"/>
      <c r="C254" s="5" t="s">
        <v>43</v>
      </c>
      <c r="D254" s="5"/>
      <c r="E254" s="5" t="s">
        <v>45</v>
      </c>
      <c r="F254" s="5" t="s">
        <v>46</v>
      </c>
      <c r="G254" s="5" t="s">
        <v>47</v>
      </c>
      <c r="H254" s="5"/>
      <c r="I254" s="5"/>
      <c r="J254" s="5"/>
      <c r="K254" s="5"/>
      <c r="L254" s="5"/>
      <c r="M254" s="5"/>
      <c r="N254" s="5" t="s">
        <v>66</v>
      </c>
      <c r="O254" s="5"/>
      <c r="P254" s="6">
        <f>IF(A254="","",COUNTA(D254:F254)+COUNTA(G254:G254)+COUNTA(H254:H254)+COUNTA(I254:I254))</f>
        <v>3</v>
      </c>
      <c r="Q254" s="6" t="str">
        <f>IF(A254="","",IF(AND(P254=6,UPPER(L254)&lt;&gt;"Y",C254&lt;&gt;""),"Yes","No"))</f>
        <v>No</v>
      </c>
      <c r="R254" s="5" t="s">
        <v>51</v>
      </c>
      <c r="S254" s="5" t="s">
        <v>883</v>
      </c>
      <c r="T254" s="5"/>
      <c r="U254" s="5"/>
      <c r="V254" s="5" t="s">
        <v>67</v>
      </c>
      <c r="W254" s="5" t="s">
        <v>43</v>
      </c>
      <c r="X254" s="5" t="s">
        <v>68</v>
      </c>
      <c r="Y254" s="5" t="s">
        <v>392</v>
      </c>
    </row>
    <row r="255" spans="1:25" x14ac:dyDescent="0.25">
      <c r="A255" s="5" t="s">
        <v>884</v>
      </c>
      <c r="B255" s="5"/>
      <c r="C255" s="5" t="s">
        <v>43</v>
      </c>
      <c r="D255" s="5"/>
      <c r="E255" s="5"/>
      <c r="F255" s="5"/>
      <c r="G255" s="5" t="s">
        <v>47</v>
      </c>
      <c r="H255" s="5" t="s">
        <v>96</v>
      </c>
      <c r="I255" s="5"/>
      <c r="J255" s="5"/>
      <c r="K255" s="5"/>
      <c r="L255" s="5"/>
      <c r="M255" s="5"/>
      <c r="N255" s="5" t="s">
        <v>66</v>
      </c>
      <c r="O255" s="5"/>
      <c r="P255" s="6">
        <f>IF(A255="","",COUNTA(D255:F255)+COUNTA(G255:G255)+COUNTA(H255:H255)+COUNTA(I255:I255))</f>
        <v>2</v>
      </c>
      <c r="Q255" s="6" t="str">
        <f>IF(A255="","",IF(AND(P255=6,UPPER(L255)&lt;&gt;"Y",C255&lt;&gt;""),"Yes","No"))</f>
        <v>No</v>
      </c>
      <c r="R255" s="5" t="s">
        <v>51</v>
      </c>
      <c r="S255" s="5"/>
      <c r="T255" s="5"/>
      <c r="U255" s="5" t="s">
        <v>99</v>
      </c>
      <c r="V255" s="5" t="s">
        <v>47</v>
      </c>
      <c r="W255" s="5" t="s">
        <v>43</v>
      </c>
      <c r="X255" s="5"/>
      <c r="Y255" s="5"/>
    </row>
    <row r="256" spans="1:25" x14ac:dyDescent="0.25">
      <c r="A256" s="5" t="s">
        <v>885</v>
      </c>
      <c r="B256" s="5"/>
      <c r="C256" s="5" t="s">
        <v>70</v>
      </c>
      <c r="D256" s="5" t="s">
        <v>76</v>
      </c>
      <c r="E256" s="5"/>
      <c r="F256" s="5"/>
      <c r="G256" s="5" t="s">
        <v>57</v>
      </c>
      <c r="H256" s="5"/>
      <c r="I256" s="5"/>
      <c r="J256" s="5"/>
      <c r="K256" s="5"/>
      <c r="L256" s="5"/>
      <c r="M256" s="5"/>
      <c r="N256" s="5" t="s">
        <v>50</v>
      </c>
      <c r="O256" s="5"/>
      <c r="P256" s="6">
        <f>IF(A256="","",COUNTA(D256:F256)+COUNTA(G256:G256)+COUNTA(H256:H256)+COUNTA(I256:I256))</f>
        <v>2</v>
      </c>
      <c r="Q256" s="6" t="str">
        <f>IF(A256="","",IF(AND(P256=6,UPPER(L256)&lt;&gt;"Y",C256&lt;&gt;""),"Yes","No"))</f>
        <v>No</v>
      </c>
      <c r="R256" s="5" t="s">
        <v>51</v>
      </c>
      <c r="S256" s="5"/>
      <c r="T256" s="5"/>
      <c r="U256" s="5"/>
      <c r="V256" s="5"/>
      <c r="W256" s="5"/>
      <c r="X256" s="5"/>
      <c r="Y256" s="5" t="s">
        <v>886</v>
      </c>
    </row>
    <row r="257" spans="1:25" x14ac:dyDescent="0.25">
      <c r="A257" s="5" t="s">
        <v>887</v>
      </c>
      <c r="B257" s="5"/>
      <c r="C257" s="5" t="s">
        <v>43</v>
      </c>
      <c r="D257" s="5" t="s">
        <v>44</v>
      </c>
      <c r="E257" s="5" t="s">
        <v>45</v>
      </c>
      <c r="F257" s="5" t="s">
        <v>46</v>
      </c>
      <c r="G257" s="5" t="s">
        <v>47</v>
      </c>
      <c r="H257" s="5" t="s">
        <v>313</v>
      </c>
      <c r="I257" s="5" t="s">
        <v>78</v>
      </c>
      <c r="J257" s="5" t="s">
        <v>49</v>
      </c>
      <c r="K257" s="5" t="s">
        <v>888</v>
      </c>
      <c r="L257" s="5"/>
      <c r="M257" s="5"/>
      <c r="N257" s="5" t="s">
        <v>50</v>
      </c>
      <c r="O257" s="5" t="s">
        <v>889</v>
      </c>
      <c r="P257" s="6">
        <f>IF(A257="","",COUNTA(D257:F257)+COUNTA(G257:G257)+COUNTA(H257:H257)+COUNTA(I257:I257))</f>
        <v>6</v>
      </c>
      <c r="Q257" s="6" t="str">
        <f>IF(A257="","",IF(AND(P257=6,UPPER(L257)&lt;&gt;"Y",C257&lt;&gt;""),"Yes","No"))</f>
        <v>Yes</v>
      </c>
      <c r="R257" s="5" t="s">
        <v>51</v>
      </c>
      <c r="S257" s="5" t="s">
        <v>890</v>
      </c>
      <c r="T257" s="5" t="s">
        <v>891</v>
      </c>
      <c r="U257" s="5" t="s">
        <v>316</v>
      </c>
      <c r="V257" s="5" t="s">
        <v>892</v>
      </c>
      <c r="W257" s="5" t="s">
        <v>43</v>
      </c>
      <c r="X257" s="5"/>
      <c r="Y257" s="5" t="s">
        <v>101</v>
      </c>
    </row>
    <row r="258" spans="1:25" x14ac:dyDescent="0.25">
      <c r="A258" s="5" t="s">
        <v>893</v>
      </c>
      <c r="B258" s="5"/>
      <c r="C258" s="5" t="s">
        <v>43</v>
      </c>
      <c r="D258" s="5" t="s">
        <v>44</v>
      </c>
      <c r="E258" s="5"/>
      <c r="F258" s="5"/>
      <c r="G258" s="5"/>
      <c r="H258" s="5" t="s">
        <v>48</v>
      </c>
      <c r="I258" s="5" t="s">
        <v>119</v>
      </c>
      <c r="J258" s="5"/>
      <c r="K258" s="5" t="s">
        <v>119</v>
      </c>
      <c r="L258" s="5"/>
      <c r="M258" s="5"/>
      <c r="N258" s="5" t="s">
        <v>50</v>
      </c>
      <c r="O258" s="5"/>
      <c r="P258" s="6">
        <f>IF(A258="","",COUNTA(D258:F258)+COUNTA(G258:G258)+COUNTA(H258:H258)+COUNTA(I258:I258))</f>
        <v>3</v>
      </c>
      <c r="Q258" s="6" t="str">
        <f>IF(A258="","",IF(AND(P258=6,UPPER(L258)&lt;&gt;"Y",C258&lt;&gt;""),"Yes","No"))</f>
        <v>No</v>
      </c>
      <c r="R258" s="5" t="s">
        <v>51</v>
      </c>
      <c r="S258" s="5"/>
      <c r="T258" s="5" t="s">
        <v>894</v>
      </c>
      <c r="U258" s="5" t="s">
        <v>53</v>
      </c>
      <c r="V258" s="5"/>
      <c r="W258" s="5" t="s">
        <v>43</v>
      </c>
      <c r="X258" s="5"/>
      <c r="Y258" s="5" t="s">
        <v>352</v>
      </c>
    </row>
    <row r="259" spans="1:25" x14ac:dyDescent="0.25">
      <c r="A259" s="5" t="s">
        <v>895</v>
      </c>
      <c r="B259" s="5"/>
      <c r="C259" s="5" t="s">
        <v>70</v>
      </c>
      <c r="D259" s="5"/>
      <c r="E259" s="5"/>
      <c r="F259" s="5"/>
      <c r="G259" s="5"/>
      <c r="H259" s="5"/>
      <c r="I259" s="5"/>
      <c r="J259" s="5"/>
      <c r="K259" s="5"/>
      <c r="L259" s="5"/>
      <c r="M259" s="5"/>
      <c r="N259" s="5" t="s">
        <v>50</v>
      </c>
      <c r="O259" s="5"/>
      <c r="P259" s="6">
        <f>IF(A259="","",COUNTA(D259:F259)+COUNTA(G259:G259)+COUNTA(H259:H259)+COUNTA(I259:I259))</f>
        <v>0</v>
      </c>
      <c r="Q259" s="6" t="str">
        <f>IF(A259="","",IF(AND(P259=6,UPPER(L259)&lt;&gt;"Y",C259&lt;&gt;""),"Yes","No"))</f>
        <v>No</v>
      </c>
      <c r="R259" s="5" t="s">
        <v>51</v>
      </c>
      <c r="S259" s="5"/>
      <c r="T259" s="5"/>
      <c r="U259" s="5"/>
      <c r="V259" s="5"/>
      <c r="W259" s="5"/>
      <c r="X259" s="5"/>
      <c r="Y259" s="5" t="s">
        <v>74</v>
      </c>
    </row>
    <row r="260" spans="1:25" x14ac:dyDescent="0.25">
      <c r="A260" s="5" t="s">
        <v>896</v>
      </c>
      <c r="B260" s="5"/>
      <c r="C260" s="5" t="s">
        <v>70</v>
      </c>
      <c r="D260" s="5"/>
      <c r="E260" s="5"/>
      <c r="F260" s="5" t="s">
        <v>46</v>
      </c>
      <c r="G260" s="5" t="s">
        <v>47</v>
      </c>
      <c r="H260" s="5" t="s">
        <v>637</v>
      </c>
      <c r="I260" s="5"/>
      <c r="J260" s="5"/>
      <c r="K260" s="5" t="s">
        <v>139</v>
      </c>
      <c r="L260" s="5"/>
      <c r="M260" s="5"/>
      <c r="N260" s="5" t="s">
        <v>124</v>
      </c>
      <c r="O260" s="5"/>
      <c r="P260" s="6">
        <f>IF(A260="","",COUNTA(D260:F260)+COUNTA(G260:G260)+COUNTA(H260:H260)+COUNTA(I260:I260))</f>
        <v>3</v>
      </c>
      <c r="Q260" s="6" t="str">
        <f>IF(A260="","",IF(AND(P260=6,UPPER(L260)&lt;&gt;"Y",C260&lt;&gt;""),"Yes","No"))</f>
        <v>No</v>
      </c>
      <c r="R260" s="5" t="s">
        <v>125</v>
      </c>
      <c r="S260" s="5"/>
      <c r="T260" s="5"/>
      <c r="U260" s="5" t="s">
        <v>637</v>
      </c>
      <c r="V260" s="5" t="s">
        <v>47</v>
      </c>
      <c r="W260" s="5"/>
      <c r="X260" s="5"/>
      <c r="Y260" s="5" t="s">
        <v>141</v>
      </c>
    </row>
    <row r="261" spans="1:25" x14ac:dyDescent="0.25">
      <c r="A261" s="5" t="s">
        <v>897</v>
      </c>
      <c r="B261" s="5"/>
      <c r="C261" s="5" t="s">
        <v>43</v>
      </c>
      <c r="D261" s="5"/>
      <c r="E261" s="5"/>
      <c r="F261" s="5" t="s">
        <v>46</v>
      </c>
      <c r="G261" s="5"/>
      <c r="H261" s="5"/>
      <c r="I261" s="5" t="s">
        <v>123</v>
      </c>
      <c r="J261" s="5"/>
      <c r="K261" s="5" t="s">
        <v>123</v>
      </c>
      <c r="L261" s="5"/>
      <c r="M261" s="5"/>
      <c r="N261" s="5" t="s">
        <v>50</v>
      </c>
      <c r="O261" s="5"/>
      <c r="P261" s="6">
        <f>IF(A261="","",COUNTA(D261:F261)+COUNTA(G261:G261)+COUNTA(H261:H261)+COUNTA(I261:I261))</f>
        <v>2</v>
      </c>
      <c r="Q261" s="6" t="str">
        <f>IF(A261="","",IF(AND(P261=6,UPPER(L261)&lt;&gt;"Y",C261&lt;&gt;""),"Yes","No"))</f>
        <v>No</v>
      </c>
      <c r="R261" s="5" t="s">
        <v>51</v>
      </c>
      <c r="S261" s="5"/>
      <c r="T261" s="5" t="s">
        <v>898</v>
      </c>
      <c r="U261" s="5"/>
      <c r="V261" s="5"/>
      <c r="W261" s="5" t="s">
        <v>43</v>
      </c>
      <c r="X261" s="5"/>
      <c r="Y261" s="5" t="s">
        <v>899</v>
      </c>
    </row>
    <row r="262" spans="1:25" x14ac:dyDescent="0.25">
      <c r="A262" s="5" t="s">
        <v>900</v>
      </c>
      <c r="B262" s="5"/>
      <c r="C262" s="5" t="s">
        <v>70</v>
      </c>
      <c r="D262" s="5" t="s">
        <v>76</v>
      </c>
      <c r="E262" s="5"/>
      <c r="F262" s="5"/>
      <c r="G262" s="5"/>
      <c r="H262" s="5" t="s">
        <v>154</v>
      </c>
      <c r="I262" s="5"/>
      <c r="J262" s="5"/>
      <c r="K262" s="5"/>
      <c r="L262" s="5"/>
      <c r="M262" s="5"/>
      <c r="N262" s="5" t="s">
        <v>124</v>
      </c>
      <c r="O262" s="5"/>
      <c r="P262" s="6">
        <f>IF(A262="","",COUNTA(D262:F262)+COUNTA(G262:G262)+COUNTA(H262:H262)+COUNTA(I262:I262))</f>
        <v>2</v>
      </c>
      <c r="Q262" s="6" t="str">
        <f>IF(A262="","",IF(AND(P262=6,UPPER(L262)&lt;&gt;"Y",C262&lt;&gt;""),"Yes","No"))</f>
        <v>No</v>
      </c>
      <c r="R262" s="5" t="s">
        <v>125</v>
      </c>
      <c r="S262" s="5"/>
      <c r="T262" s="5"/>
      <c r="U262" s="5" t="s">
        <v>154</v>
      </c>
      <c r="V262" s="5"/>
      <c r="W262" s="5"/>
      <c r="X262" s="5"/>
      <c r="Y262" s="5" t="s">
        <v>155</v>
      </c>
    </row>
    <row r="263" spans="1:25" x14ac:dyDescent="0.25">
      <c r="A263" s="5" t="s">
        <v>901</v>
      </c>
      <c r="B263" s="5"/>
      <c r="C263" s="5"/>
      <c r="D263" s="5"/>
      <c r="E263" s="5"/>
      <c r="F263" s="5"/>
      <c r="G263" s="5"/>
      <c r="H263" s="5" t="s">
        <v>902</v>
      </c>
      <c r="I263" s="5" t="s">
        <v>123</v>
      </c>
      <c r="J263" s="5"/>
      <c r="K263" s="5" t="s">
        <v>123</v>
      </c>
      <c r="L263" s="5"/>
      <c r="M263" s="5"/>
      <c r="N263" s="5" t="s">
        <v>66</v>
      </c>
      <c r="O263" s="5"/>
      <c r="P263" s="6">
        <f>IF(A263="","",COUNTA(D263:F263)+COUNTA(G263:G263)+COUNTA(H263:H263)+COUNTA(I263:I263))</f>
        <v>2</v>
      </c>
      <c r="Q263" s="6" t="str">
        <f>IF(A263="","",IF(AND(P263=6,UPPER(L263)&lt;&gt;"Y",C263&lt;&gt;""),"Yes","No"))</f>
        <v>No</v>
      </c>
      <c r="R263" s="5" t="s">
        <v>51</v>
      </c>
      <c r="S263" s="5"/>
      <c r="T263" s="5"/>
      <c r="U263" s="5" t="s">
        <v>903</v>
      </c>
      <c r="V263" s="5"/>
      <c r="W263" s="5"/>
      <c r="X263" s="5"/>
      <c r="Y263" s="5"/>
    </row>
    <row r="264" spans="1:25" x14ac:dyDescent="0.25">
      <c r="A264" s="5" t="s">
        <v>906</v>
      </c>
      <c r="B264" s="5"/>
      <c r="C264" s="5" t="s">
        <v>70</v>
      </c>
      <c r="D264" s="5"/>
      <c r="E264" s="5"/>
      <c r="F264" s="5"/>
      <c r="G264" s="5"/>
      <c r="H264" s="5" t="s">
        <v>902</v>
      </c>
      <c r="I264" s="5" t="s">
        <v>123</v>
      </c>
      <c r="J264" s="5"/>
      <c r="K264" s="5" t="s">
        <v>123</v>
      </c>
      <c r="L264" s="5"/>
      <c r="M264" s="5"/>
      <c r="N264" s="5" t="s">
        <v>124</v>
      </c>
      <c r="O264" s="5"/>
      <c r="P264" s="6">
        <f>IF(A264="","",COUNTA(D264:F264)+COUNTA(G264:G264)+COUNTA(H264:H264)+COUNTA(I264:I264))</f>
        <v>2</v>
      </c>
      <c r="Q264" s="6" t="str">
        <f>IF(A264="","",IF(AND(P264=6,UPPER(L264)&lt;&gt;"Y",C264&lt;&gt;""),"Yes","No"))</f>
        <v>No</v>
      </c>
      <c r="R264" s="5" t="s">
        <v>125</v>
      </c>
      <c r="S264" s="5"/>
      <c r="T264" s="5"/>
      <c r="U264" s="5" t="s">
        <v>902</v>
      </c>
      <c r="V264" s="5"/>
      <c r="W264" s="5"/>
      <c r="X264" s="5"/>
      <c r="Y264" s="5" t="s">
        <v>907</v>
      </c>
    </row>
    <row r="265" spans="1:25" x14ac:dyDescent="0.25">
      <c r="A265" s="5" t="s">
        <v>904</v>
      </c>
      <c r="B265" s="5"/>
      <c r="C265" s="5"/>
      <c r="D265" s="5"/>
      <c r="E265" s="5"/>
      <c r="F265" s="5"/>
      <c r="G265" s="5"/>
      <c r="H265" s="5" t="s">
        <v>902</v>
      </c>
      <c r="I265" s="5" t="s">
        <v>123</v>
      </c>
      <c r="J265" s="5"/>
      <c r="K265" s="5" t="s">
        <v>123</v>
      </c>
      <c r="L265" s="5"/>
      <c r="M265" s="5"/>
      <c r="N265" s="5" t="s">
        <v>66</v>
      </c>
      <c r="O265" s="5"/>
      <c r="P265" s="6">
        <f>IF(A265="","",COUNTA(D265:F265)+COUNTA(G265:G265)+COUNTA(H265:H265)+COUNTA(I265:I265))</f>
        <v>2</v>
      </c>
      <c r="Q265" s="6" t="str">
        <f>IF(A265="","",IF(AND(P265=6,UPPER(L265)&lt;&gt;"Y",C265&lt;&gt;""),"Yes","No"))</f>
        <v>No</v>
      </c>
      <c r="R265" s="5" t="s">
        <v>51</v>
      </c>
      <c r="S265" s="5"/>
      <c r="T265" s="5" t="s">
        <v>905</v>
      </c>
      <c r="U265" s="5" t="s">
        <v>903</v>
      </c>
      <c r="V265" s="5"/>
      <c r="W265" s="5"/>
      <c r="X265" s="5"/>
      <c r="Y265" s="5"/>
    </row>
    <row r="266" spans="1:25" x14ac:dyDescent="0.25">
      <c r="A266" s="5" t="s">
        <v>908</v>
      </c>
      <c r="B266" s="5"/>
      <c r="C266" s="5" t="s">
        <v>43</v>
      </c>
      <c r="D266" s="5"/>
      <c r="E266" s="5"/>
      <c r="F266" s="5"/>
      <c r="G266" s="5"/>
      <c r="H266" s="5"/>
      <c r="I266" s="5"/>
      <c r="J266" s="5"/>
      <c r="K266" s="5"/>
      <c r="L266" s="5"/>
      <c r="M266" s="5"/>
      <c r="N266" s="5" t="s">
        <v>66</v>
      </c>
      <c r="O266" s="5" t="s">
        <v>97</v>
      </c>
      <c r="P266" s="6">
        <f>IF(A266="","",COUNTA(D266:F266)+COUNTA(G266:G266)+COUNTA(H266:H266)+COUNTA(I266:I266))</f>
        <v>0</v>
      </c>
      <c r="Q266" s="6" t="str">
        <f>IF(A266="","",IF(AND(P266=6,UPPER(L266)&lt;&gt;"Y",C266&lt;&gt;""),"Yes","No"))</f>
        <v>No</v>
      </c>
      <c r="R266" s="5" t="s">
        <v>51</v>
      </c>
      <c r="S266" s="5"/>
      <c r="T266" s="5"/>
      <c r="U266" s="5"/>
      <c r="V266" s="5" t="s">
        <v>100</v>
      </c>
      <c r="W266" s="5" t="s">
        <v>43</v>
      </c>
      <c r="X266" s="5" t="s">
        <v>68</v>
      </c>
      <c r="Y266" s="5"/>
    </row>
    <row r="267" spans="1:25" x14ac:dyDescent="0.25">
      <c r="A267" s="5" t="s">
        <v>909</v>
      </c>
      <c r="B267" s="5"/>
      <c r="C267" s="5" t="s">
        <v>70</v>
      </c>
      <c r="D267" s="5" t="s">
        <v>76</v>
      </c>
      <c r="E267" s="5" t="s">
        <v>45</v>
      </c>
      <c r="F267" s="5" t="s">
        <v>46</v>
      </c>
      <c r="G267" s="5"/>
      <c r="H267" s="5" t="s">
        <v>77</v>
      </c>
      <c r="I267" s="5" t="s">
        <v>119</v>
      </c>
      <c r="J267" s="5" t="s">
        <v>78</v>
      </c>
      <c r="K267" s="5" t="s">
        <v>910</v>
      </c>
      <c r="L267" s="5"/>
      <c r="M267" s="5"/>
      <c r="N267" s="5" t="s">
        <v>50</v>
      </c>
      <c r="O267" s="5"/>
      <c r="P267" s="6">
        <f>IF(A267="","",COUNTA(D267:F267)+COUNTA(G267:G267)+COUNTA(H267:H267)+COUNTA(I267:I267))</f>
        <v>5</v>
      </c>
      <c r="Q267" s="6" t="str">
        <f>IF(A267="","",IF(AND(P267=6,UPPER(L267)&lt;&gt;"Y",C267&lt;&gt;""),"Yes","No"))</f>
        <v>No</v>
      </c>
      <c r="R267" s="5" t="s">
        <v>51</v>
      </c>
      <c r="S267" s="5"/>
      <c r="T267" s="5" t="s">
        <v>911</v>
      </c>
      <c r="U267" s="5" t="s">
        <v>77</v>
      </c>
      <c r="V267" s="5"/>
      <c r="W267" s="5"/>
      <c r="X267" s="5"/>
      <c r="Y267" s="5" t="s">
        <v>513</v>
      </c>
    </row>
    <row r="268" spans="1:25" x14ac:dyDescent="0.25">
      <c r="A268" s="5" t="s">
        <v>912</v>
      </c>
      <c r="B268" s="5"/>
      <c r="C268" s="5" t="s">
        <v>70</v>
      </c>
      <c r="D268" s="5" t="s">
        <v>44</v>
      </c>
      <c r="E268" s="5"/>
      <c r="F268" s="5"/>
      <c r="G268" s="5" t="s">
        <v>57</v>
      </c>
      <c r="H268" s="5" t="s">
        <v>700</v>
      </c>
      <c r="I268" s="5"/>
      <c r="J268" s="5"/>
      <c r="K268" s="5"/>
      <c r="L268" s="5"/>
      <c r="M268" s="5"/>
      <c r="N268" s="5" t="s">
        <v>124</v>
      </c>
      <c r="O268" s="5"/>
      <c r="P268" s="6">
        <f>IF(A268="","",COUNTA(D268:F268)+COUNTA(G268:G268)+COUNTA(H268:H268)+COUNTA(I268:I268))</f>
        <v>3</v>
      </c>
      <c r="Q268" s="6" t="str">
        <f>IF(A268="","",IF(AND(P268=6,UPPER(L268)&lt;&gt;"Y",C268&lt;&gt;""),"Yes","No"))</f>
        <v>No</v>
      </c>
      <c r="R268" s="5" t="s">
        <v>125</v>
      </c>
      <c r="S268" s="5"/>
      <c r="T268" s="5"/>
      <c r="U268" s="5" t="s">
        <v>700</v>
      </c>
      <c r="V268" s="5" t="s">
        <v>57</v>
      </c>
      <c r="W268" s="5"/>
      <c r="X268" s="5"/>
      <c r="Y268" s="5" t="s">
        <v>285</v>
      </c>
    </row>
    <row r="269" spans="1:25" x14ac:dyDescent="0.25">
      <c r="A269" s="5" t="s">
        <v>913</v>
      </c>
      <c r="B269" s="5" t="s">
        <v>914</v>
      </c>
      <c r="C269" s="5"/>
      <c r="D269" s="5"/>
      <c r="E269" s="5"/>
      <c r="F269" s="5"/>
      <c r="G269" s="5"/>
      <c r="H269" s="5" t="s">
        <v>915</v>
      </c>
      <c r="I269" s="5"/>
      <c r="J269" s="5"/>
      <c r="K269" s="5"/>
      <c r="L269" s="5"/>
      <c r="M269" s="5"/>
      <c r="N269" s="5" t="s">
        <v>66</v>
      </c>
      <c r="O269" s="5" t="s">
        <v>103</v>
      </c>
      <c r="P269" s="6">
        <f>IF(A269="","",COUNTA(D269:F269)+COUNTA(G269:G269)+COUNTA(H269:H269)+COUNTA(I269:I269))</f>
        <v>1</v>
      </c>
      <c r="Q269" s="6" t="str">
        <f>IF(A269="","",IF(AND(P269=6,UPPER(L269)&lt;&gt;"Y",C269&lt;&gt;""),"Yes","No"))</f>
        <v>No</v>
      </c>
      <c r="R269" s="5" t="s">
        <v>51</v>
      </c>
      <c r="S269" s="5"/>
      <c r="T269" s="5" t="s">
        <v>916</v>
      </c>
      <c r="U269" s="5" t="s">
        <v>915</v>
      </c>
      <c r="V269" s="5"/>
      <c r="W269" s="5" t="s">
        <v>105</v>
      </c>
      <c r="X269" s="5"/>
      <c r="Y269" s="5"/>
    </row>
    <row r="270" spans="1:25" x14ac:dyDescent="0.25">
      <c r="A270" s="5" t="s">
        <v>917</v>
      </c>
      <c r="B270" s="5"/>
      <c r="C270" s="5" t="s">
        <v>43</v>
      </c>
      <c r="D270" s="5" t="s">
        <v>44</v>
      </c>
      <c r="E270" s="5" t="s">
        <v>45</v>
      </c>
      <c r="F270" s="5" t="s">
        <v>46</v>
      </c>
      <c r="G270" s="5" t="s">
        <v>47</v>
      </c>
      <c r="H270" s="5" t="s">
        <v>96</v>
      </c>
      <c r="I270" s="5" t="s">
        <v>91</v>
      </c>
      <c r="J270" s="5"/>
      <c r="K270" s="5" t="s">
        <v>91</v>
      </c>
      <c r="L270" s="5"/>
      <c r="M270" s="5"/>
      <c r="N270" s="5" t="s">
        <v>50</v>
      </c>
      <c r="O270" s="5"/>
      <c r="P270" s="6">
        <f>IF(A270="","",COUNTA(D270:F270)+COUNTA(G270:G270)+COUNTA(H270:H270)+COUNTA(I270:I270))</f>
        <v>6</v>
      </c>
      <c r="Q270" s="6" t="str">
        <f>IF(A270="","",IF(AND(P270=6,UPPER(L270)&lt;&gt;"Y",C270&lt;&gt;""),"Yes","No"))</f>
        <v>Yes</v>
      </c>
      <c r="R270" s="5" t="s">
        <v>51</v>
      </c>
      <c r="S270" s="5" t="s">
        <v>918</v>
      </c>
      <c r="T270" s="5" t="s">
        <v>919</v>
      </c>
      <c r="U270" s="5" t="s">
        <v>99</v>
      </c>
      <c r="V270" s="5" t="s">
        <v>67</v>
      </c>
      <c r="W270" s="5" t="s">
        <v>43</v>
      </c>
      <c r="X270" s="5" t="s">
        <v>87</v>
      </c>
      <c r="Y270" s="5" t="s">
        <v>347</v>
      </c>
    </row>
    <row r="271" spans="1:25" x14ac:dyDescent="0.25">
      <c r="A271" s="5" t="s">
        <v>920</v>
      </c>
      <c r="B271" s="5"/>
      <c r="C271" s="5" t="s">
        <v>70</v>
      </c>
      <c r="D271" s="5" t="s">
        <v>76</v>
      </c>
      <c r="E271" s="5"/>
      <c r="F271" s="5"/>
      <c r="G271" s="5" t="s">
        <v>47</v>
      </c>
      <c r="H271" s="5" t="s">
        <v>154</v>
      </c>
      <c r="I271" s="5"/>
      <c r="J271" s="5"/>
      <c r="K271" s="5"/>
      <c r="L271" s="5"/>
      <c r="M271" s="5"/>
      <c r="N271" s="5" t="s">
        <v>124</v>
      </c>
      <c r="O271" s="5"/>
      <c r="P271" s="6">
        <f>IF(A271="","",COUNTA(D271:F271)+COUNTA(G271:G271)+COUNTA(H271:H271)+COUNTA(I271:I271))</f>
        <v>3</v>
      </c>
      <c r="Q271" s="6" t="str">
        <f>IF(A271="","",IF(AND(P271=6,UPPER(L271)&lt;&gt;"Y",C271&lt;&gt;""),"Yes","No"))</f>
        <v>No</v>
      </c>
      <c r="R271" s="5" t="s">
        <v>125</v>
      </c>
      <c r="S271" s="5"/>
      <c r="T271" s="5"/>
      <c r="U271" s="5" t="s">
        <v>154</v>
      </c>
      <c r="V271" s="5" t="s">
        <v>47</v>
      </c>
      <c r="W271" s="5"/>
      <c r="X271" s="5"/>
      <c r="Y271" s="5" t="s">
        <v>285</v>
      </c>
    </row>
    <row r="272" spans="1:25" x14ac:dyDescent="0.25">
      <c r="A272" s="5" t="s">
        <v>921</v>
      </c>
      <c r="B272" s="5"/>
      <c r="C272" s="5" t="s">
        <v>43</v>
      </c>
      <c r="D272" s="5"/>
      <c r="E272" s="5"/>
      <c r="F272" s="5"/>
      <c r="G272" s="5" t="s">
        <v>47</v>
      </c>
      <c r="H272" s="5"/>
      <c r="I272" s="5" t="s">
        <v>91</v>
      </c>
      <c r="J272" s="5"/>
      <c r="K272" s="5" t="s">
        <v>91</v>
      </c>
      <c r="L272" s="5"/>
      <c r="M272" s="5"/>
      <c r="N272" s="5" t="s">
        <v>50</v>
      </c>
      <c r="O272" s="5"/>
      <c r="P272" s="6">
        <f>IF(A272="","",COUNTA(D272:F272)+COUNTA(G272:G272)+COUNTA(H272:H272)+COUNTA(I272:I272))</f>
        <v>2</v>
      </c>
      <c r="Q272" s="6" t="str">
        <f>IF(A272="","",IF(AND(P272=6,UPPER(L272)&lt;&gt;"Y",C272&lt;&gt;""),"Yes","No"))</f>
        <v>No</v>
      </c>
      <c r="R272" s="5" t="s">
        <v>51</v>
      </c>
      <c r="S272" s="5"/>
      <c r="T272" s="5" t="s">
        <v>922</v>
      </c>
      <c r="U272" s="5"/>
      <c r="V272" s="5"/>
      <c r="W272" s="5" t="s">
        <v>43</v>
      </c>
      <c r="X272" s="5"/>
      <c r="Y272" s="5" t="s">
        <v>923</v>
      </c>
    </row>
    <row r="273" spans="1:25" x14ac:dyDescent="0.25">
      <c r="A273" s="5" t="s">
        <v>924</v>
      </c>
      <c r="B273" s="5"/>
      <c r="C273" s="5" t="s">
        <v>70</v>
      </c>
      <c r="D273" s="5"/>
      <c r="E273" s="5"/>
      <c r="F273" s="5" t="s">
        <v>46</v>
      </c>
      <c r="G273" s="5" t="s">
        <v>47</v>
      </c>
      <c r="H273" s="5" t="s">
        <v>138</v>
      </c>
      <c r="I273" s="5"/>
      <c r="J273" s="5"/>
      <c r="K273" s="5" t="s">
        <v>139</v>
      </c>
      <c r="L273" s="5"/>
      <c r="M273" s="5"/>
      <c r="N273" s="5" t="s">
        <v>124</v>
      </c>
      <c r="O273" s="5" t="s">
        <v>925</v>
      </c>
      <c r="P273" s="6">
        <f>IF(A273="","",COUNTA(D273:F273)+COUNTA(G273:G273)+COUNTA(H273:H273)+COUNTA(I273:I273))</f>
        <v>3</v>
      </c>
      <c r="Q273" s="6" t="str">
        <f>IF(A273="","",IF(AND(P273=6,UPPER(L273)&lt;&gt;"Y",C273&lt;&gt;""),"Yes","No"))</f>
        <v>No</v>
      </c>
      <c r="R273" s="5" t="s">
        <v>125</v>
      </c>
      <c r="S273" s="5"/>
      <c r="T273" s="5"/>
      <c r="U273" s="5" t="s">
        <v>138</v>
      </c>
      <c r="V273" s="5" t="s">
        <v>47</v>
      </c>
      <c r="W273" s="5"/>
      <c r="X273" s="5"/>
      <c r="Y273" s="5" t="s">
        <v>141</v>
      </c>
    </row>
    <row r="274" spans="1:25" x14ac:dyDescent="0.25">
      <c r="A274" s="5" t="s">
        <v>926</v>
      </c>
      <c r="B274" s="5"/>
      <c r="C274" s="5" t="s">
        <v>43</v>
      </c>
      <c r="D274" s="5" t="s">
        <v>76</v>
      </c>
      <c r="E274" s="5" t="s">
        <v>45</v>
      </c>
      <c r="F274" s="5" t="s">
        <v>107</v>
      </c>
      <c r="G274" s="5" t="s">
        <v>57</v>
      </c>
      <c r="H274" s="5" t="s">
        <v>58</v>
      </c>
      <c r="I274" s="5" t="s">
        <v>192</v>
      </c>
      <c r="J274" s="5"/>
      <c r="K274" s="5" t="s">
        <v>927</v>
      </c>
      <c r="L274" s="5"/>
      <c r="M274" s="5"/>
      <c r="N274" s="5" t="s">
        <v>50</v>
      </c>
      <c r="O274" s="5" t="s">
        <v>928</v>
      </c>
      <c r="P274" s="6">
        <f>IF(A274="","",COUNTA(D274:F274)+COUNTA(G274:G274)+COUNTA(H274:H274)+COUNTA(I274:I274))</f>
        <v>6</v>
      </c>
      <c r="Q274" s="6" t="str">
        <f>IF(A274="","",IF(AND(P274=6,UPPER(L274)&lt;&gt;"Y",C274&lt;&gt;""),"Yes","No"))</f>
        <v>Yes</v>
      </c>
      <c r="R274" s="5" t="s">
        <v>51</v>
      </c>
      <c r="S274" s="5" t="s">
        <v>929</v>
      </c>
      <c r="T274" s="5" t="s">
        <v>930</v>
      </c>
      <c r="U274" s="5" t="s">
        <v>63</v>
      </c>
      <c r="V274" s="5" t="s">
        <v>931</v>
      </c>
      <c r="W274" s="5" t="s">
        <v>43</v>
      </c>
      <c r="X274" s="5"/>
      <c r="Y274" s="5" t="s">
        <v>219</v>
      </c>
    </row>
    <row r="275" spans="1:25" x14ac:dyDescent="0.25">
      <c r="A275" s="5" t="s">
        <v>932</v>
      </c>
      <c r="B275" s="5"/>
      <c r="C275" s="5" t="s">
        <v>70</v>
      </c>
      <c r="D275" s="5"/>
      <c r="E275" s="5" t="s">
        <v>252</v>
      </c>
      <c r="F275" s="5"/>
      <c r="G275" s="5" t="s">
        <v>57</v>
      </c>
      <c r="H275" s="5"/>
      <c r="I275" s="5"/>
      <c r="J275" s="5"/>
      <c r="K275" s="5" t="s">
        <v>933</v>
      </c>
      <c r="L275" s="5"/>
      <c r="M275" s="5"/>
      <c r="N275" s="5" t="s">
        <v>124</v>
      </c>
      <c r="O275" s="5" t="s">
        <v>934</v>
      </c>
      <c r="P275" s="6">
        <f>IF(A275="","",COUNTA(D275:F275)+COUNTA(G275:G275)+COUNTA(H275:H275)+COUNTA(I275:I275))</f>
        <v>2</v>
      </c>
      <c r="Q275" s="6" t="str">
        <f>IF(A275="","",IF(AND(P275=6,UPPER(L275)&lt;&gt;"Y",C275&lt;&gt;""),"Yes","No"))</f>
        <v>No</v>
      </c>
      <c r="R275" s="5" t="s">
        <v>125</v>
      </c>
      <c r="S275" s="5" t="s">
        <v>138</v>
      </c>
      <c r="T275" s="5"/>
      <c r="U275" s="5" t="s">
        <v>309</v>
      </c>
      <c r="V275" s="5" t="s">
        <v>310</v>
      </c>
      <c r="W275" s="5"/>
      <c r="X275" s="5"/>
      <c r="Y275" s="5" t="s">
        <v>311</v>
      </c>
    </row>
    <row r="276" spans="1:25" x14ac:dyDescent="0.25">
      <c r="A276" s="5" t="s">
        <v>935</v>
      </c>
      <c r="B276" s="5" t="s">
        <v>936</v>
      </c>
      <c r="C276" s="5"/>
      <c r="D276" s="5"/>
      <c r="E276" s="5"/>
      <c r="F276" s="5"/>
      <c r="G276" s="5"/>
      <c r="H276" s="5" t="s">
        <v>915</v>
      </c>
      <c r="I276" s="5"/>
      <c r="J276" s="5"/>
      <c r="K276" s="5"/>
      <c r="L276" s="5"/>
      <c r="M276" s="5"/>
      <c r="N276" s="5" t="s">
        <v>66</v>
      </c>
      <c r="O276" s="5" t="s">
        <v>103</v>
      </c>
      <c r="P276" s="6">
        <f>IF(A276="","",COUNTA(D276:F276)+COUNTA(G276:G276)+COUNTA(H276:H276)+COUNTA(I276:I276))</f>
        <v>1</v>
      </c>
      <c r="Q276" s="6" t="str">
        <f>IF(A276="","",IF(AND(P276=6,UPPER(L276)&lt;&gt;"Y",C276&lt;&gt;""),"Yes","No"))</f>
        <v>No</v>
      </c>
      <c r="R276" s="5" t="s">
        <v>51</v>
      </c>
      <c r="S276" s="5"/>
      <c r="T276" s="5" t="s">
        <v>937</v>
      </c>
      <c r="U276" s="5" t="s">
        <v>915</v>
      </c>
      <c r="V276" s="5"/>
      <c r="W276" s="5" t="s">
        <v>105</v>
      </c>
      <c r="X276" s="5"/>
      <c r="Y276" s="5"/>
    </row>
    <row r="277" spans="1:25" x14ac:dyDescent="0.25">
      <c r="A277" s="5" t="s">
        <v>938</v>
      </c>
      <c r="B277" s="5"/>
      <c r="C277" s="5" t="s">
        <v>43</v>
      </c>
      <c r="D277" s="5" t="s">
        <v>76</v>
      </c>
      <c r="E277" s="5" t="s">
        <v>45</v>
      </c>
      <c r="F277" s="5" t="s">
        <v>46</v>
      </c>
      <c r="G277" s="5" t="s">
        <v>57</v>
      </c>
      <c r="H277" s="5" t="s">
        <v>1862</v>
      </c>
      <c r="I277" s="5" t="s">
        <v>123</v>
      </c>
      <c r="J277" s="5"/>
      <c r="K277" s="5" t="s">
        <v>939</v>
      </c>
      <c r="L277" s="5"/>
      <c r="M277" s="5"/>
      <c r="N277" s="5" t="s">
        <v>209</v>
      </c>
      <c r="O277" s="5"/>
      <c r="P277" s="6">
        <f>IF(A277="","",COUNTA(D277:F277)+COUNTA(G277:G277)+COUNTA(H277:H277)+COUNTA(I277:I277))</f>
        <v>6</v>
      </c>
      <c r="Q277" s="6" t="str">
        <f>IF(A277="","",IF(AND(P277=6,UPPER(L277)&lt;&gt;"Y",C277&lt;&gt;""),"Yes","No"))</f>
        <v>Yes</v>
      </c>
      <c r="R277" s="5" t="s">
        <v>112</v>
      </c>
      <c r="S277" s="5" t="s">
        <v>940</v>
      </c>
      <c r="T277" s="5" t="s">
        <v>941</v>
      </c>
      <c r="U277" s="5" t="s">
        <v>83</v>
      </c>
      <c r="V277" s="5" t="s">
        <v>181</v>
      </c>
      <c r="W277" s="5" t="s">
        <v>43</v>
      </c>
      <c r="X277" s="5" t="s">
        <v>471</v>
      </c>
      <c r="Y277" s="5" t="s">
        <v>88</v>
      </c>
    </row>
    <row r="278" spans="1:25" x14ac:dyDescent="0.25">
      <c r="A278" s="5" t="s">
        <v>942</v>
      </c>
      <c r="B278" s="5"/>
      <c r="C278" s="5" t="s">
        <v>43</v>
      </c>
      <c r="D278" s="5" t="s">
        <v>44</v>
      </c>
      <c r="E278" s="5" t="s">
        <v>45</v>
      </c>
      <c r="F278" s="5" t="s">
        <v>46</v>
      </c>
      <c r="G278" s="5" t="s">
        <v>47</v>
      </c>
      <c r="H278" s="5" t="s">
        <v>313</v>
      </c>
      <c r="I278" s="5" t="s">
        <v>72</v>
      </c>
      <c r="J278" s="5"/>
      <c r="K278" s="5" t="s">
        <v>943</v>
      </c>
      <c r="L278" s="5"/>
      <c r="M278" s="5"/>
      <c r="N278" s="5" t="s">
        <v>66</v>
      </c>
      <c r="O278" s="5"/>
      <c r="P278" s="6">
        <f>IF(A278="","",COUNTA(D278:F278)+COUNTA(G278:G278)+COUNTA(H278:H278)+COUNTA(I278:I278))</f>
        <v>6</v>
      </c>
      <c r="Q278" s="6" t="str">
        <f>IF(A278="","",IF(AND(P278=6,UPPER(L278)&lt;&gt;"Y",C278&lt;&gt;""),"Yes","No"))</f>
        <v>Yes</v>
      </c>
      <c r="R278" s="5" t="s">
        <v>51</v>
      </c>
      <c r="S278" s="5" t="s">
        <v>944</v>
      </c>
      <c r="T278" s="5" t="s">
        <v>945</v>
      </c>
      <c r="U278" s="5" t="s">
        <v>316</v>
      </c>
      <c r="V278" s="5" t="s">
        <v>946</v>
      </c>
      <c r="W278" s="5" t="s">
        <v>43</v>
      </c>
      <c r="X278" s="5"/>
      <c r="Y278" s="5" t="s">
        <v>242</v>
      </c>
    </row>
    <row r="279" spans="1:25" x14ac:dyDescent="0.25">
      <c r="A279" s="5" t="s">
        <v>947</v>
      </c>
      <c r="B279" s="5"/>
      <c r="C279" s="5" t="s">
        <v>128</v>
      </c>
      <c r="D279" s="5"/>
      <c r="E279" s="5"/>
      <c r="F279" s="5"/>
      <c r="G279" s="5"/>
      <c r="H279" s="5" t="s">
        <v>58</v>
      </c>
      <c r="I279" s="5"/>
      <c r="J279" s="5"/>
      <c r="K279" s="5"/>
      <c r="L279" s="5"/>
      <c r="M279" s="5"/>
      <c r="N279" s="5" t="s">
        <v>66</v>
      </c>
      <c r="O279" s="5"/>
      <c r="P279" s="6">
        <f>IF(A279="","",COUNTA(D279:F279)+COUNTA(G279:G279)+COUNTA(H279:H279)+COUNTA(I279:I279))</f>
        <v>1</v>
      </c>
      <c r="Q279" s="6" t="str">
        <f>IF(A279="","",IF(AND(P279=6,UPPER(L279)&lt;&gt;"Y",C279&lt;&gt;""),"Yes","No"))</f>
        <v>No</v>
      </c>
      <c r="R279" s="5" t="s">
        <v>51</v>
      </c>
      <c r="S279" s="5"/>
      <c r="T279" s="5"/>
      <c r="U279" s="5" t="s">
        <v>63</v>
      </c>
      <c r="V279" s="5"/>
      <c r="W279" s="5" t="s">
        <v>128</v>
      </c>
      <c r="X279" s="5" t="s">
        <v>268</v>
      </c>
      <c r="Y279" s="5"/>
    </row>
    <row r="280" spans="1:25" x14ac:dyDescent="0.25">
      <c r="A280" s="5" t="s">
        <v>948</v>
      </c>
      <c r="B280" s="5"/>
      <c r="C280" s="5" t="s">
        <v>43</v>
      </c>
      <c r="D280" s="5" t="s">
        <v>76</v>
      </c>
      <c r="E280" s="5"/>
      <c r="F280" s="5"/>
      <c r="G280" s="5" t="s">
        <v>47</v>
      </c>
      <c r="H280" s="5" t="s">
        <v>259</v>
      </c>
      <c r="I280" s="5" t="s">
        <v>192</v>
      </c>
      <c r="J280" s="5"/>
      <c r="K280" s="5" t="s">
        <v>192</v>
      </c>
      <c r="L280" s="5"/>
      <c r="M280" s="5"/>
      <c r="N280" s="5" t="s">
        <v>50</v>
      </c>
      <c r="O280" s="5"/>
      <c r="P280" s="6">
        <f>IF(A280="","",COUNTA(D280:F280)+COUNTA(G280:G280)+COUNTA(H280:H280)+COUNTA(I280:I280))</f>
        <v>4</v>
      </c>
      <c r="Q280" s="6" t="str">
        <f>IF(A280="","",IF(AND(P280=6,UPPER(L280)&lt;&gt;"Y",C280&lt;&gt;""),"Yes","No"))</f>
        <v>No</v>
      </c>
      <c r="R280" s="5" t="s">
        <v>51</v>
      </c>
      <c r="S280" s="5"/>
      <c r="T280" s="5" t="s">
        <v>949</v>
      </c>
      <c r="U280" s="5" t="s">
        <v>261</v>
      </c>
      <c r="V280" s="5" t="s">
        <v>470</v>
      </c>
      <c r="W280" s="5" t="s">
        <v>43</v>
      </c>
      <c r="X280" s="5"/>
      <c r="Y280" s="5" t="s">
        <v>352</v>
      </c>
    </row>
    <row r="281" spans="1:25" x14ac:dyDescent="0.25">
      <c r="A281" s="5" t="s">
        <v>950</v>
      </c>
      <c r="B281" s="5"/>
      <c r="C281" s="5" t="s">
        <v>43</v>
      </c>
      <c r="D281" s="5"/>
      <c r="E281" s="5"/>
      <c r="F281" s="5"/>
      <c r="G281" s="5"/>
      <c r="H281" s="5" t="s">
        <v>259</v>
      </c>
      <c r="I281" s="5"/>
      <c r="J281" s="5"/>
      <c r="K281" s="5"/>
      <c r="L281" s="5"/>
      <c r="M281" s="5"/>
      <c r="N281" s="5" t="s">
        <v>66</v>
      </c>
      <c r="O281" s="5"/>
      <c r="P281" s="6">
        <f>IF(A281="","",COUNTA(D281:F281)+COUNTA(G281:G281)+COUNTA(H281:H281)+COUNTA(I281:I281))</f>
        <v>1</v>
      </c>
      <c r="Q281" s="6" t="str">
        <f>IF(A281="","",IF(AND(P281=6,UPPER(L281)&lt;&gt;"Y",C281&lt;&gt;""),"Yes","No"))</f>
        <v>No</v>
      </c>
      <c r="R281" s="5" t="s">
        <v>51</v>
      </c>
      <c r="S281" s="5"/>
      <c r="T281" s="5"/>
      <c r="U281" s="5" t="s">
        <v>261</v>
      </c>
      <c r="V281" s="5"/>
      <c r="W281" s="5" t="s">
        <v>43</v>
      </c>
      <c r="X281" s="5"/>
      <c r="Y281" s="5"/>
    </row>
    <row r="282" spans="1:25" x14ac:dyDescent="0.25">
      <c r="A282" s="5" t="s">
        <v>951</v>
      </c>
      <c r="B282" s="5"/>
      <c r="C282" s="5" t="s">
        <v>43</v>
      </c>
      <c r="D282" s="5"/>
      <c r="E282" s="5"/>
      <c r="F282" s="5"/>
      <c r="G282" s="5"/>
      <c r="H282" s="5" t="s">
        <v>259</v>
      </c>
      <c r="I282" s="5"/>
      <c r="J282" s="5"/>
      <c r="K282" s="5"/>
      <c r="L282" s="5"/>
      <c r="M282" s="5"/>
      <c r="N282" s="5" t="s">
        <v>66</v>
      </c>
      <c r="O282" s="5"/>
      <c r="P282" s="6">
        <f>IF(A282="","",COUNTA(D282:F282)+COUNTA(G282:G282)+COUNTA(H282:H282)+COUNTA(I282:I282))</f>
        <v>1</v>
      </c>
      <c r="Q282" s="6" t="str">
        <f>IF(A282="","",IF(AND(P282=6,UPPER(L282)&lt;&gt;"Y",C282&lt;&gt;""),"Yes","No"))</f>
        <v>No</v>
      </c>
      <c r="R282" s="5" t="s">
        <v>51</v>
      </c>
      <c r="S282" s="5"/>
      <c r="T282" s="5"/>
      <c r="U282" s="5" t="s">
        <v>261</v>
      </c>
      <c r="V282" s="5"/>
      <c r="W282" s="5" t="s">
        <v>43</v>
      </c>
      <c r="X282" s="5"/>
      <c r="Y282" s="5"/>
    </row>
    <row r="283" spans="1:25" x14ac:dyDescent="0.25">
      <c r="A283" s="5" t="s">
        <v>952</v>
      </c>
      <c r="B283" s="5"/>
      <c r="C283" s="5" t="s">
        <v>70</v>
      </c>
      <c r="D283" s="5" t="s">
        <v>76</v>
      </c>
      <c r="E283" s="5"/>
      <c r="F283" s="5"/>
      <c r="G283" s="5"/>
      <c r="H283" s="5" t="s">
        <v>259</v>
      </c>
      <c r="I283" s="5"/>
      <c r="J283" s="5"/>
      <c r="K283" s="5"/>
      <c r="L283" s="5"/>
      <c r="M283" s="5"/>
      <c r="N283" s="5" t="s">
        <v>124</v>
      </c>
      <c r="O283" s="5"/>
      <c r="P283" s="6">
        <f>IF(A283="","",COUNTA(D283:F283)+COUNTA(G283:G283)+COUNTA(H283:H283)+COUNTA(I283:I283))</f>
        <v>2</v>
      </c>
      <c r="Q283" s="6" t="str">
        <f>IF(A283="","",IF(AND(P283=6,UPPER(L283)&lt;&gt;"Y",C283&lt;&gt;""),"Yes","No"))</f>
        <v>No</v>
      </c>
      <c r="R283" s="5" t="s">
        <v>125</v>
      </c>
      <c r="S283" s="5"/>
      <c r="T283" s="5"/>
      <c r="U283" s="5" t="s">
        <v>259</v>
      </c>
      <c r="V283" s="5"/>
      <c r="W283" s="5"/>
      <c r="X283" s="5"/>
      <c r="Y283" s="5" t="s">
        <v>155</v>
      </c>
    </row>
    <row r="284" spans="1:25" x14ac:dyDescent="0.25">
      <c r="A284" s="5" t="s">
        <v>953</v>
      </c>
      <c r="B284" s="5"/>
      <c r="C284" s="5" t="s">
        <v>43</v>
      </c>
      <c r="D284" s="5"/>
      <c r="E284" s="5"/>
      <c r="F284" s="5"/>
      <c r="G284" s="5"/>
      <c r="H284" s="5" t="s">
        <v>259</v>
      </c>
      <c r="I284" s="5"/>
      <c r="J284" s="5"/>
      <c r="K284" s="5"/>
      <c r="L284" s="5"/>
      <c r="M284" s="5"/>
      <c r="N284" s="5" t="s">
        <v>66</v>
      </c>
      <c r="O284" s="5"/>
      <c r="P284" s="6">
        <f>IF(A284="","",COUNTA(D284:F284)+COUNTA(G284:G284)+COUNTA(H284:H284)+COUNTA(I284:I284))</f>
        <v>1</v>
      </c>
      <c r="Q284" s="6" t="str">
        <f>IF(A284="","",IF(AND(P284=6,UPPER(L284)&lt;&gt;"Y",C284&lt;&gt;""),"Yes","No"))</f>
        <v>No</v>
      </c>
      <c r="R284" s="5" t="s">
        <v>51</v>
      </c>
      <c r="S284" s="5"/>
      <c r="T284" s="5"/>
      <c r="U284" s="5" t="s">
        <v>261</v>
      </c>
      <c r="V284" s="5"/>
      <c r="W284" s="5" t="s">
        <v>43</v>
      </c>
      <c r="X284" s="5"/>
      <c r="Y284" s="5"/>
    </row>
    <row r="285" spans="1:25" x14ac:dyDescent="0.25">
      <c r="A285" s="5" t="s">
        <v>954</v>
      </c>
      <c r="B285" s="5"/>
      <c r="C285" s="5" t="s">
        <v>128</v>
      </c>
      <c r="D285" s="5"/>
      <c r="E285" s="5"/>
      <c r="F285" s="5"/>
      <c r="G285" s="5" t="s">
        <v>57</v>
      </c>
      <c r="H285" s="5"/>
      <c r="I285" s="5" t="s">
        <v>59</v>
      </c>
      <c r="J285" s="5" t="s">
        <v>192</v>
      </c>
      <c r="K285" s="5" t="s">
        <v>955</v>
      </c>
      <c r="L285" s="5"/>
      <c r="M285" s="5"/>
      <c r="N285" s="5" t="s">
        <v>66</v>
      </c>
      <c r="O285" s="5"/>
      <c r="P285" s="6">
        <f>IF(A285="","",COUNTA(D285:F285)+COUNTA(G285:G285)+COUNTA(H285:H285)+COUNTA(I285:I285))</f>
        <v>2</v>
      </c>
      <c r="Q285" s="6" t="str">
        <f>IF(A285="","",IF(AND(P285=6,UPPER(L285)&lt;&gt;"Y",C285&lt;&gt;""),"Yes","No"))</f>
        <v>No</v>
      </c>
      <c r="R285" s="5" t="s">
        <v>51</v>
      </c>
      <c r="S285" s="5"/>
      <c r="T285" s="5" t="s">
        <v>956</v>
      </c>
      <c r="U285" s="5"/>
      <c r="V285" s="5" t="s">
        <v>57</v>
      </c>
      <c r="W285" s="5" t="s">
        <v>128</v>
      </c>
      <c r="X285" s="5" t="s">
        <v>293</v>
      </c>
      <c r="Y285" s="5"/>
    </row>
    <row r="286" spans="1:25" x14ac:dyDescent="0.25">
      <c r="A286" s="5" t="s">
        <v>957</v>
      </c>
      <c r="B286" s="5"/>
      <c r="C286" s="5" t="s">
        <v>70</v>
      </c>
      <c r="D286" s="5"/>
      <c r="E286" s="5" t="s">
        <v>45</v>
      </c>
      <c r="F286" s="5" t="s">
        <v>46</v>
      </c>
      <c r="G286" s="5" t="s">
        <v>47</v>
      </c>
      <c r="H286" s="5"/>
      <c r="I286" s="5" t="s">
        <v>49</v>
      </c>
      <c r="J286" s="5"/>
      <c r="K286" s="5" t="s">
        <v>49</v>
      </c>
      <c r="L286" s="5"/>
      <c r="M286" s="5"/>
      <c r="N286" s="5" t="s">
        <v>50</v>
      </c>
      <c r="O286" s="5"/>
      <c r="P286" s="6">
        <f>IF(A286="","",COUNTA(D286:F286)+COUNTA(G286:G286)+COUNTA(H286:H286)+COUNTA(I286:I286))</f>
        <v>4</v>
      </c>
      <c r="Q286" s="6" t="str">
        <f>IF(A286="","",IF(AND(P286=6,UPPER(L286)&lt;&gt;"Y",C286&lt;&gt;""),"Yes","No"))</f>
        <v>No</v>
      </c>
      <c r="R286" s="5" t="s">
        <v>51</v>
      </c>
      <c r="S286" s="5"/>
      <c r="T286" s="5"/>
      <c r="U286" s="5"/>
      <c r="V286" s="5"/>
      <c r="W286" s="5"/>
      <c r="X286" s="5"/>
      <c r="Y286" s="5" t="s">
        <v>958</v>
      </c>
    </row>
    <row r="287" spans="1:25" x14ac:dyDescent="0.25">
      <c r="A287" s="5" t="s">
        <v>959</v>
      </c>
      <c r="B287" s="5"/>
      <c r="C287" s="5" t="s">
        <v>128</v>
      </c>
      <c r="D287" s="5"/>
      <c r="E287" s="5"/>
      <c r="F287" s="5"/>
      <c r="G287" s="5" t="s">
        <v>57</v>
      </c>
      <c r="H287" s="5"/>
      <c r="I287" s="5"/>
      <c r="J287" s="5"/>
      <c r="K287" s="5"/>
      <c r="L287" s="5"/>
      <c r="M287" s="5"/>
      <c r="N287" s="5" t="s">
        <v>66</v>
      </c>
      <c r="O287" s="5"/>
      <c r="P287" s="6">
        <f>IF(A287="","",COUNTA(D287:F287)+COUNTA(G287:G287)+COUNTA(H287:H287)+COUNTA(I287:I287))</f>
        <v>1</v>
      </c>
      <c r="Q287" s="6" t="str">
        <f>IF(A287="","",IF(AND(P287=6,UPPER(L287)&lt;&gt;"Y",C287&lt;&gt;""),"Yes","No"))</f>
        <v>No</v>
      </c>
      <c r="R287" s="5" t="s">
        <v>51</v>
      </c>
      <c r="S287" s="5"/>
      <c r="T287" s="5"/>
      <c r="U287" s="5"/>
      <c r="V287" s="5" t="s">
        <v>57</v>
      </c>
      <c r="W287" s="5" t="s">
        <v>128</v>
      </c>
      <c r="X287" s="5" t="s">
        <v>249</v>
      </c>
      <c r="Y287" s="5"/>
    </row>
    <row r="288" spans="1:25" x14ac:dyDescent="0.25">
      <c r="A288" s="5" t="s">
        <v>960</v>
      </c>
      <c r="B288" s="5"/>
      <c r="C288" s="5" t="s">
        <v>43</v>
      </c>
      <c r="D288" s="5" t="s">
        <v>76</v>
      </c>
      <c r="E288" s="5"/>
      <c r="F288" s="5"/>
      <c r="G288" s="5"/>
      <c r="H288" s="5" t="s">
        <v>259</v>
      </c>
      <c r="I288" s="5"/>
      <c r="J288" s="5"/>
      <c r="K288" s="5"/>
      <c r="L288" s="5"/>
      <c r="M288" s="5"/>
      <c r="N288" s="5" t="s">
        <v>50</v>
      </c>
      <c r="O288" s="5"/>
      <c r="P288" s="6">
        <f>IF(A288="","",COUNTA(D288:F288)+COUNTA(G288:G288)+COUNTA(H288:H288)+COUNTA(I288:I288))</f>
        <v>2</v>
      </c>
      <c r="Q288" s="6" t="str">
        <f>IF(A288="","",IF(AND(P288=6,UPPER(L288)&lt;&gt;"Y",C288&lt;&gt;""),"Yes","No"))</f>
        <v>No</v>
      </c>
      <c r="R288" s="5" t="s">
        <v>51</v>
      </c>
      <c r="S288" s="5"/>
      <c r="T288" s="5"/>
      <c r="U288" s="5" t="s">
        <v>261</v>
      </c>
      <c r="V288" s="5"/>
      <c r="W288" s="5" t="s">
        <v>43</v>
      </c>
      <c r="X288" s="5"/>
      <c r="Y288" s="5" t="s">
        <v>136</v>
      </c>
    </row>
    <row r="289" spans="1:25" x14ac:dyDescent="0.25">
      <c r="A289" s="5" t="s">
        <v>961</v>
      </c>
      <c r="B289" s="5"/>
      <c r="C289" s="5" t="s">
        <v>43</v>
      </c>
      <c r="D289" s="5" t="s">
        <v>76</v>
      </c>
      <c r="E289" s="5"/>
      <c r="F289" s="5"/>
      <c r="G289" s="5"/>
      <c r="H289" s="5" t="s">
        <v>259</v>
      </c>
      <c r="I289" s="5"/>
      <c r="J289" s="5"/>
      <c r="K289" s="5"/>
      <c r="L289" s="5"/>
      <c r="M289" s="5"/>
      <c r="N289" s="5" t="s">
        <v>50</v>
      </c>
      <c r="O289" s="5"/>
      <c r="P289" s="6">
        <f>IF(A289="","",COUNTA(D289:F289)+COUNTA(G289:G289)+COUNTA(H289:H289)+COUNTA(I289:I289))</f>
        <v>2</v>
      </c>
      <c r="Q289" s="6" t="str">
        <f>IF(A289="","",IF(AND(P289=6,UPPER(L289)&lt;&gt;"Y",C289&lt;&gt;""),"Yes","No"))</f>
        <v>No</v>
      </c>
      <c r="R289" s="5" t="s">
        <v>51</v>
      </c>
      <c r="S289" s="5"/>
      <c r="T289" s="5"/>
      <c r="U289" s="5" t="s">
        <v>261</v>
      </c>
      <c r="V289" s="5"/>
      <c r="W289" s="5" t="s">
        <v>43</v>
      </c>
      <c r="X289" s="5"/>
      <c r="Y289" s="5" t="s">
        <v>136</v>
      </c>
    </row>
    <row r="290" spans="1:25" x14ac:dyDescent="0.25">
      <c r="A290" s="5" t="s">
        <v>962</v>
      </c>
      <c r="B290" s="5"/>
      <c r="C290" s="5"/>
      <c r="D290" s="5"/>
      <c r="E290" s="5"/>
      <c r="F290" s="5"/>
      <c r="G290" s="5"/>
      <c r="H290" s="5" t="s">
        <v>259</v>
      </c>
      <c r="I290" s="5"/>
      <c r="J290" s="5"/>
      <c r="K290" s="5"/>
      <c r="L290" s="5"/>
      <c r="M290" s="5"/>
      <c r="N290" s="5" t="s">
        <v>66</v>
      </c>
      <c r="O290" s="5" t="s">
        <v>103</v>
      </c>
      <c r="P290" s="6">
        <f>IF(A290="","",COUNTA(D290:F290)+COUNTA(G290:G290)+COUNTA(H290:H290)+COUNTA(I290:I290))</f>
        <v>1</v>
      </c>
      <c r="Q290" s="6" t="str">
        <f>IF(A290="","",IF(AND(P290=6,UPPER(L290)&lt;&gt;"Y",C290&lt;&gt;""),"Yes","No"))</f>
        <v>No</v>
      </c>
      <c r="R290" s="5" t="s">
        <v>51</v>
      </c>
      <c r="S290" s="5"/>
      <c r="T290" s="5"/>
      <c r="U290" s="5" t="s">
        <v>261</v>
      </c>
      <c r="V290" s="5"/>
      <c r="W290" s="5" t="s">
        <v>105</v>
      </c>
      <c r="X290" s="5"/>
      <c r="Y290" s="5"/>
    </row>
    <row r="291" spans="1:25" x14ac:dyDescent="0.25">
      <c r="A291" s="5" t="s">
        <v>963</v>
      </c>
      <c r="B291" s="5"/>
      <c r="C291" s="5"/>
      <c r="D291" s="5"/>
      <c r="E291" s="5"/>
      <c r="F291" s="5"/>
      <c r="G291" s="5"/>
      <c r="H291" s="5" t="s">
        <v>77</v>
      </c>
      <c r="I291" s="5" t="s">
        <v>78</v>
      </c>
      <c r="J291" s="5" t="s">
        <v>59</v>
      </c>
      <c r="K291" s="5" t="s">
        <v>964</v>
      </c>
      <c r="L291" s="5"/>
      <c r="M291" s="5"/>
      <c r="N291" s="5" t="s">
        <v>66</v>
      </c>
      <c r="O291" s="5"/>
      <c r="P291" s="6">
        <f>IF(A291="","",COUNTA(D291:F291)+COUNTA(G291:G291)+COUNTA(H291:H291)+COUNTA(I291:I291))</f>
        <v>2</v>
      </c>
      <c r="Q291" s="6" t="str">
        <f>IF(A291="","",IF(AND(P291=6,UPPER(L291)&lt;&gt;"Y",C291&lt;&gt;""),"Yes","No"))</f>
        <v>No</v>
      </c>
      <c r="R291" s="5" t="s">
        <v>51</v>
      </c>
      <c r="S291" s="5"/>
      <c r="T291" s="5" t="s">
        <v>965</v>
      </c>
      <c r="U291" s="5" t="s">
        <v>77</v>
      </c>
      <c r="V291" s="5"/>
      <c r="W291" s="5"/>
      <c r="X291" s="5"/>
      <c r="Y291" s="5"/>
    </row>
    <row r="292" spans="1:25" x14ac:dyDescent="0.25">
      <c r="A292" s="5" t="s">
        <v>966</v>
      </c>
      <c r="B292" s="5"/>
      <c r="C292" s="5"/>
      <c r="D292" s="5"/>
      <c r="E292" s="5"/>
      <c r="F292" s="5"/>
      <c r="G292" s="5"/>
      <c r="H292" s="5"/>
      <c r="I292" s="5"/>
      <c r="J292" s="5"/>
      <c r="K292" s="5"/>
      <c r="L292" s="5"/>
      <c r="M292" s="5"/>
      <c r="N292" s="5" t="s">
        <v>66</v>
      </c>
      <c r="O292" s="5"/>
      <c r="P292" s="6">
        <f>IF(A292="","",COUNTA(D292:F292)+COUNTA(G292:G292)+COUNTA(H292:H292)+COUNTA(I292:I292))</f>
        <v>0</v>
      </c>
      <c r="Q292" s="6" t="str">
        <f>IF(A292="","",IF(AND(P292=6,UPPER(L292)&lt;&gt;"Y",C292&lt;&gt;""),"Yes","No"))</f>
        <v>No</v>
      </c>
      <c r="R292" s="5" t="s">
        <v>51</v>
      </c>
      <c r="S292" s="5"/>
      <c r="T292" s="5"/>
      <c r="U292" s="5"/>
      <c r="V292" s="5"/>
      <c r="W292" s="5"/>
      <c r="X292" s="5"/>
      <c r="Y292" s="5"/>
    </row>
    <row r="293" spans="1:25" x14ac:dyDescent="0.25">
      <c r="A293" s="5" t="s">
        <v>967</v>
      </c>
      <c r="B293" s="5"/>
      <c r="C293" s="5"/>
      <c r="D293" s="5"/>
      <c r="E293" s="5"/>
      <c r="F293" s="5"/>
      <c r="G293" s="5"/>
      <c r="H293" s="5" t="s">
        <v>557</v>
      </c>
      <c r="I293" s="5" t="s">
        <v>72</v>
      </c>
      <c r="J293" s="5"/>
      <c r="K293" s="5" t="s">
        <v>72</v>
      </c>
      <c r="L293" s="5"/>
      <c r="M293" s="5"/>
      <c r="N293" s="5" t="s">
        <v>66</v>
      </c>
      <c r="O293" s="5" t="s">
        <v>103</v>
      </c>
      <c r="P293" s="6">
        <f>IF(A293="","",COUNTA(D293:F293)+COUNTA(G293:G293)+COUNTA(H293:H293)+COUNTA(I293:I293))</f>
        <v>2</v>
      </c>
      <c r="Q293" s="6" t="str">
        <f>IF(A293="","",IF(AND(P293=6,UPPER(L293)&lt;&gt;"Y",C293&lt;&gt;""),"Yes","No"))</f>
        <v>No</v>
      </c>
      <c r="R293" s="5" t="s">
        <v>51</v>
      </c>
      <c r="S293" s="5"/>
      <c r="T293" s="5" t="s">
        <v>968</v>
      </c>
      <c r="U293" s="5" t="s">
        <v>557</v>
      </c>
      <c r="V293" s="5"/>
      <c r="W293" s="5" t="s">
        <v>105</v>
      </c>
      <c r="X293" s="5"/>
      <c r="Y293" s="5"/>
    </row>
    <row r="294" spans="1:25" x14ac:dyDescent="0.25">
      <c r="A294" s="5" t="s">
        <v>969</v>
      </c>
      <c r="B294" s="5"/>
      <c r="C294" s="5" t="s">
        <v>43</v>
      </c>
      <c r="D294" s="5" t="s">
        <v>44</v>
      </c>
      <c r="E294" s="5" t="s">
        <v>45</v>
      </c>
      <c r="F294" s="5" t="s">
        <v>46</v>
      </c>
      <c r="G294" s="5" t="s">
        <v>1851</v>
      </c>
      <c r="H294" s="5" t="s">
        <v>96</v>
      </c>
      <c r="I294" s="5" t="s">
        <v>91</v>
      </c>
      <c r="J294" s="5" t="s">
        <v>72</v>
      </c>
      <c r="K294" s="5" t="s">
        <v>970</v>
      </c>
      <c r="L294" s="5"/>
      <c r="M294" s="5"/>
      <c r="N294" s="5" t="s">
        <v>50</v>
      </c>
      <c r="O294" s="5"/>
      <c r="P294" s="6">
        <f>IF(A294="","",COUNTA(D294:F294)+COUNTA(G294:G294)+COUNTA(H294:H294)+COUNTA(I294:I294))</f>
        <v>6</v>
      </c>
      <c r="Q294" s="6" t="str">
        <f>IF(A294="","",IF(AND(P294=6,UPPER(L294)&lt;&gt;"Y",C294&lt;&gt;""),"Yes","No"))</f>
        <v>Yes</v>
      </c>
      <c r="R294" s="5" t="s">
        <v>51</v>
      </c>
      <c r="S294" s="5" t="s">
        <v>971</v>
      </c>
      <c r="T294" s="5" t="s">
        <v>972</v>
      </c>
      <c r="U294" s="5" t="s">
        <v>99</v>
      </c>
      <c r="V294" s="5"/>
      <c r="W294" s="5" t="s">
        <v>43</v>
      </c>
      <c r="X294" s="5" t="s">
        <v>675</v>
      </c>
      <c r="Y294" s="5" t="s">
        <v>347</v>
      </c>
    </row>
    <row r="295" spans="1:25" x14ac:dyDescent="0.25">
      <c r="A295" s="5" t="s">
        <v>973</v>
      </c>
      <c r="B295" s="5"/>
      <c r="C295" s="5" t="s">
        <v>43</v>
      </c>
      <c r="D295" s="5"/>
      <c r="E295" s="5"/>
      <c r="F295" s="5"/>
      <c r="G295" s="5"/>
      <c r="H295" s="5"/>
      <c r="I295" s="5" t="s">
        <v>192</v>
      </c>
      <c r="J295" s="5"/>
      <c r="K295" s="5" t="s">
        <v>192</v>
      </c>
      <c r="L295" s="5"/>
      <c r="M295" s="5"/>
      <c r="N295" s="5" t="s">
        <v>50</v>
      </c>
      <c r="O295" s="5"/>
      <c r="P295" s="6">
        <f>IF(A295="","",COUNTA(D295:F295)+COUNTA(G295:G295)+COUNTA(H295:H295)+COUNTA(I295:I295))</f>
        <v>1</v>
      </c>
      <c r="Q295" s="6" t="str">
        <f>IF(A295="","",IF(AND(P295=6,UPPER(L295)&lt;&gt;"Y",C295&lt;&gt;""),"Yes","No"))</f>
        <v>No</v>
      </c>
      <c r="R295" s="5" t="s">
        <v>51</v>
      </c>
      <c r="S295" s="5"/>
      <c r="T295" s="5" t="s">
        <v>974</v>
      </c>
      <c r="U295" s="5"/>
      <c r="V295" s="5"/>
      <c r="W295" s="5" t="s">
        <v>43</v>
      </c>
      <c r="X295" s="5"/>
      <c r="Y295" s="5" t="s">
        <v>587</v>
      </c>
    </row>
    <row r="296" spans="1:25" x14ac:dyDescent="0.25">
      <c r="A296" s="5" t="s">
        <v>975</v>
      </c>
      <c r="B296" s="5"/>
      <c r="C296" s="5" t="s">
        <v>43</v>
      </c>
      <c r="D296" s="5" t="s">
        <v>44</v>
      </c>
      <c r="E296" s="5" t="s">
        <v>45</v>
      </c>
      <c r="F296" s="5" t="s">
        <v>46</v>
      </c>
      <c r="G296" s="5" t="s">
        <v>47</v>
      </c>
      <c r="H296" s="5" t="s">
        <v>58</v>
      </c>
      <c r="I296" s="5" t="s">
        <v>123</v>
      </c>
      <c r="J296" s="5"/>
      <c r="K296" s="5" t="s">
        <v>123</v>
      </c>
      <c r="L296" s="5"/>
      <c r="M296" s="5"/>
      <c r="N296" s="5" t="s">
        <v>50</v>
      </c>
      <c r="O296" s="5"/>
      <c r="P296" s="6">
        <f>IF(A296="","",COUNTA(D296:F296)+COUNTA(G296:G296)+COUNTA(H296:H296)+COUNTA(I296:I296))</f>
        <v>6</v>
      </c>
      <c r="Q296" s="6" t="str">
        <f>IF(A296="","",IF(AND(P296=6,UPPER(L296)&lt;&gt;"Y",C296&lt;&gt;""),"Yes","No"))</f>
        <v>Yes</v>
      </c>
      <c r="R296" s="5" t="s">
        <v>51</v>
      </c>
      <c r="S296" s="5"/>
      <c r="T296" s="5" t="s">
        <v>976</v>
      </c>
      <c r="U296" s="5" t="s">
        <v>63</v>
      </c>
      <c r="V296" s="5"/>
      <c r="W296" s="5" t="s">
        <v>43</v>
      </c>
      <c r="X296" s="5"/>
      <c r="Y296" s="5" t="s">
        <v>64</v>
      </c>
    </row>
    <row r="297" spans="1:25" x14ac:dyDescent="0.25">
      <c r="A297" s="5" t="s">
        <v>977</v>
      </c>
      <c r="B297" s="5"/>
      <c r="C297" s="5" t="s">
        <v>43</v>
      </c>
      <c r="D297" s="5" t="s">
        <v>44</v>
      </c>
      <c r="E297" s="5" t="s">
        <v>45</v>
      </c>
      <c r="F297" s="5" t="s">
        <v>107</v>
      </c>
      <c r="G297" s="5" t="s">
        <v>57</v>
      </c>
      <c r="H297" s="5" t="s">
        <v>662</v>
      </c>
      <c r="I297" s="5" t="s">
        <v>91</v>
      </c>
      <c r="J297" s="5"/>
      <c r="K297" s="5" t="s">
        <v>978</v>
      </c>
      <c r="L297" s="5"/>
      <c r="M297" s="5"/>
      <c r="N297" s="5" t="s">
        <v>110</v>
      </c>
      <c r="O297" s="5"/>
      <c r="P297" s="6">
        <f>IF(A297="","",COUNTA(D297:F297)+COUNTA(G297:G297)+COUNTA(H297:H297)+COUNTA(I297:I297))</f>
        <v>6</v>
      </c>
      <c r="Q297" s="6" t="str">
        <f>IF(A297="","",IF(AND(P297=6,UPPER(L297)&lt;&gt;"Y",C297&lt;&gt;""),"Yes","No"))</f>
        <v>Yes</v>
      </c>
      <c r="R297" s="5" t="s">
        <v>112</v>
      </c>
      <c r="S297" s="5" t="s">
        <v>979</v>
      </c>
      <c r="T297" s="5" t="s">
        <v>980</v>
      </c>
      <c r="U297" s="5" t="s">
        <v>662</v>
      </c>
      <c r="V297" s="5"/>
      <c r="W297" s="5" t="s">
        <v>43</v>
      </c>
      <c r="X297" s="5" t="s">
        <v>675</v>
      </c>
      <c r="Y297" s="5" t="s">
        <v>487</v>
      </c>
    </row>
    <row r="298" spans="1:25" x14ac:dyDescent="0.25">
      <c r="A298" s="5" t="s">
        <v>981</v>
      </c>
      <c r="B298" s="5"/>
      <c r="C298" s="5" t="s">
        <v>43</v>
      </c>
      <c r="D298" s="5" t="s">
        <v>76</v>
      </c>
      <c r="E298" s="5" t="s">
        <v>45</v>
      </c>
      <c r="F298" s="5" t="s">
        <v>107</v>
      </c>
      <c r="G298" s="5" t="s">
        <v>57</v>
      </c>
      <c r="H298" s="5" t="s">
        <v>1863</v>
      </c>
      <c r="I298" s="5" t="s">
        <v>119</v>
      </c>
      <c r="J298" s="5" t="s">
        <v>765</v>
      </c>
      <c r="K298" s="5" t="s">
        <v>982</v>
      </c>
      <c r="L298" s="5"/>
      <c r="M298" s="5"/>
      <c r="N298" s="5" t="s">
        <v>66</v>
      </c>
      <c r="O298" s="5"/>
      <c r="P298" s="6">
        <f>IF(A298="","",COUNTA(D298:F298)+COUNTA(G298:G298)+COUNTA(H298:H298)+COUNTA(I298:I298))</f>
        <v>6</v>
      </c>
      <c r="Q298" s="6" t="str">
        <f>IF(A298="","",IF(AND(P298=6,UPPER(L298)&lt;&gt;"Y",C298&lt;&gt;""),"Yes","No"))</f>
        <v>Yes</v>
      </c>
      <c r="R298" s="5" t="s">
        <v>51</v>
      </c>
      <c r="S298" s="5" t="s">
        <v>983</v>
      </c>
      <c r="T298" s="5" t="s">
        <v>984</v>
      </c>
      <c r="U298" s="5" t="s">
        <v>322</v>
      </c>
      <c r="V298" s="5" t="s">
        <v>181</v>
      </c>
      <c r="W298" s="5" t="s">
        <v>43</v>
      </c>
      <c r="X298" s="5" t="s">
        <v>684</v>
      </c>
      <c r="Y298" s="5" t="s">
        <v>88</v>
      </c>
    </row>
    <row r="299" spans="1:25" x14ac:dyDescent="0.25">
      <c r="A299" s="5" t="s">
        <v>985</v>
      </c>
      <c r="B299" s="5"/>
      <c r="C299" s="5" t="s">
        <v>128</v>
      </c>
      <c r="D299" s="5"/>
      <c r="E299" s="5"/>
      <c r="F299" s="5"/>
      <c r="G299" s="5" t="s">
        <v>57</v>
      </c>
      <c r="H299" s="5" t="s">
        <v>563</v>
      </c>
      <c r="I299" s="5"/>
      <c r="J299" s="5"/>
      <c r="K299" s="5"/>
      <c r="L299" s="5"/>
      <c r="M299" s="5"/>
      <c r="N299" s="5" t="s">
        <v>66</v>
      </c>
      <c r="O299" s="5"/>
      <c r="P299" s="6">
        <f>IF(A299="","",COUNTA(D299:F299)+COUNTA(G299:G299)+COUNTA(H299:H299)+COUNTA(I299:I299))</f>
        <v>2</v>
      </c>
      <c r="Q299" s="6" t="str">
        <f>IF(A299="","",IF(AND(P299=6,UPPER(L299)&lt;&gt;"Y",C299&lt;&gt;""),"Yes","No"))</f>
        <v>No</v>
      </c>
      <c r="R299" s="5" t="s">
        <v>51</v>
      </c>
      <c r="S299" s="5"/>
      <c r="T299" s="5"/>
      <c r="U299" s="5" t="s">
        <v>563</v>
      </c>
      <c r="V299" s="5" t="s">
        <v>57</v>
      </c>
      <c r="W299" s="5" t="s">
        <v>128</v>
      </c>
      <c r="X299" s="5" t="s">
        <v>130</v>
      </c>
      <c r="Y299" s="5"/>
    </row>
    <row r="300" spans="1:25" x14ac:dyDescent="0.25">
      <c r="A300" s="5" t="s">
        <v>986</v>
      </c>
      <c r="B300" s="5"/>
      <c r="C300" s="5" t="s">
        <v>43</v>
      </c>
      <c r="D300" s="5" t="s">
        <v>76</v>
      </c>
      <c r="E300" s="5" t="s">
        <v>45</v>
      </c>
      <c r="F300" s="5" t="s">
        <v>107</v>
      </c>
      <c r="G300" s="5" t="s">
        <v>57</v>
      </c>
      <c r="H300" s="5" t="s">
        <v>322</v>
      </c>
      <c r="I300" s="5" t="s">
        <v>71</v>
      </c>
      <c r="J300" s="5" t="s">
        <v>157</v>
      </c>
      <c r="K300" s="5" t="s">
        <v>987</v>
      </c>
      <c r="L300" s="5"/>
      <c r="M300" s="5"/>
      <c r="N300" s="5" t="s">
        <v>50</v>
      </c>
      <c r="O300" s="5" t="s">
        <v>225</v>
      </c>
      <c r="P300" s="6">
        <f>IF(A300="","",COUNTA(D300:F300)+COUNTA(G300:G300)+COUNTA(H300:H300)+COUNTA(I300:I300))</f>
        <v>6</v>
      </c>
      <c r="Q300" s="6" t="str">
        <f>IF(A300="","",IF(AND(P300=6,UPPER(L300)&lt;&gt;"Y",C300&lt;&gt;""),"Yes","No"))</f>
        <v>Yes</v>
      </c>
      <c r="R300" s="5" t="s">
        <v>51</v>
      </c>
      <c r="S300" s="5" t="s">
        <v>988</v>
      </c>
      <c r="T300" s="5" t="s">
        <v>989</v>
      </c>
      <c r="U300" s="5" t="s">
        <v>990</v>
      </c>
      <c r="V300" s="5" t="s">
        <v>57</v>
      </c>
      <c r="W300" s="5" t="s">
        <v>43</v>
      </c>
      <c r="X300" s="5" t="s">
        <v>222</v>
      </c>
      <c r="Y300" s="5" t="s">
        <v>991</v>
      </c>
    </row>
    <row r="301" spans="1:25" x14ac:dyDescent="0.25">
      <c r="A301" s="5" t="s">
        <v>992</v>
      </c>
      <c r="B301" s="5"/>
      <c r="C301" s="5" t="s">
        <v>43</v>
      </c>
      <c r="D301" s="5"/>
      <c r="E301" s="5"/>
      <c r="F301" s="5"/>
      <c r="G301" s="5"/>
      <c r="H301" s="5"/>
      <c r="I301" s="5"/>
      <c r="J301" s="5"/>
      <c r="K301" s="5"/>
      <c r="L301" s="5"/>
      <c r="M301" s="5"/>
      <c r="N301" s="5" t="s">
        <v>66</v>
      </c>
      <c r="O301" s="5"/>
      <c r="P301" s="6">
        <f>IF(A301="","",COUNTA(D301:F301)+COUNTA(G301:G301)+COUNTA(H301:H301)+COUNTA(I301:I301))</f>
        <v>0</v>
      </c>
      <c r="Q301" s="6" t="str">
        <f>IF(A301="","",IF(AND(P301=6,UPPER(L301)&lt;&gt;"Y",C301&lt;&gt;""),"Yes","No"))</f>
        <v>No</v>
      </c>
      <c r="R301" s="5" t="s">
        <v>51</v>
      </c>
      <c r="S301" s="5"/>
      <c r="T301" s="5"/>
      <c r="U301" s="5"/>
      <c r="V301" s="5"/>
      <c r="W301" s="5" t="s">
        <v>43</v>
      </c>
      <c r="X301" s="5"/>
      <c r="Y301" s="5"/>
    </row>
    <row r="302" spans="1:25" x14ac:dyDescent="0.25">
      <c r="A302" s="5" t="s">
        <v>993</v>
      </c>
      <c r="B302" s="5"/>
      <c r="C302" s="5" t="s">
        <v>70</v>
      </c>
      <c r="D302" s="5" t="s">
        <v>44</v>
      </c>
      <c r="E302" s="5"/>
      <c r="F302" s="5"/>
      <c r="G302" s="5"/>
      <c r="H302" s="5" t="s">
        <v>313</v>
      </c>
      <c r="I302" s="5"/>
      <c r="J302" s="5"/>
      <c r="K302" s="5"/>
      <c r="L302" s="5"/>
      <c r="M302" s="5"/>
      <c r="N302" s="5" t="s">
        <v>124</v>
      </c>
      <c r="O302" s="5"/>
      <c r="P302" s="6">
        <f>IF(A302="","",COUNTA(D302:F302)+COUNTA(G302:G302)+COUNTA(H302:H302)+COUNTA(I302:I302))</f>
        <v>2</v>
      </c>
      <c r="Q302" s="6" t="str">
        <f>IF(A302="","",IF(AND(P302=6,UPPER(L302)&lt;&gt;"Y",C302&lt;&gt;""),"Yes","No"))</f>
        <v>No</v>
      </c>
      <c r="R302" s="5" t="s">
        <v>125</v>
      </c>
      <c r="S302" s="5" t="s">
        <v>138</v>
      </c>
      <c r="T302" s="5"/>
      <c r="U302" s="5" t="s">
        <v>313</v>
      </c>
      <c r="V302" s="5"/>
      <c r="W302" s="5"/>
      <c r="X302" s="5"/>
      <c r="Y302" s="5" t="s">
        <v>155</v>
      </c>
    </row>
    <row r="303" spans="1:25" x14ac:dyDescent="0.25">
      <c r="A303" s="5" t="s">
        <v>994</v>
      </c>
      <c r="B303" s="5"/>
      <c r="C303" s="5" t="s">
        <v>43</v>
      </c>
      <c r="D303" s="5" t="s">
        <v>44</v>
      </c>
      <c r="E303" s="5" t="s">
        <v>45</v>
      </c>
      <c r="F303" s="5" t="s">
        <v>46</v>
      </c>
      <c r="G303" s="5" t="s">
        <v>47</v>
      </c>
      <c r="H303" s="5" t="s">
        <v>1845</v>
      </c>
      <c r="I303" s="5" t="s">
        <v>123</v>
      </c>
      <c r="K303" s="5" t="s">
        <v>123</v>
      </c>
      <c r="L303" s="5"/>
      <c r="M303" s="5"/>
      <c r="N303" s="5" t="s">
        <v>50</v>
      </c>
      <c r="O303" s="5"/>
      <c r="P303" s="6">
        <f>IF(A303="","",COUNTA(D303:F303)+COUNTA(G303:G303)+COUNTA(H303:H303)+COUNTA(I303:I303))</f>
        <v>6</v>
      </c>
      <c r="Q303" s="6" t="str">
        <f>IF(A303="","",IF(AND(P303=6,UPPER(L303)&lt;&gt;"Y",C303&lt;&gt;""),"Yes","No"))</f>
        <v>Yes</v>
      </c>
      <c r="R303" s="5" t="s">
        <v>51</v>
      </c>
      <c r="S303" s="5"/>
      <c r="T303" s="5" t="s">
        <v>995</v>
      </c>
      <c r="U303" s="5" t="s">
        <v>63</v>
      </c>
      <c r="V303" s="5" t="s">
        <v>47</v>
      </c>
      <c r="W303" s="5" t="s">
        <v>43</v>
      </c>
      <c r="X303" s="5" t="s">
        <v>130</v>
      </c>
      <c r="Y303" s="5" t="s">
        <v>591</v>
      </c>
    </row>
    <row r="304" spans="1:25" x14ac:dyDescent="0.25">
      <c r="A304" s="5" t="s">
        <v>996</v>
      </c>
      <c r="B304" s="5"/>
      <c r="C304" s="5" t="s">
        <v>43</v>
      </c>
      <c r="D304" s="5" t="s">
        <v>76</v>
      </c>
      <c r="E304" s="5" t="s">
        <v>45</v>
      </c>
      <c r="F304" s="5" t="s">
        <v>46</v>
      </c>
      <c r="G304" s="5" t="s">
        <v>57</v>
      </c>
      <c r="H304" s="5" t="s">
        <v>77</v>
      </c>
      <c r="I304" s="5" t="s">
        <v>119</v>
      </c>
      <c r="J304" s="5" t="s">
        <v>1661</v>
      </c>
      <c r="K304" s="5" t="s">
        <v>997</v>
      </c>
      <c r="L304" s="5"/>
      <c r="M304" s="5"/>
      <c r="N304" s="5" t="s">
        <v>110</v>
      </c>
      <c r="O304" s="5" t="s">
        <v>225</v>
      </c>
      <c r="P304" s="6">
        <f>IF(A304="","",COUNTA(D304:F304)+COUNTA(G304:G304)+COUNTA(H304:H304)+COUNTA(I304:I304))</f>
        <v>6</v>
      </c>
      <c r="Q304" s="6" t="str">
        <f>IF(A304="","",IF(AND(P304=6,UPPER(L304)&lt;&gt;"Y",C304&lt;&gt;""),"Yes","No"))</f>
        <v>Yes</v>
      </c>
      <c r="R304" s="5" t="s">
        <v>112</v>
      </c>
      <c r="S304" s="5"/>
      <c r="T304" s="5" t="s">
        <v>998</v>
      </c>
      <c r="U304" s="5" t="s">
        <v>420</v>
      </c>
      <c r="V304" s="5" t="s">
        <v>57</v>
      </c>
      <c r="W304" s="5" t="s">
        <v>43</v>
      </c>
      <c r="X304" s="5" t="s">
        <v>628</v>
      </c>
      <c r="Y304" s="5" t="s">
        <v>117</v>
      </c>
    </row>
    <row r="305" spans="1:25" x14ac:dyDescent="0.25">
      <c r="A305" s="5" t="s">
        <v>999</v>
      </c>
      <c r="B305" s="5"/>
      <c r="C305" s="5" t="s">
        <v>70</v>
      </c>
      <c r="D305" s="5" t="s">
        <v>76</v>
      </c>
      <c r="E305" s="5"/>
      <c r="F305" s="5"/>
      <c r="G305" s="5"/>
      <c r="H305" s="5" t="s">
        <v>77</v>
      </c>
      <c r="I305" s="5"/>
      <c r="J305" s="5"/>
      <c r="K305" s="5"/>
      <c r="L305" s="5"/>
      <c r="M305" s="5"/>
      <c r="N305" s="5" t="s">
        <v>50</v>
      </c>
      <c r="O305" s="5"/>
      <c r="P305" s="6">
        <f>IF(A305="","",COUNTA(D305:F305)+COUNTA(G305:G305)+COUNTA(H305:H305)+COUNTA(I305:I305))</f>
        <v>2</v>
      </c>
      <c r="Q305" s="6" t="str">
        <f>IF(A305="","",IF(AND(P305=6,UPPER(L305)&lt;&gt;"Y",C305&lt;&gt;""),"Yes","No"))</f>
        <v>No</v>
      </c>
      <c r="R305" s="5" t="s">
        <v>51</v>
      </c>
      <c r="S305" s="5"/>
      <c r="T305" s="5" t="s">
        <v>1000</v>
      </c>
      <c r="U305" s="5" t="s">
        <v>77</v>
      </c>
      <c r="V305" s="5"/>
      <c r="W305" s="5"/>
      <c r="X305" s="5"/>
      <c r="Y305" s="5" t="s">
        <v>189</v>
      </c>
    </row>
    <row r="306" spans="1:25" x14ac:dyDescent="0.25">
      <c r="A306" s="5" t="s">
        <v>1001</v>
      </c>
      <c r="B306" s="5"/>
      <c r="C306" s="5" t="s">
        <v>70</v>
      </c>
      <c r="D306" s="5" t="s">
        <v>76</v>
      </c>
      <c r="E306" s="5"/>
      <c r="F306" s="5" t="s">
        <v>46</v>
      </c>
      <c r="G306" s="5"/>
      <c r="H306" s="5" t="s">
        <v>77</v>
      </c>
      <c r="I306" s="5" t="s">
        <v>49</v>
      </c>
      <c r="J306" s="5" t="s">
        <v>1002</v>
      </c>
      <c r="K306" s="5" t="s">
        <v>1003</v>
      </c>
      <c r="L306" s="5"/>
      <c r="M306" s="5"/>
      <c r="N306" s="5" t="s">
        <v>50</v>
      </c>
      <c r="O306" s="5"/>
      <c r="P306" s="6">
        <f>IF(A306="","",COUNTA(D306:F306)+COUNTA(G306:G306)+COUNTA(H306:H306)+COUNTA(I306:I306))</f>
        <v>4</v>
      </c>
      <c r="Q306" s="6" t="str">
        <f>IF(A306="","",IF(AND(P306=6,UPPER(L306)&lt;&gt;"Y",C306&lt;&gt;""),"Yes","No"))</f>
        <v>No</v>
      </c>
      <c r="R306" s="5" t="s">
        <v>51</v>
      </c>
      <c r="S306" s="5"/>
      <c r="T306" s="5" t="s">
        <v>1004</v>
      </c>
      <c r="U306" s="5" t="s">
        <v>77</v>
      </c>
      <c r="V306" s="5"/>
      <c r="W306" s="5"/>
      <c r="X306" s="5"/>
      <c r="Y306" s="5" t="s">
        <v>301</v>
      </c>
    </row>
    <row r="307" spans="1:25" x14ac:dyDescent="0.25">
      <c r="A307" s="5" t="s">
        <v>1005</v>
      </c>
      <c r="B307" s="5" t="s">
        <v>1006</v>
      </c>
      <c r="C307" s="5" t="s">
        <v>70</v>
      </c>
      <c r="D307" s="5"/>
      <c r="E307" s="5" t="s">
        <v>252</v>
      </c>
      <c r="F307" s="5"/>
      <c r="G307" s="5" t="s">
        <v>47</v>
      </c>
      <c r="H307" s="5"/>
      <c r="I307" s="5" t="s">
        <v>72</v>
      </c>
      <c r="J307" s="5"/>
      <c r="K307" s="5" t="s">
        <v>1007</v>
      </c>
      <c r="L307" s="5"/>
      <c r="M307" s="5"/>
      <c r="N307" s="5" t="s">
        <v>254</v>
      </c>
      <c r="O307" s="5"/>
      <c r="P307" s="6">
        <f>IF(A307="","",COUNTA(D307:F307)+COUNTA(G307:G307)+COUNTA(H307:H307)+COUNTA(I307:I307))</f>
        <v>3</v>
      </c>
      <c r="Q307" s="6" t="str">
        <f>IF(A307="","",IF(AND(P307=6,UPPER(L307)&lt;&gt;"Y",C307&lt;&gt;""),"Yes","No"))</f>
        <v>No</v>
      </c>
      <c r="R307" s="5" t="s">
        <v>255</v>
      </c>
      <c r="S307" s="5"/>
      <c r="T307" s="5"/>
      <c r="U307" s="5"/>
      <c r="V307" s="5"/>
      <c r="W307" s="5"/>
      <c r="X307" s="5"/>
      <c r="Y307" s="5" t="s">
        <v>256</v>
      </c>
    </row>
    <row r="308" spans="1:25" x14ac:dyDescent="0.25">
      <c r="A308" s="5" t="s">
        <v>1008</v>
      </c>
      <c r="B308" s="5"/>
      <c r="C308" s="5" t="s">
        <v>70</v>
      </c>
      <c r="D308" s="5" t="s">
        <v>76</v>
      </c>
      <c r="E308" s="5"/>
      <c r="F308" s="5"/>
      <c r="G308" s="5"/>
      <c r="H308" s="5" t="s">
        <v>58</v>
      </c>
      <c r="I308" s="5" t="s">
        <v>91</v>
      </c>
      <c r="J308" s="5"/>
      <c r="K308" s="5" t="s">
        <v>1009</v>
      </c>
      <c r="L308" s="5"/>
      <c r="M308" s="5"/>
      <c r="N308" s="5" t="s">
        <v>50</v>
      </c>
      <c r="O308" s="5"/>
      <c r="P308" s="6">
        <f>IF(A308="","",COUNTA(D308:F308)+COUNTA(G308:G308)+COUNTA(H308:H308)+COUNTA(I308:I308))</f>
        <v>3</v>
      </c>
      <c r="Q308" s="6" t="str">
        <f>IF(A308="","",IF(AND(P308=6,UPPER(L308)&lt;&gt;"Y",C308&lt;&gt;""),"Yes","No"))</f>
        <v>No</v>
      </c>
      <c r="R308" s="5" t="s">
        <v>51</v>
      </c>
      <c r="S308" s="5"/>
      <c r="T308" s="5" t="s">
        <v>1010</v>
      </c>
      <c r="U308" s="5" t="s">
        <v>63</v>
      </c>
      <c r="V308" s="5"/>
      <c r="W308" s="5"/>
      <c r="X308" s="5"/>
      <c r="Y308" s="5" t="s">
        <v>428</v>
      </c>
    </row>
    <row r="309" spans="1:25" x14ac:dyDescent="0.25">
      <c r="A309" s="5" t="s">
        <v>1011</v>
      </c>
      <c r="B309" s="5"/>
      <c r="C309" s="5" t="s">
        <v>43</v>
      </c>
      <c r="D309" s="5" t="s">
        <v>44</v>
      </c>
      <c r="E309" s="5"/>
      <c r="F309" s="5"/>
      <c r="G309" s="5" t="s">
        <v>47</v>
      </c>
      <c r="H309" s="5" t="s">
        <v>48</v>
      </c>
      <c r="I309" s="5" t="s">
        <v>119</v>
      </c>
      <c r="J309" s="5"/>
      <c r="K309" s="5" t="s">
        <v>119</v>
      </c>
      <c r="L309" s="5"/>
      <c r="M309" s="5"/>
      <c r="N309" s="5" t="s">
        <v>50</v>
      </c>
      <c r="O309" s="5"/>
      <c r="P309" s="6">
        <f>IF(A309="","",COUNTA(D309:F309)+COUNTA(G309:G309)+COUNTA(H309:H309)+COUNTA(I309:I309))</f>
        <v>4</v>
      </c>
      <c r="Q309" s="6" t="str">
        <f>IF(A309="","",IF(AND(P309=6,UPPER(L309)&lt;&gt;"Y",C309&lt;&gt;""),"Yes","No"))</f>
        <v>No</v>
      </c>
      <c r="R309" s="5" t="s">
        <v>51</v>
      </c>
      <c r="S309" s="5"/>
      <c r="T309" s="5" t="s">
        <v>1012</v>
      </c>
      <c r="U309" s="5" t="s">
        <v>53</v>
      </c>
      <c r="V309" s="5"/>
      <c r="W309" s="5" t="s">
        <v>43</v>
      </c>
      <c r="X309" s="5"/>
      <c r="Y309" s="5" t="s">
        <v>94</v>
      </c>
    </row>
    <row r="310" spans="1:25" x14ac:dyDescent="0.25">
      <c r="A310" s="5" t="s">
        <v>1013</v>
      </c>
      <c r="B310" s="5"/>
      <c r="C310" s="5"/>
      <c r="D310" s="5"/>
      <c r="E310" s="5" t="s">
        <v>45</v>
      </c>
      <c r="F310" s="5" t="s">
        <v>46</v>
      </c>
      <c r="G310" s="5"/>
      <c r="H310" s="5" t="s">
        <v>77</v>
      </c>
      <c r="I310" s="5" t="s">
        <v>119</v>
      </c>
      <c r="J310" s="5" t="s">
        <v>91</v>
      </c>
      <c r="K310" s="5" t="s">
        <v>1014</v>
      </c>
      <c r="L310" s="5"/>
      <c r="M310" s="5"/>
      <c r="N310" s="5" t="s">
        <v>66</v>
      </c>
      <c r="O310" s="5" t="s">
        <v>103</v>
      </c>
      <c r="P310" s="6">
        <f>IF(A310="","",COUNTA(D310:F310)+COUNTA(G310:G310)+COUNTA(H310:H310)+COUNTA(I310:I310))</f>
        <v>4</v>
      </c>
      <c r="Q310" s="6" t="str">
        <f>IF(A310="","",IF(AND(P310=6,UPPER(L310)&lt;&gt;"Y",C310&lt;&gt;""),"Yes","No"))</f>
        <v>No</v>
      </c>
      <c r="R310" s="5" t="s">
        <v>51</v>
      </c>
      <c r="S310" s="5" t="s">
        <v>1015</v>
      </c>
      <c r="T310" s="5" t="s">
        <v>1016</v>
      </c>
      <c r="U310" s="5" t="s">
        <v>77</v>
      </c>
      <c r="V310" s="5"/>
      <c r="W310" s="5" t="s">
        <v>105</v>
      </c>
      <c r="X310" s="5"/>
      <c r="Y310" s="5" t="s">
        <v>167</v>
      </c>
    </row>
    <row r="311" spans="1:25" x14ac:dyDescent="0.25">
      <c r="A311" s="5" t="s">
        <v>1017</v>
      </c>
      <c r="B311" s="5"/>
      <c r="C311" s="5" t="s">
        <v>43</v>
      </c>
      <c r="D311" s="5" t="s">
        <v>76</v>
      </c>
      <c r="E311" s="5" t="s">
        <v>45</v>
      </c>
      <c r="F311" s="5" t="s">
        <v>46</v>
      </c>
      <c r="G311" s="5" t="s">
        <v>57</v>
      </c>
      <c r="H311" s="5" t="s">
        <v>698</v>
      </c>
      <c r="I311" s="5" t="s">
        <v>119</v>
      </c>
      <c r="J311" s="5"/>
      <c r="K311" s="5" t="s">
        <v>119</v>
      </c>
      <c r="L311" s="5"/>
      <c r="M311" s="5"/>
      <c r="N311" s="5" t="s">
        <v>50</v>
      </c>
      <c r="O311" s="5"/>
      <c r="P311" s="6">
        <f>IF(A311="","",COUNTA(D311:F311)+COUNTA(G311:G311)+COUNTA(H311:H311)+COUNTA(I311:I311))</f>
        <v>6</v>
      </c>
      <c r="Q311" s="6" t="str">
        <f>IF(A311="","",IF(AND(P311=6,UPPER(L311)&lt;&gt;"Y",C311&lt;&gt;""),"Yes","No"))</f>
        <v>Yes</v>
      </c>
      <c r="R311" s="5" t="s">
        <v>51</v>
      </c>
      <c r="S311" s="5" t="s">
        <v>1018</v>
      </c>
      <c r="T311" s="5" t="s">
        <v>1019</v>
      </c>
      <c r="U311" s="5" t="s">
        <v>698</v>
      </c>
      <c r="V311" s="5"/>
      <c r="W311" s="5" t="s">
        <v>43</v>
      </c>
      <c r="X311" s="5" t="s">
        <v>684</v>
      </c>
      <c r="Y311" s="5" t="s">
        <v>1020</v>
      </c>
    </row>
    <row r="312" spans="1:25" x14ac:dyDescent="0.25">
      <c r="A312" s="5" t="s">
        <v>1024</v>
      </c>
      <c r="B312" s="5"/>
      <c r="C312" s="5"/>
      <c r="D312" s="5"/>
      <c r="E312" s="5"/>
      <c r="F312" s="5"/>
      <c r="G312" s="5"/>
      <c r="H312" s="5"/>
      <c r="I312" s="5"/>
      <c r="J312" s="5"/>
      <c r="K312" s="5"/>
      <c r="L312" s="5"/>
      <c r="M312" s="5"/>
      <c r="N312" s="5" t="s">
        <v>66</v>
      </c>
      <c r="O312" s="5"/>
      <c r="P312" s="6">
        <f>IF(A312="","",COUNTA(D312:F312)+COUNTA(G312:G312)+COUNTA(H312:H312)+COUNTA(I312:I312))</f>
        <v>0</v>
      </c>
      <c r="Q312" s="6" t="str">
        <f>IF(A312="","",IF(AND(P312=6,UPPER(L312)&lt;&gt;"Y",C312&lt;&gt;""),"Yes","No"))</f>
        <v>No</v>
      </c>
      <c r="R312" s="5" t="s">
        <v>51</v>
      </c>
      <c r="S312" s="5"/>
      <c r="T312" s="5"/>
      <c r="U312" s="5"/>
      <c r="V312" s="5"/>
      <c r="W312" s="5"/>
      <c r="X312" s="5"/>
      <c r="Y312" s="5"/>
    </row>
    <row r="313" spans="1:25" x14ac:dyDescent="0.25">
      <c r="A313" s="5" t="s">
        <v>1025</v>
      </c>
      <c r="B313" s="5"/>
      <c r="C313" s="5" t="s">
        <v>43</v>
      </c>
      <c r="D313" s="5" t="s">
        <v>44</v>
      </c>
      <c r="E313" s="5"/>
      <c r="F313" s="5"/>
      <c r="G313" s="5"/>
      <c r="H313" s="5" t="s">
        <v>48</v>
      </c>
      <c r="I313" s="5" t="s">
        <v>119</v>
      </c>
      <c r="J313" s="5"/>
      <c r="K313" s="5" t="s">
        <v>119</v>
      </c>
      <c r="L313" s="5"/>
      <c r="M313" s="5"/>
      <c r="N313" s="5" t="s">
        <v>50</v>
      </c>
      <c r="O313" s="5"/>
      <c r="P313" s="6">
        <f>IF(A313="","",COUNTA(D313:F313)+COUNTA(G313:G313)+COUNTA(H313:H313)+COUNTA(I313:I313))</f>
        <v>3</v>
      </c>
      <c r="Q313" s="6" t="str">
        <f>IF(A313="","",IF(AND(P313=6,UPPER(L313)&lt;&gt;"Y",C313&lt;&gt;""),"Yes","No"))</f>
        <v>No</v>
      </c>
      <c r="R313" s="5" t="s">
        <v>51</v>
      </c>
      <c r="S313" s="5"/>
      <c r="T313" s="5" t="s">
        <v>1026</v>
      </c>
      <c r="U313" s="5" t="s">
        <v>53</v>
      </c>
      <c r="V313" s="5"/>
      <c r="W313" s="5" t="s">
        <v>43</v>
      </c>
      <c r="X313" s="5"/>
      <c r="Y313" s="5" t="s">
        <v>136</v>
      </c>
    </row>
    <row r="314" spans="1:25" x14ac:dyDescent="0.25">
      <c r="A314" s="5" t="s">
        <v>1027</v>
      </c>
      <c r="B314" s="5"/>
      <c r="C314" s="5"/>
      <c r="D314" s="5"/>
      <c r="E314" s="5"/>
      <c r="F314" s="5"/>
      <c r="G314" s="5"/>
      <c r="H314" s="5" t="s">
        <v>77</v>
      </c>
      <c r="I314" s="5" t="s">
        <v>119</v>
      </c>
      <c r="J314" s="5" t="s">
        <v>91</v>
      </c>
      <c r="K314" s="5" t="s">
        <v>1028</v>
      </c>
      <c r="L314" s="5"/>
      <c r="M314" s="5"/>
      <c r="N314" s="5" t="s">
        <v>66</v>
      </c>
      <c r="O314" s="5"/>
      <c r="P314" s="6">
        <f>IF(A314="","",COUNTA(D314:F314)+COUNTA(G314:G314)+COUNTA(H314:H314)+COUNTA(I314:I314))</f>
        <v>2</v>
      </c>
      <c r="Q314" s="6" t="str">
        <f>IF(A314="","",IF(AND(P314=6,UPPER(L314)&lt;&gt;"Y",C314&lt;&gt;""),"Yes","No"))</f>
        <v>No</v>
      </c>
      <c r="R314" s="5" t="s">
        <v>51</v>
      </c>
      <c r="S314" s="5"/>
      <c r="T314" s="5" t="s">
        <v>1029</v>
      </c>
      <c r="U314" s="5" t="s">
        <v>77</v>
      </c>
      <c r="V314" s="5"/>
      <c r="W314" s="5"/>
      <c r="X314" s="5"/>
      <c r="Y314" s="5"/>
    </row>
    <row r="315" spans="1:25" x14ac:dyDescent="0.25">
      <c r="A315" s="5" t="s">
        <v>1030</v>
      </c>
      <c r="B315" s="5"/>
      <c r="C315" s="5" t="s">
        <v>128</v>
      </c>
      <c r="D315" s="5"/>
      <c r="E315" s="5"/>
      <c r="F315" s="5"/>
      <c r="G315" s="5" t="s">
        <v>57</v>
      </c>
      <c r="H315" s="5" t="s">
        <v>718</v>
      </c>
      <c r="I315" s="5" t="s">
        <v>71</v>
      </c>
      <c r="J315" s="5"/>
      <c r="K315" s="5" t="s">
        <v>71</v>
      </c>
      <c r="L315" s="5"/>
      <c r="M315" s="5"/>
      <c r="N315" s="5" t="s">
        <v>66</v>
      </c>
      <c r="O315" s="5"/>
      <c r="P315" s="6">
        <f>IF(A315="","",COUNTA(D315:F315)+COUNTA(G315:G315)+COUNTA(H315:H315)+COUNTA(I315:I315))</f>
        <v>3</v>
      </c>
      <c r="Q315" s="6" t="str">
        <f>IF(A315="","",IF(AND(P315=6,UPPER(L315)&lt;&gt;"Y",C315&lt;&gt;""),"Yes","No"))</f>
        <v>No</v>
      </c>
      <c r="R315" s="5" t="s">
        <v>51</v>
      </c>
      <c r="S315" s="5"/>
      <c r="T315" s="5"/>
      <c r="U315" s="5" t="s">
        <v>718</v>
      </c>
      <c r="V315" s="5" t="s">
        <v>57</v>
      </c>
      <c r="W315" s="5" t="s">
        <v>128</v>
      </c>
      <c r="X315" s="5" t="s">
        <v>1031</v>
      </c>
      <c r="Y315" s="5"/>
    </row>
    <row r="316" spans="1:25" x14ac:dyDescent="0.25">
      <c r="A316" s="5" t="s">
        <v>1032</v>
      </c>
      <c r="B316" s="5"/>
      <c r="C316" s="5" t="s">
        <v>70</v>
      </c>
      <c r="D316" s="5" t="s">
        <v>76</v>
      </c>
      <c r="E316" s="5"/>
      <c r="F316" s="5"/>
      <c r="G316" s="5"/>
      <c r="H316" s="5"/>
      <c r="I316" s="5"/>
      <c r="J316" s="5"/>
      <c r="K316" s="5"/>
      <c r="L316" s="5"/>
      <c r="M316" s="5"/>
      <c r="N316" s="5" t="s">
        <v>124</v>
      </c>
      <c r="O316" s="5"/>
      <c r="P316" s="6">
        <f>IF(A316="","",COUNTA(D316:F316)+COUNTA(G316:G316)+COUNTA(H316:H316)+COUNTA(I316:I316))</f>
        <v>1</v>
      </c>
      <c r="Q316" s="6" t="str">
        <f>IF(A316="","",IF(AND(P316=6,UPPER(L316)&lt;&gt;"Y",C316&lt;&gt;""),"Yes","No"))</f>
        <v>No</v>
      </c>
      <c r="R316" s="5" t="s">
        <v>125</v>
      </c>
      <c r="S316" s="5"/>
      <c r="T316" s="5"/>
      <c r="U316" s="5"/>
      <c r="V316" s="5"/>
      <c r="W316" s="5"/>
      <c r="X316" s="5"/>
      <c r="Y316" s="5" t="s">
        <v>553</v>
      </c>
    </row>
    <row r="317" spans="1:25" x14ac:dyDescent="0.25">
      <c r="A317" s="5" t="s">
        <v>1872</v>
      </c>
      <c r="B317" s="5" t="s">
        <v>1873</v>
      </c>
      <c r="C317" s="5" t="s">
        <v>128</v>
      </c>
      <c r="D317" s="5" t="s">
        <v>76</v>
      </c>
      <c r="E317" s="5" t="s">
        <v>45</v>
      </c>
      <c r="F317" s="5" t="s">
        <v>107</v>
      </c>
      <c r="G317" s="5" t="s">
        <v>57</v>
      </c>
      <c r="H317" s="5" t="s">
        <v>1866</v>
      </c>
      <c r="I317" s="5" t="s">
        <v>123</v>
      </c>
      <c r="J317" s="5" t="s">
        <v>1875</v>
      </c>
      <c r="K317" s="5"/>
      <c r="L317" s="5"/>
      <c r="M317" s="5"/>
      <c r="N317" s="5" t="s">
        <v>66</v>
      </c>
      <c r="O317" s="5"/>
      <c r="P317" s="6">
        <f>IF(A317="","",COUNTA(D317:F317)+COUNTA(G317:G317)+COUNTA(H317:H317)+COUNTA(I317:I317))</f>
        <v>6</v>
      </c>
      <c r="Q317" s="6" t="str">
        <f>IF(A317="","",IF(AND(P317=6,UPPER(L317)&lt;&gt;"Y",C317&lt;&gt;""),"Yes","No"))</f>
        <v>Yes</v>
      </c>
      <c r="R317" s="5" t="s">
        <v>51</v>
      </c>
      <c r="S317" s="5" t="s">
        <v>1876</v>
      </c>
      <c r="T317" s="5" t="s">
        <v>1877</v>
      </c>
      <c r="U317" s="5" t="s">
        <v>1866</v>
      </c>
      <c r="V317" s="5"/>
      <c r="W317" s="5" t="s">
        <v>128</v>
      </c>
      <c r="X317" s="5" t="s">
        <v>1878</v>
      </c>
      <c r="Y317" s="5" t="s">
        <v>88</v>
      </c>
    </row>
    <row r="318" spans="1:25" x14ac:dyDescent="0.25">
      <c r="A318" s="5" t="s">
        <v>1033</v>
      </c>
      <c r="B318" s="5"/>
      <c r="C318" s="5" t="s">
        <v>128</v>
      </c>
      <c r="D318" s="5" t="s">
        <v>44</v>
      </c>
      <c r="E318" s="5" t="s">
        <v>45</v>
      </c>
      <c r="F318" s="5" t="s">
        <v>46</v>
      </c>
      <c r="G318" s="5" t="s">
        <v>57</v>
      </c>
      <c r="H318" s="5" t="s">
        <v>1162</v>
      </c>
      <c r="I318" s="5" t="s">
        <v>72</v>
      </c>
      <c r="J318" s="5" t="s">
        <v>59</v>
      </c>
      <c r="K318" s="5" t="s">
        <v>1034</v>
      </c>
      <c r="L318" s="5"/>
      <c r="M318" s="5"/>
      <c r="N318" s="5" t="s">
        <v>66</v>
      </c>
      <c r="O318" s="5"/>
      <c r="P318" s="6">
        <f>IF(A318="","",COUNTA(D318:F318)+COUNTA(G318:G318)+COUNTA(H318:H318)+COUNTA(I318:I318))</f>
        <v>6</v>
      </c>
      <c r="Q318" s="6" t="str">
        <f>IF(A318="","",IF(AND(P318=6,UPPER(L318)&lt;&gt;"Y",C318&lt;&gt;""),"Yes","No"))</f>
        <v>Yes</v>
      </c>
      <c r="R318" s="5" t="s">
        <v>51</v>
      </c>
      <c r="S318" s="5"/>
      <c r="T318" s="5" t="s">
        <v>1035</v>
      </c>
      <c r="U318" s="5"/>
      <c r="V318" s="5" t="s">
        <v>57</v>
      </c>
      <c r="W318" s="5" t="s">
        <v>128</v>
      </c>
      <c r="X318" s="5" t="s">
        <v>293</v>
      </c>
      <c r="Y318" s="5"/>
    </row>
    <row r="319" spans="1:25" x14ac:dyDescent="0.25">
      <c r="A319" s="5" t="s">
        <v>1917</v>
      </c>
      <c r="B319" s="5"/>
      <c r="C319" s="5" t="s">
        <v>128</v>
      </c>
      <c r="D319" s="5" t="s">
        <v>44</v>
      </c>
      <c r="E319" s="5" t="s">
        <v>45</v>
      </c>
      <c r="F319" s="5" t="s">
        <v>107</v>
      </c>
      <c r="G319" s="5" t="s">
        <v>57</v>
      </c>
      <c r="H319" s="5" t="s">
        <v>1162</v>
      </c>
      <c r="I319" s="5" t="s">
        <v>192</v>
      </c>
      <c r="J319" s="5" t="s">
        <v>1919</v>
      </c>
      <c r="K319" s="5"/>
      <c r="L319" s="5"/>
      <c r="M319" s="5"/>
      <c r="N319" s="5" t="s">
        <v>66</v>
      </c>
      <c r="O319" s="5"/>
      <c r="P319" s="6">
        <f>IF(A319="","",COUNTA(D319:F319)+COUNTA(G319:G319)+COUNTA(H319:H319)+COUNTA(I319:I319))</f>
        <v>6</v>
      </c>
      <c r="Q319" s="6" t="str">
        <f>IF(A319="","",IF(AND(P319=6,UPPER(L319)&lt;&gt;"Y",C319&lt;&gt;""),"Yes","No"))</f>
        <v>Yes</v>
      </c>
      <c r="R319" s="5" t="s">
        <v>51</v>
      </c>
      <c r="S319" s="5" t="s">
        <v>1918</v>
      </c>
      <c r="T319" s="5" t="s">
        <v>1920</v>
      </c>
      <c r="U319" s="5" t="s">
        <v>1921</v>
      </c>
      <c r="V319" s="5" t="s">
        <v>57</v>
      </c>
      <c r="W319" s="5" t="s">
        <v>128</v>
      </c>
      <c r="X319" s="5" t="s">
        <v>1922</v>
      </c>
      <c r="Y319" s="5"/>
    </row>
    <row r="320" spans="1:25" x14ac:dyDescent="0.25">
      <c r="A320" s="5" t="s">
        <v>1036</v>
      </c>
      <c r="B320" s="5"/>
      <c r="C320" s="5" t="s">
        <v>70</v>
      </c>
      <c r="D320" s="5" t="s">
        <v>44</v>
      </c>
      <c r="E320" s="5"/>
      <c r="F320" s="5"/>
      <c r="G320" s="5"/>
      <c r="H320" s="5"/>
      <c r="I320" s="5"/>
      <c r="J320" s="5"/>
      <c r="K320" s="5"/>
      <c r="L320" s="5"/>
      <c r="M320" s="5"/>
      <c r="N320" s="5" t="s">
        <v>124</v>
      </c>
      <c r="O320" s="5"/>
      <c r="P320" s="6">
        <f>IF(A320="","",COUNTA(D320:F320)+COUNTA(G320:G320)+COUNTA(H320:H320)+COUNTA(I320:I320))</f>
        <v>1</v>
      </c>
      <c r="Q320" s="6" t="str">
        <f>IF(A320="","",IF(AND(P320=6,UPPER(L320)&lt;&gt;"Y",C320&lt;&gt;""),"Yes","No"))</f>
        <v>No</v>
      </c>
      <c r="R320" s="5" t="s">
        <v>125</v>
      </c>
      <c r="S320" s="5"/>
      <c r="T320" s="5"/>
      <c r="U320" s="5"/>
      <c r="V320" s="5"/>
      <c r="W320" s="5"/>
      <c r="X320" s="5"/>
      <c r="Y320" s="5" t="s">
        <v>553</v>
      </c>
    </row>
    <row r="321" spans="1:25" x14ac:dyDescent="0.25">
      <c r="A321" s="5" t="s">
        <v>1037</v>
      </c>
      <c r="B321" s="5"/>
      <c r="C321" s="5" t="s">
        <v>43</v>
      </c>
      <c r="D321" s="5" t="s">
        <v>44</v>
      </c>
      <c r="E321" s="5" t="s">
        <v>45</v>
      </c>
      <c r="F321" s="5" t="s">
        <v>46</v>
      </c>
      <c r="G321" s="5" t="s">
        <v>57</v>
      </c>
      <c r="H321" s="5" t="s">
        <v>207</v>
      </c>
      <c r="I321" s="5" t="s">
        <v>72</v>
      </c>
      <c r="J321" s="5" t="s">
        <v>119</v>
      </c>
      <c r="K321" s="5" t="s">
        <v>1038</v>
      </c>
      <c r="L321" s="5"/>
      <c r="M321" s="5"/>
      <c r="N321" s="5" t="s">
        <v>110</v>
      </c>
      <c r="O321" s="5"/>
      <c r="P321" s="6">
        <f>IF(A321="","",COUNTA(D321:F321)+COUNTA(G321:G321)+COUNTA(H321:H321)+COUNTA(I321:I321))</f>
        <v>6</v>
      </c>
      <c r="Q321" s="6" t="str">
        <f>IF(A321="","",IF(AND(P321=6,UPPER(L321)&lt;&gt;"Y",C321&lt;&gt;""),"Yes","No"))</f>
        <v>Yes</v>
      </c>
      <c r="R321" s="5" t="s">
        <v>112</v>
      </c>
      <c r="S321" s="5" t="s">
        <v>1039</v>
      </c>
      <c r="T321" s="5" t="s">
        <v>1040</v>
      </c>
      <c r="U321" s="5" t="s">
        <v>211</v>
      </c>
      <c r="V321" s="5"/>
      <c r="W321" s="5" t="s">
        <v>43</v>
      </c>
      <c r="X321" s="5" t="s">
        <v>1031</v>
      </c>
      <c r="Y321" s="5" t="s">
        <v>487</v>
      </c>
    </row>
    <row r="322" spans="1:25" x14ac:dyDescent="0.25">
      <c r="A322" s="5" t="s">
        <v>1041</v>
      </c>
      <c r="B322" s="5"/>
      <c r="C322" s="5" t="s">
        <v>43</v>
      </c>
      <c r="D322" s="5" t="s">
        <v>44</v>
      </c>
      <c r="E322" s="5" t="s">
        <v>45</v>
      </c>
      <c r="F322" s="5" t="s">
        <v>107</v>
      </c>
      <c r="G322" s="5" t="s">
        <v>47</v>
      </c>
      <c r="H322" s="5" t="s">
        <v>58</v>
      </c>
      <c r="I322" s="5" t="s">
        <v>59</v>
      </c>
      <c r="J322" s="5"/>
      <c r="K322" s="5" t="s">
        <v>59</v>
      </c>
      <c r="L322" s="5"/>
      <c r="M322" s="5"/>
      <c r="N322" s="5" t="s">
        <v>50</v>
      </c>
      <c r="O322" s="5"/>
      <c r="P322" s="6">
        <f>IF(A322="","",COUNTA(D322:F322)+COUNTA(G322:G322)+COUNTA(H322:H322)+COUNTA(I322:I322))</f>
        <v>6</v>
      </c>
      <c r="Q322" s="6" t="str">
        <f>IF(A322="","",IF(AND(P322=6,UPPER(L322)&lt;&gt;"Y",C322&lt;&gt;""),"Yes","No"))</f>
        <v>Yes</v>
      </c>
      <c r="R322" s="5" t="s">
        <v>51</v>
      </c>
      <c r="S322" s="5"/>
      <c r="T322" s="5" t="s">
        <v>1042</v>
      </c>
      <c r="U322" s="5" t="s">
        <v>63</v>
      </c>
      <c r="V322" s="5"/>
      <c r="W322" s="5" t="s">
        <v>43</v>
      </c>
      <c r="X322" s="5" t="s">
        <v>389</v>
      </c>
      <c r="Y322" s="5" t="s">
        <v>94</v>
      </c>
    </row>
    <row r="323" spans="1:25" x14ac:dyDescent="0.25">
      <c r="A323" s="5" t="s">
        <v>1043</v>
      </c>
      <c r="B323" s="5"/>
      <c r="C323" s="5" t="s">
        <v>43</v>
      </c>
      <c r="D323" s="5"/>
      <c r="E323" s="5" t="s">
        <v>331</v>
      </c>
      <c r="F323" s="5"/>
      <c r="G323" s="5"/>
      <c r="H323" s="5" t="s">
        <v>332</v>
      </c>
      <c r="I323" s="5"/>
      <c r="J323" s="5"/>
      <c r="K323" s="5"/>
      <c r="L323" s="5"/>
      <c r="M323" s="5"/>
      <c r="N323" s="5" t="s">
        <v>50</v>
      </c>
      <c r="O323" s="5"/>
      <c r="P323" s="6">
        <f>IF(A323="","",COUNTA(D323:F323)+COUNTA(G323:G323)+COUNTA(H323:H323)+COUNTA(I323:I323))</f>
        <v>2</v>
      </c>
      <c r="Q323" s="6" t="str">
        <f>IF(A323="","",IF(AND(P323=6,UPPER(L323)&lt;&gt;"Y",C323&lt;&gt;""),"Yes","No"))</f>
        <v>No</v>
      </c>
      <c r="R323" s="5" t="s">
        <v>51</v>
      </c>
      <c r="S323" s="5"/>
      <c r="T323" s="5"/>
      <c r="U323" s="5" t="s">
        <v>332</v>
      </c>
      <c r="V323" s="5"/>
      <c r="W323" s="5" t="s">
        <v>43</v>
      </c>
      <c r="X323" s="5"/>
      <c r="Y323" s="5" t="s">
        <v>1044</v>
      </c>
    </row>
    <row r="324" spans="1:25" x14ac:dyDescent="0.25">
      <c r="A324" s="5" t="s">
        <v>1045</v>
      </c>
      <c r="B324" s="5"/>
      <c r="C324" s="5" t="s">
        <v>70</v>
      </c>
      <c r="D324" s="5" t="s">
        <v>44</v>
      </c>
      <c r="E324" s="5"/>
      <c r="F324" s="5" t="s">
        <v>107</v>
      </c>
      <c r="G324" s="5"/>
      <c r="H324" s="5" t="s">
        <v>572</v>
      </c>
      <c r="I324" s="5"/>
      <c r="J324" s="5"/>
      <c r="K324" s="5" t="s">
        <v>139</v>
      </c>
      <c r="L324" s="5"/>
      <c r="M324" s="5"/>
      <c r="N324" s="5" t="s">
        <v>124</v>
      </c>
      <c r="O324" s="5"/>
      <c r="P324" s="6">
        <f>IF(A324="","",COUNTA(D324:F324)+COUNTA(G324:G324)+COUNTA(H324:H324)+COUNTA(I324:I324))</f>
        <v>3</v>
      </c>
      <c r="Q324" s="6" t="str">
        <f>IF(A324="","",IF(AND(P324=6,UPPER(L324)&lt;&gt;"Y",C324&lt;&gt;""),"Yes","No"))</f>
        <v>No</v>
      </c>
      <c r="R324" s="5" t="s">
        <v>125</v>
      </c>
      <c r="S324" s="5" t="s">
        <v>1046</v>
      </c>
      <c r="T324" s="5"/>
      <c r="U324" s="5" t="s">
        <v>572</v>
      </c>
      <c r="V324" s="5"/>
      <c r="W324" s="5"/>
      <c r="X324" s="5"/>
      <c r="Y324" s="5" t="s">
        <v>1047</v>
      </c>
    </row>
    <row r="325" spans="1:25" x14ac:dyDescent="0.25">
      <c r="A325" s="5" t="s">
        <v>1048</v>
      </c>
      <c r="B325" s="5"/>
      <c r="C325" s="5" t="s">
        <v>43</v>
      </c>
      <c r="D325" s="5"/>
      <c r="E325" s="5"/>
      <c r="F325" s="5"/>
      <c r="G325" s="5" t="s">
        <v>47</v>
      </c>
      <c r="H325" s="5"/>
      <c r="I325" s="5"/>
      <c r="J325" s="5"/>
      <c r="K325" s="5"/>
      <c r="L325" s="5"/>
      <c r="M325" s="5"/>
      <c r="N325" s="5" t="s">
        <v>50</v>
      </c>
      <c r="O325" s="5"/>
      <c r="P325" s="6">
        <f>IF(A325="","",COUNTA(D325:F325)+COUNTA(G325:G325)+COUNTA(H325:H325)+COUNTA(I325:I325))</f>
        <v>1</v>
      </c>
      <c r="Q325" s="6" t="str">
        <f>IF(A325="","",IF(AND(P325=6,UPPER(L325)&lt;&gt;"Y",C325&lt;&gt;""),"Yes","No"))</f>
        <v>No</v>
      </c>
      <c r="R325" s="5" t="s">
        <v>51</v>
      </c>
      <c r="S325" s="5"/>
      <c r="T325" s="5"/>
      <c r="U325" s="5"/>
      <c r="V325" s="5"/>
      <c r="W325" s="5" t="s">
        <v>43</v>
      </c>
      <c r="X325" s="5" t="s">
        <v>68</v>
      </c>
      <c r="Y325" s="5" t="s">
        <v>547</v>
      </c>
    </row>
    <row r="326" spans="1:25" x14ac:dyDescent="0.25">
      <c r="A326" s="5" t="s">
        <v>1049</v>
      </c>
      <c r="B326" s="5" t="s">
        <v>1050</v>
      </c>
      <c r="C326" s="5" t="s">
        <v>43</v>
      </c>
      <c r="D326" s="5" t="s">
        <v>44</v>
      </c>
      <c r="E326" s="5" t="s">
        <v>45</v>
      </c>
      <c r="F326" s="5" t="s">
        <v>46</v>
      </c>
      <c r="G326" s="5" t="s">
        <v>47</v>
      </c>
      <c r="H326" s="5" t="s">
        <v>313</v>
      </c>
      <c r="I326" s="5" t="s">
        <v>123</v>
      </c>
      <c r="J326" s="5"/>
      <c r="K326" s="5" t="s">
        <v>123</v>
      </c>
      <c r="L326" s="5"/>
      <c r="M326" s="5"/>
      <c r="N326" s="5" t="s">
        <v>66</v>
      </c>
      <c r="O326" s="5"/>
      <c r="P326" s="6">
        <f>IF(A326="","",COUNTA(D326:F326)+COUNTA(G326:G326)+COUNTA(H326:H326)+COUNTA(I326:I326))</f>
        <v>6</v>
      </c>
      <c r="Q326" s="6" t="str">
        <f>IF(A326="","",IF(AND(P326=6,UPPER(L326)&lt;&gt;"Y",C326&lt;&gt;""),"Yes","No"))</f>
        <v>Yes</v>
      </c>
      <c r="R326" s="5" t="s">
        <v>51</v>
      </c>
      <c r="S326" s="5" t="s">
        <v>1051</v>
      </c>
      <c r="T326" s="5" t="s">
        <v>1052</v>
      </c>
      <c r="U326" s="5" t="s">
        <v>316</v>
      </c>
      <c r="V326" s="5" t="s">
        <v>1053</v>
      </c>
      <c r="W326" s="5" t="s">
        <v>43</v>
      </c>
      <c r="X326" s="5"/>
      <c r="Y326" s="5" t="s">
        <v>242</v>
      </c>
    </row>
    <row r="327" spans="1:25" x14ac:dyDescent="0.25">
      <c r="A327" s="5" t="s">
        <v>1054</v>
      </c>
      <c r="B327" s="5"/>
      <c r="C327" s="5" t="s">
        <v>43</v>
      </c>
      <c r="D327" s="5" t="s">
        <v>76</v>
      </c>
      <c r="E327" s="5" t="s">
        <v>45</v>
      </c>
      <c r="F327" s="5" t="s">
        <v>46</v>
      </c>
      <c r="G327" s="5" t="s">
        <v>47</v>
      </c>
      <c r="H327" s="5" t="s">
        <v>322</v>
      </c>
      <c r="I327" s="5" t="s">
        <v>72</v>
      </c>
      <c r="J327" s="5"/>
      <c r="K327" s="5" t="s">
        <v>72</v>
      </c>
      <c r="L327" s="5"/>
      <c r="M327" s="5"/>
      <c r="N327" s="5" t="s">
        <v>66</v>
      </c>
      <c r="O327" s="5"/>
      <c r="P327" s="6">
        <f>IF(A327="","",COUNTA(D327:F327)+COUNTA(G327:G327)+COUNTA(H327:H327)+COUNTA(I327:I327))</f>
        <v>6</v>
      </c>
      <c r="Q327" s="6" t="str">
        <f>IF(A327="","",IF(AND(P327=6,UPPER(L327)&lt;&gt;"Y",C327&lt;&gt;""),"Yes","No"))</f>
        <v>Yes</v>
      </c>
      <c r="R327" s="5" t="s">
        <v>51</v>
      </c>
      <c r="S327" s="5" t="s">
        <v>1055</v>
      </c>
      <c r="T327" s="5" t="s">
        <v>1056</v>
      </c>
      <c r="U327" s="5" t="s">
        <v>322</v>
      </c>
      <c r="V327" s="5" t="s">
        <v>67</v>
      </c>
      <c r="W327" s="5" t="s">
        <v>43</v>
      </c>
      <c r="X327" s="5" t="s">
        <v>684</v>
      </c>
      <c r="Y327" s="5" t="s">
        <v>88</v>
      </c>
    </row>
    <row r="328" spans="1:25" x14ac:dyDescent="0.25">
      <c r="A328" s="5" t="s">
        <v>1057</v>
      </c>
      <c r="B328" s="5"/>
      <c r="C328" s="5" t="s">
        <v>43</v>
      </c>
      <c r="D328" s="5" t="s">
        <v>44</v>
      </c>
      <c r="E328" s="5" t="s">
        <v>331</v>
      </c>
      <c r="F328" s="5" t="s">
        <v>46</v>
      </c>
      <c r="G328" s="5" t="s">
        <v>47</v>
      </c>
      <c r="H328" s="5" t="s">
        <v>332</v>
      </c>
      <c r="I328" s="5" t="s">
        <v>91</v>
      </c>
      <c r="J328" s="5"/>
      <c r="K328" s="5" t="s">
        <v>91</v>
      </c>
      <c r="L328" s="5"/>
      <c r="M328" s="5"/>
      <c r="N328" s="5" t="s">
        <v>50</v>
      </c>
      <c r="O328" s="5"/>
      <c r="P328" s="6">
        <f>IF(A328="","",COUNTA(D328:F328)+COUNTA(G328:G328)+COUNTA(H328:H328)+COUNTA(I328:I328))</f>
        <v>6</v>
      </c>
      <c r="Q328" s="6" t="str">
        <f>IF(A328="","",IF(AND(P328=6,UPPER(L328)&lt;&gt;"Y",C328&lt;&gt;""),"Yes","No"))</f>
        <v>Yes</v>
      </c>
      <c r="R328" s="5" t="s">
        <v>51</v>
      </c>
      <c r="S328" s="5"/>
      <c r="T328" s="5" t="s">
        <v>1058</v>
      </c>
      <c r="U328" s="5" t="s">
        <v>332</v>
      </c>
      <c r="V328" s="5"/>
      <c r="W328" s="5" t="s">
        <v>43</v>
      </c>
      <c r="X328" s="5"/>
      <c r="Y328" s="5" t="s">
        <v>1059</v>
      </c>
    </row>
    <row r="329" spans="1:25" x14ac:dyDescent="0.25">
      <c r="A329" s="5" t="s">
        <v>1060</v>
      </c>
      <c r="B329" s="5"/>
      <c r="C329" s="5"/>
      <c r="D329" s="5"/>
      <c r="E329" s="5" t="s">
        <v>45</v>
      </c>
      <c r="F329" s="5" t="s">
        <v>46</v>
      </c>
      <c r="G329" s="5"/>
      <c r="H329" s="5" t="s">
        <v>58</v>
      </c>
      <c r="I329" s="5" t="s">
        <v>123</v>
      </c>
      <c r="J329" s="5"/>
      <c r="K329" s="5" t="s">
        <v>123</v>
      </c>
      <c r="L329" s="5"/>
      <c r="M329" s="5"/>
      <c r="N329" s="5" t="s">
        <v>66</v>
      </c>
      <c r="O329" s="5" t="s">
        <v>163</v>
      </c>
      <c r="P329" s="6">
        <f>IF(A329="","",COUNTA(D329:F329)+COUNTA(G329:G329)+COUNTA(H329:H329)+COUNTA(I329:I329))</f>
        <v>4</v>
      </c>
      <c r="Q329" s="6" t="str">
        <f>IF(A329="","",IF(AND(P329=6,UPPER(L329)&lt;&gt;"Y",C329&lt;&gt;""),"Yes","No"))</f>
        <v>No</v>
      </c>
      <c r="R329" s="5" t="s">
        <v>51</v>
      </c>
      <c r="S329" s="5" t="s">
        <v>1061</v>
      </c>
      <c r="T329" s="5" t="s">
        <v>1062</v>
      </c>
      <c r="U329" s="5" t="s">
        <v>63</v>
      </c>
      <c r="V329" s="5"/>
      <c r="W329" s="5" t="s">
        <v>166</v>
      </c>
      <c r="X329" s="5"/>
      <c r="Y329" s="5" t="s">
        <v>392</v>
      </c>
    </row>
    <row r="330" spans="1:25" x14ac:dyDescent="0.25">
      <c r="A330" s="5" t="s">
        <v>437</v>
      </c>
      <c r="B330" s="5"/>
      <c r="C330" s="5" t="s">
        <v>43</v>
      </c>
      <c r="D330" s="5" t="s">
        <v>44</v>
      </c>
      <c r="E330" s="5" t="s">
        <v>45</v>
      </c>
      <c r="F330" s="5" t="s">
        <v>46</v>
      </c>
      <c r="G330" s="5" t="s">
        <v>57</v>
      </c>
      <c r="H330" s="5" t="s">
        <v>58</v>
      </c>
      <c r="I330" s="5" t="s">
        <v>91</v>
      </c>
      <c r="J330" s="5" t="s">
        <v>178</v>
      </c>
      <c r="K330" s="5" t="s">
        <v>1063</v>
      </c>
      <c r="L330" s="5"/>
      <c r="M330" s="5"/>
      <c r="N330" s="5" t="s">
        <v>50</v>
      </c>
      <c r="O330" s="5"/>
      <c r="P330" s="6">
        <f>IF(A330="","",COUNTA(D330:F330)+COUNTA(G330:G330)+COUNTA(H330:H330)+COUNTA(I330:I330))</f>
        <v>6</v>
      </c>
      <c r="Q330" s="6" t="str">
        <f>IF(A330="","",IF(AND(P330=6,UPPER(L330)&lt;&gt;"Y",C330&lt;&gt;""),"Yes","No"))</f>
        <v>Yes</v>
      </c>
      <c r="R330" s="5" t="s">
        <v>51</v>
      </c>
      <c r="S330" s="5"/>
      <c r="T330" s="5" t="s">
        <v>1064</v>
      </c>
      <c r="U330" s="5" t="s">
        <v>63</v>
      </c>
      <c r="V330" s="5" t="s">
        <v>57</v>
      </c>
      <c r="W330" s="5" t="s">
        <v>43</v>
      </c>
      <c r="X330" s="5"/>
      <c r="Y330" s="5" t="s">
        <v>1065</v>
      </c>
    </row>
    <row r="331" spans="1:25" x14ac:dyDescent="0.25">
      <c r="A331" s="5" t="s">
        <v>1066</v>
      </c>
      <c r="B331" s="5"/>
      <c r="C331" s="5" t="s">
        <v>43</v>
      </c>
      <c r="D331" s="5" t="s">
        <v>76</v>
      </c>
      <c r="E331" s="5"/>
      <c r="F331" s="5"/>
      <c r="G331" s="5"/>
      <c r="H331" s="5" t="s">
        <v>594</v>
      </c>
      <c r="I331" s="5" t="s">
        <v>123</v>
      </c>
      <c r="J331" s="5"/>
      <c r="K331" s="5" t="s">
        <v>123</v>
      </c>
      <c r="L331" s="5"/>
      <c r="M331" s="5"/>
      <c r="N331" s="5" t="s">
        <v>50</v>
      </c>
      <c r="O331" s="5"/>
      <c r="P331" s="6">
        <f>IF(A331="","",COUNTA(D331:F331)+COUNTA(G331:G331)+COUNTA(H331:H331)+COUNTA(I331:I331))</f>
        <v>3</v>
      </c>
      <c r="Q331" s="6" t="str">
        <f>IF(A331="","",IF(AND(P331=6,UPPER(L331)&lt;&gt;"Y",C331&lt;&gt;""),"Yes","No"))</f>
        <v>No</v>
      </c>
      <c r="R331" s="5" t="s">
        <v>51</v>
      </c>
      <c r="S331" s="5"/>
      <c r="T331" s="5" t="s">
        <v>1067</v>
      </c>
      <c r="U331" s="5" t="s">
        <v>772</v>
      </c>
      <c r="V331" s="5"/>
      <c r="W331" s="5" t="s">
        <v>43</v>
      </c>
      <c r="X331" s="5"/>
      <c r="Y331" s="5" t="s">
        <v>136</v>
      </c>
    </row>
    <row r="332" spans="1:25" x14ac:dyDescent="0.25">
      <c r="A332" s="5" t="s">
        <v>1068</v>
      </c>
      <c r="B332" s="5"/>
      <c r="C332" s="5" t="s">
        <v>43</v>
      </c>
      <c r="D332" s="5" t="s">
        <v>76</v>
      </c>
      <c r="E332" s="5" t="s">
        <v>331</v>
      </c>
      <c r="F332" s="5" t="s">
        <v>107</v>
      </c>
      <c r="G332" s="5"/>
      <c r="H332" s="5" t="s">
        <v>58</v>
      </c>
      <c r="I332" s="5"/>
      <c r="J332" s="5"/>
      <c r="K332" s="5"/>
      <c r="L332" s="5"/>
      <c r="M332" s="5"/>
      <c r="N332" s="5" t="s">
        <v>50</v>
      </c>
      <c r="O332" s="5"/>
      <c r="P332" s="6">
        <f>IF(A332="","",COUNTA(D332:F332)+COUNTA(G332:G332)+COUNTA(H332:H332)+COUNTA(I332:I332))</f>
        <v>4</v>
      </c>
      <c r="Q332" s="6" t="str">
        <f>IF(A332="","",IF(AND(P332=6,UPPER(L332)&lt;&gt;"Y",C332&lt;&gt;""),"Yes","No"))</f>
        <v>No</v>
      </c>
      <c r="R332" s="5" t="s">
        <v>51</v>
      </c>
      <c r="S332" s="5" t="s">
        <v>1069</v>
      </c>
      <c r="T332" s="5" t="s">
        <v>1070</v>
      </c>
      <c r="U332" s="5" t="s">
        <v>63</v>
      </c>
      <c r="V332" s="5"/>
      <c r="W332" s="5" t="s">
        <v>43</v>
      </c>
      <c r="X332" s="5"/>
      <c r="Y332" s="5" t="s">
        <v>1071</v>
      </c>
    </row>
    <row r="333" spans="1:25" x14ac:dyDescent="0.25">
      <c r="A333" s="5" t="s">
        <v>1072</v>
      </c>
      <c r="B333" s="5"/>
      <c r="C333" s="5" t="s">
        <v>43</v>
      </c>
      <c r="D333" s="5" t="s">
        <v>44</v>
      </c>
      <c r="E333" s="5" t="s">
        <v>45</v>
      </c>
      <c r="F333" s="5" t="s">
        <v>107</v>
      </c>
      <c r="G333" s="5" t="s">
        <v>1851</v>
      </c>
      <c r="H333" s="5" t="s">
        <v>96</v>
      </c>
      <c r="I333" s="5" t="s">
        <v>59</v>
      </c>
      <c r="J333" s="5"/>
      <c r="K333" s="5" t="s">
        <v>1073</v>
      </c>
      <c r="L333" s="5"/>
      <c r="M333" s="5"/>
      <c r="N333" s="5" t="s">
        <v>50</v>
      </c>
      <c r="O333" s="5"/>
      <c r="P333" s="6">
        <f>IF(A333="","",COUNTA(D333:F333)+COUNTA(G333:G333)+COUNTA(H333:H333)+COUNTA(I333:I333))</f>
        <v>6</v>
      </c>
      <c r="Q333" s="6" t="str">
        <f>IF(A333="","",IF(AND(P333=6,UPPER(L333)&lt;&gt;"Y",C333&lt;&gt;""),"Yes","No"))</f>
        <v>Yes</v>
      </c>
      <c r="R333" s="5" t="s">
        <v>51</v>
      </c>
      <c r="S333" s="5" t="s">
        <v>1074</v>
      </c>
      <c r="T333" s="5" t="s">
        <v>1075</v>
      </c>
      <c r="U333" s="5" t="s">
        <v>99</v>
      </c>
      <c r="V333" s="5"/>
      <c r="W333" s="5" t="s">
        <v>43</v>
      </c>
      <c r="X333" s="5" t="s">
        <v>675</v>
      </c>
      <c r="Y333" s="5" t="s">
        <v>347</v>
      </c>
    </row>
    <row r="334" spans="1:25" x14ac:dyDescent="0.25">
      <c r="A334" s="5" t="s">
        <v>1076</v>
      </c>
      <c r="B334" s="5"/>
      <c r="C334" s="5" t="s">
        <v>43</v>
      </c>
      <c r="D334" s="5" t="s">
        <v>44</v>
      </c>
      <c r="E334" s="5"/>
      <c r="F334" s="5"/>
      <c r="G334" s="5" t="s">
        <v>47</v>
      </c>
      <c r="H334" s="5" t="s">
        <v>313</v>
      </c>
      <c r="I334" s="5" t="s">
        <v>193</v>
      </c>
      <c r="J334" s="5" t="s">
        <v>119</v>
      </c>
      <c r="K334" s="5" t="s">
        <v>1077</v>
      </c>
      <c r="L334" s="5"/>
      <c r="M334" s="5"/>
      <c r="N334" s="5" t="s">
        <v>50</v>
      </c>
      <c r="O334" s="5"/>
      <c r="P334" s="6">
        <f>IF(A334="","",COUNTA(D334:F334)+COUNTA(G334:G334)+COUNTA(H334:H334)+COUNTA(I334:I334))</f>
        <v>4</v>
      </c>
      <c r="Q334" s="6" t="str">
        <f>IF(A334="","",IF(AND(P334=6,UPPER(L334)&lt;&gt;"Y",C334&lt;&gt;""),"Yes","No"))</f>
        <v>No</v>
      </c>
      <c r="R334" s="5" t="s">
        <v>51</v>
      </c>
      <c r="S334" s="5"/>
      <c r="T334" s="5" t="s">
        <v>1078</v>
      </c>
      <c r="U334" s="5" t="s">
        <v>316</v>
      </c>
      <c r="V334" s="5"/>
      <c r="W334" s="5" t="s">
        <v>43</v>
      </c>
      <c r="X334" s="5"/>
      <c r="Y334" s="5" t="s">
        <v>237</v>
      </c>
    </row>
    <row r="335" spans="1:25" x14ac:dyDescent="0.25">
      <c r="A335" s="5" t="s">
        <v>1079</v>
      </c>
      <c r="B335" s="5" t="s">
        <v>1080</v>
      </c>
      <c r="C335" s="5"/>
      <c r="D335" s="5"/>
      <c r="E335" s="5"/>
      <c r="F335" s="5"/>
      <c r="G335" s="5"/>
      <c r="H335" s="5" t="s">
        <v>915</v>
      </c>
      <c r="I335" s="5"/>
      <c r="J335" s="5"/>
      <c r="K335" s="5"/>
      <c r="L335" s="5"/>
      <c r="M335" s="5"/>
      <c r="N335" s="5" t="s">
        <v>66</v>
      </c>
      <c r="O335" s="5" t="s">
        <v>103</v>
      </c>
      <c r="P335" s="6">
        <f>IF(A335="","",COUNTA(D335:F335)+COUNTA(G335:G335)+COUNTA(H335:H335)+COUNTA(I335:I335))</f>
        <v>1</v>
      </c>
      <c r="Q335" s="6" t="str">
        <f>IF(A335="","",IF(AND(P335=6,UPPER(L335)&lt;&gt;"Y",C335&lt;&gt;""),"Yes","No"))</f>
        <v>No</v>
      </c>
      <c r="R335" s="5" t="s">
        <v>51</v>
      </c>
      <c r="S335" s="5"/>
      <c r="T335" s="5" t="s">
        <v>1081</v>
      </c>
      <c r="U335" s="5" t="s">
        <v>915</v>
      </c>
      <c r="V335" s="5"/>
      <c r="W335" s="5" t="s">
        <v>105</v>
      </c>
      <c r="X335" s="5"/>
      <c r="Y335" s="5"/>
    </row>
    <row r="336" spans="1:25" x14ac:dyDescent="0.25">
      <c r="A336" s="5" t="s">
        <v>1082</v>
      </c>
      <c r="B336" s="5"/>
      <c r="C336" s="5"/>
      <c r="D336" s="5"/>
      <c r="E336" s="5"/>
      <c r="F336" s="5" t="s">
        <v>46</v>
      </c>
      <c r="G336" s="5"/>
      <c r="H336" s="5" t="s">
        <v>377</v>
      </c>
      <c r="I336" s="5"/>
      <c r="J336" s="5"/>
      <c r="K336" s="5"/>
      <c r="L336" s="5"/>
      <c r="M336" s="5"/>
      <c r="N336" s="5" t="s">
        <v>66</v>
      </c>
      <c r="O336" s="5" t="s">
        <v>103</v>
      </c>
      <c r="P336" s="6">
        <f>IF(A336="","",COUNTA(D336:F336)+COUNTA(G336:G336)+COUNTA(H336:H336)+COUNTA(I336:I336))</f>
        <v>2</v>
      </c>
      <c r="Q336" s="6" t="str">
        <f>IF(A336="","",IF(AND(P336=6,UPPER(L336)&lt;&gt;"Y",C336&lt;&gt;""),"Yes","No"))</f>
        <v>No</v>
      </c>
      <c r="R336" s="5" t="s">
        <v>51</v>
      </c>
      <c r="S336" s="5"/>
      <c r="T336" s="5" t="s">
        <v>1083</v>
      </c>
      <c r="U336" s="5" t="s">
        <v>377</v>
      </c>
      <c r="V336" s="5"/>
      <c r="W336" s="5" t="s">
        <v>105</v>
      </c>
      <c r="X336" s="5"/>
      <c r="Y336" s="5" t="s">
        <v>583</v>
      </c>
    </row>
    <row r="337" spans="1:25" x14ac:dyDescent="0.25">
      <c r="A337" s="5" t="s">
        <v>1084</v>
      </c>
      <c r="B337" s="5"/>
      <c r="C337" s="5" t="s">
        <v>43</v>
      </c>
      <c r="D337" s="5" t="s">
        <v>76</v>
      </c>
      <c r="E337" s="5" t="s">
        <v>45</v>
      </c>
      <c r="F337" s="5" t="s">
        <v>107</v>
      </c>
      <c r="G337" s="5" t="s">
        <v>57</v>
      </c>
      <c r="H337" s="5" t="s">
        <v>77</v>
      </c>
      <c r="I337" s="5" t="s">
        <v>119</v>
      </c>
      <c r="J337" s="5"/>
      <c r="K337" s="5" t="s">
        <v>119</v>
      </c>
      <c r="L337" s="5"/>
      <c r="M337" s="5"/>
      <c r="N337" s="5" t="s">
        <v>110</v>
      </c>
      <c r="O337" s="5" t="s">
        <v>225</v>
      </c>
      <c r="P337" s="6">
        <f>IF(A337="","",COUNTA(D337:F337)+COUNTA(G337:G337)+COUNTA(H337:H337)+COUNTA(I337:I337))</f>
        <v>6</v>
      </c>
      <c r="Q337" s="6" t="str">
        <f>IF(A337="","",IF(AND(P337=6,UPPER(L337)&lt;&gt;"Y",C337&lt;&gt;""),"Yes","No"))</f>
        <v>Yes</v>
      </c>
      <c r="R337" s="5" t="s">
        <v>112</v>
      </c>
      <c r="S337" s="5" t="s">
        <v>1085</v>
      </c>
      <c r="T337" s="5" t="s">
        <v>1086</v>
      </c>
      <c r="U337" s="5" t="s">
        <v>420</v>
      </c>
      <c r="V337" s="5" t="s">
        <v>57</v>
      </c>
      <c r="W337" s="5" t="s">
        <v>43</v>
      </c>
      <c r="X337" s="5" t="s">
        <v>471</v>
      </c>
      <c r="Y337" s="5" t="s">
        <v>117</v>
      </c>
    </row>
    <row r="338" spans="1:25" x14ac:dyDescent="0.25">
      <c r="A338" s="5" t="s">
        <v>1087</v>
      </c>
      <c r="B338" s="5"/>
      <c r="C338" s="5" t="s">
        <v>43</v>
      </c>
      <c r="D338" s="5"/>
      <c r="E338" s="5"/>
      <c r="F338" s="5"/>
      <c r="G338" s="5" t="s">
        <v>47</v>
      </c>
      <c r="H338" s="5"/>
      <c r="I338" s="5"/>
      <c r="J338" s="5"/>
      <c r="K338" s="5"/>
      <c r="L338" s="5"/>
      <c r="M338" s="5"/>
      <c r="N338" s="5" t="s">
        <v>66</v>
      </c>
      <c r="O338" s="5"/>
      <c r="P338" s="6">
        <f>IF(A338="","",COUNTA(D338:F338)+COUNTA(G338:G338)+COUNTA(H338:H338)+COUNTA(I338:I338))</f>
        <v>1</v>
      </c>
      <c r="Q338" s="6" t="str">
        <f>IF(A338="","",IF(AND(P338=6,UPPER(L338)&lt;&gt;"Y",C338&lt;&gt;""),"Yes","No"))</f>
        <v>No</v>
      </c>
      <c r="R338" s="5" t="s">
        <v>51</v>
      </c>
      <c r="S338" s="5"/>
      <c r="T338" s="5"/>
      <c r="U338" s="5"/>
      <c r="V338" s="5" t="s">
        <v>67</v>
      </c>
      <c r="W338" s="5" t="s">
        <v>43</v>
      </c>
      <c r="X338" s="5" t="s">
        <v>68</v>
      </c>
      <c r="Y338" s="5"/>
    </row>
    <row r="339" spans="1:25" x14ac:dyDescent="0.25">
      <c r="A339" s="5" t="s">
        <v>1088</v>
      </c>
      <c r="B339" s="5"/>
      <c r="C339" s="5" t="s">
        <v>43</v>
      </c>
      <c r="D339" s="5" t="s">
        <v>76</v>
      </c>
      <c r="E339" s="5" t="s">
        <v>45</v>
      </c>
      <c r="F339" s="5" t="s">
        <v>107</v>
      </c>
      <c r="G339" s="5"/>
      <c r="H339" s="5" t="s">
        <v>1089</v>
      </c>
      <c r="I339" s="5" t="s">
        <v>192</v>
      </c>
      <c r="J339" s="5" t="s">
        <v>91</v>
      </c>
      <c r="K339" s="5" t="s">
        <v>1090</v>
      </c>
      <c r="L339" s="5"/>
      <c r="M339" s="5"/>
      <c r="N339" s="5" t="s">
        <v>50</v>
      </c>
      <c r="O339" s="5"/>
      <c r="P339" s="6">
        <f>IF(A339="","",COUNTA(D339:F339)+COUNTA(G339:G339)+COUNTA(H339:H339)+COUNTA(I339:I339))</f>
        <v>5</v>
      </c>
      <c r="Q339" s="6" t="str">
        <f>IF(A339="","",IF(AND(P339=6,UPPER(L339)&lt;&gt;"Y",C339&lt;&gt;""),"Yes","No"))</f>
        <v>No</v>
      </c>
      <c r="R339" s="5" t="s">
        <v>51</v>
      </c>
      <c r="S339" s="5" t="s">
        <v>1091</v>
      </c>
      <c r="T339" s="5" t="s">
        <v>1092</v>
      </c>
      <c r="U339" s="5" t="s">
        <v>1093</v>
      </c>
      <c r="V339" s="5"/>
      <c r="W339" s="5" t="s">
        <v>43</v>
      </c>
      <c r="X339" s="5"/>
      <c r="Y339" s="5" t="s">
        <v>55</v>
      </c>
    </row>
    <row r="340" spans="1:25" x14ac:dyDescent="0.25">
      <c r="A340" s="5" t="s">
        <v>1094</v>
      </c>
      <c r="B340" s="5"/>
      <c r="C340" s="5"/>
      <c r="D340" s="5"/>
      <c r="E340" s="5"/>
      <c r="F340" s="5"/>
      <c r="G340" s="5"/>
      <c r="H340" s="5" t="s">
        <v>377</v>
      </c>
      <c r="I340" s="5"/>
      <c r="J340" s="5"/>
      <c r="K340" s="5"/>
      <c r="L340" s="5"/>
      <c r="M340" s="5"/>
      <c r="N340" s="5" t="s">
        <v>66</v>
      </c>
      <c r="O340" s="5" t="s">
        <v>103</v>
      </c>
      <c r="P340" s="6">
        <f>IF(A340="","",COUNTA(D340:F340)+COUNTA(G340:G340)+COUNTA(H340:H340)+COUNTA(I340:I340))</f>
        <v>1</v>
      </c>
      <c r="Q340" s="6" t="str">
        <f>IF(A340="","",IF(AND(P340=6,UPPER(L340)&lt;&gt;"Y",C340&lt;&gt;""),"Yes","No"))</f>
        <v>No</v>
      </c>
      <c r="R340" s="5" t="s">
        <v>51</v>
      </c>
      <c r="S340" s="5"/>
      <c r="T340" s="5" t="s">
        <v>1095</v>
      </c>
      <c r="U340" s="5" t="s">
        <v>377</v>
      </c>
      <c r="V340" s="5"/>
      <c r="W340" s="5" t="s">
        <v>105</v>
      </c>
      <c r="X340" s="5"/>
      <c r="Y340" s="5"/>
    </row>
    <row r="341" spans="1:25" x14ac:dyDescent="0.25">
      <c r="A341" s="5" t="s">
        <v>1096</v>
      </c>
      <c r="B341" s="5"/>
      <c r="C341" s="5"/>
      <c r="D341" s="5"/>
      <c r="E341" s="5"/>
      <c r="F341" s="5"/>
      <c r="G341" s="5"/>
      <c r="H341" s="5" t="s">
        <v>557</v>
      </c>
      <c r="I341" s="5" t="s">
        <v>119</v>
      </c>
      <c r="J341" s="5" t="s">
        <v>91</v>
      </c>
      <c r="K341" s="5" t="s">
        <v>1097</v>
      </c>
      <c r="L341" s="5"/>
      <c r="M341" s="5"/>
      <c r="N341" s="5" t="s">
        <v>66</v>
      </c>
      <c r="O341" s="5" t="s">
        <v>103</v>
      </c>
      <c r="P341" s="6">
        <f>IF(A341="","",COUNTA(D341:F341)+COUNTA(G341:G341)+COUNTA(H341:H341)+COUNTA(I341:I341))</f>
        <v>2</v>
      </c>
      <c r="Q341" s="6" t="str">
        <f>IF(A341="","",IF(AND(P341=6,UPPER(L341)&lt;&gt;"Y",C341&lt;&gt;""),"Yes","No"))</f>
        <v>No</v>
      </c>
      <c r="R341" s="5" t="s">
        <v>51</v>
      </c>
      <c r="S341" s="5"/>
      <c r="T341" s="5" t="s">
        <v>1098</v>
      </c>
      <c r="U341" s="5" t="s">
        <v>557</v>
      </c>
      <c r="V341" s="5"/>
      <c r="W341" s="5" t="s">
        <v>105</v>
      </c>
      <c r="X341" s="5"/>
      <c r="Y341" s="5"/>
    </row>
    <row r="342" spans="1:25" x14ac:dyDescent="0.25">
      <c r="A342" s="5" t="s">
        <v>1099</v>
      </c>
      <c r="B342" s="5"/>
      <c r="C342" s="5"/>
      <c r="D342" s="5"/>
      <c r="E342" s="5"/>
      <c r="F342" s="5"/>
      <c r="G342" s="5"/>
      <c r="H342" s="5" t="s">
        <v>58</v>
      </c>
      <c r="I342" s="5"/>
      <c r="J342" s="5"/>
      <c r="K342" s="5"/>
      <c r="L342" s="5"/>
      <c r="M342" s="5"/>
      <c r="N342" s="5" t="s">
        <v>66</v>
      </c>
      <c r="O342" s="5" t="s">
        <v>103</v>
      </c>
      <c r="P342" s="6">
        <f>IF(A342="","",COUNTA(D342:F342)+COUNTA(G342:G342)+COUNTA(H342:H342)+COUNTA(I342:I342))</f>
        <v>1</v>
      </c>
      <c r="Q342" s="6" t="str">
        <f>IF(A342="","",IF(AND(P342=6,UPPER(L342)&lt;&gt;"Y",C342&lt;&gt;""),"Yes","No"))</f>
        <v>No</v>
      </c>
      <c r="R342" s="5" t="s">
        <v>51</v>
      </c>
      <c r="S342" s="5"/>
      <c r="T342" s="5"/>
      <c r="U342" s="5" t="s">
        <v>63</v>
      </c>
      <c r="V342" s="5"/>
      <c r="W342" s="5" t="s">
        <v>105</v>
      </c>
      <c r="X342" s="5"/>
      <c r="Y342" s="5"/>
    </row>
    <row r="343" spans="1:25" x14ac:dyDescent="0.25">
      <c r="A343" s="5" t="s">
        <v>1100</v>
      </c>
      <c r="B343" s="5"/>
      <c r="C343" s="5" t="s">
        <v>70</v>
      </c>
      <c r="D343" s="5" t="s">
        <v>44</v>
      </c>
      <c r="E343" s="5"/>
      <c r="F343" s="5"/>
      <c r="G343" s="5"/>
      <c r="H343" s="5"/>
      <c r="I343" s="5"/>
      <c r="J343" s="5"/>
      <c r="K343" s="5"/>
      <c r="L343" s="5"/>
      <c r="M343" s="5"/>
      <c r="N343" s="5" t="s">
        <v>124</v>
      </c>
      <c r="O343" s="5"/>
      <c r="P343" s="6">
        <f>IF(A343="","",COUNTA(D343:F343)+COUNTA(G343:G343)+COUNTA(H343:H343)+COUNTA(I343:I343))</f>
        <v>1</v>
      </c>
      <c r="Q343" s="6" t="str">
        <f>IF(A343="","",IF(AND(P343=6,UPPER(L343)&lt;&gt;"Y",C343&lt;&gt;""),"Yes","No"))</f>
        <v>No</v>
      </c>
      <c r="R343" s="5" t="s">
        <v>125</v>
      </c>
      <c r="S343" s="5"/>
      <c r="T343" s="5"/>
      <c r="U343" s="5"/>
      <c r="V343" s="5"/>
      <c r="W343" s="5"/>
      <c r="X343" s="5"/>
      <c r="Y343" s="5" t="s">
        <v>553</v>
      </c>
    </row>
    <row r="344" spans="1:25" x14ac:dyDescent="0.25">
      <c r="A344" s="5" t="s">
        <v>1101</v>
      </c>
      <c r="B344" s="5" t="s">
        <v>1861</v>
      </c>
      <c r="C344" s="5" t="s">
        <v>128</v>
      </c>
      <c r="D344" s="5" t="s">
        <v>44</v>
      </c>
      <c r="E344" s="5" t="s">
        <v>45</v>
      </c>
      <c r="F344" s="5" t="s">
        <v>107</v>
      </c>
      <c r="G344" s="5" t="s">
        <v>57</v>
      </c>
      <c r="H344" s="5" t="s">
        <v>1162</v>
      </c>
      <c r="I344" s="5" t="s">
        <v>192</v>
      </c>
      <c r="J344" s="5" t="s">
        <v>133</v>
      </c>
      <c r="K344" s="5" t="s">
        <v>234</v>
      </c>
      <c r="L344" s="5"/>
      <c r="M344" s="5"/>
      <c r="N344" s="5" t="s">
        <v>66</v>
      </c>
      <c r="O344" s="5"/>
      <c r="P344" s="6">
        <f>IF(A344="","",COUNTA(D344:F344)+COUNTA(G344:G344)+COUNTA(H344:H344)+COUNTA(I344:I344))</f>
        <v>6</v>
      </c>
      <c r="Q344" s="6" t="str">
        <f>IF(A344="","",IF(AND(P344=6,UPPER(L344)&lt;&gt;"Y",C344&lt;&gt;""),"Yes","No"))</f>
        <v>Yes</v>
      </c>
      <c r="R344" s="5" t="s">
        <v>51</v>
      </c>
      <c r="S344" s="5" t="s">
        <v>1102</v>
      </c>
      <c r="T344" s="5" t="s">
        <v>1103</v>
      </c>
      <c r="U344" s="5"/>
      <c r="V344" s="5"/>
      <c r="W344" s="5"/>
      <c r="X344" s="5"/>
      <c r="Y344" s="5" t="s">
        <v>167</v>
      </c>
    </row>
    <row r="345" spans="1:25" x14ac:dyDescent="0.25">
      <c r="A345" s="5" t="s">
        <v>1104</v>
      </c>
      <c r="B345" s="5"/>
      <c r="C345" s="5" t="s">
        <v>70</v>
      </c>
      <c r="D345" s="5"/>
      <c r="E345" s="5"/>
      <c r="F345" s="5"/>
      <c r="G345" s="5"/>
      <c r="H345" s="5"/>
      <c r="I345" s="5" t="s">
        <v>123</v>
      </c>
      <c r="J345" s="5"/>
      <c r="K345" s="5" t="s">
        <v>123</v>
      </c>
      <c r="L345" s="5"/>
      <c r="M345" s="5"/>
      <c r="N345" s="5" t="s">
        <v>124</v>
      </c>
      <c r="O345" s="5"/>
      <c r="P345" s="6">
        <f>IF(A345="","",COUNTA(D345:F345)+COUNTA(G345:G345)+COUNTA(H345:H345)+COUNTA(I345:I345))</f>
        <v>1</v>
      </c>
      <c r="Q345" s="6" t="str">
        <f>IF(A345="","",IF(AND(P345=6,UPPER(L345)&lt;&gt;"Y",C345&lt;&gt;""),"Yes","No"))</f>
        <v>No</v>
      </c>
      <c r="R345" s="5" t="s">
        <v>125</v>
      </c>
      <c r="S345" s="5"/>
      <c r="T345" s="5"/>
      <c r="U345" s="5"/>
      <c r="V345" s="5"/>
      <c r="W345" s="5"/>
      <c r="X345" s="5"/>
      <c r="Y345" s="5" t="s">
        <v>1105</v>
      </c>
    </row>
    <row r="346" spans="1:25" x14ac:dyDescent="0.25">
      <c r="A346" s="5" t="s">
        <v>1106</v>
      </c>
      <c r="B346" s="5"/>
      <c r="C346" s="5" t="s">
        <v>128</v>
      </c>
      <c r="D346" s="5" t="s">
        <v>76</v>
      </c>
      <c r="E346" s="5" t="s">
        <v>45</v>
      </c>
      <c r="F346" s="5" t="s">
        <v>107</v>
      </c>
      <c r="G346" s="5" t="s">
        <v>57</v>
      </c>
      <c r="H346" s="5" t="s">
        <v>1864</v>
      </c>
      <c r="I346" s="5" t="s">
        <v>91</v>
      </c>
      <c r="J346" s="5" t="s">
        <v>49</v>
      </c>
      <c r="K346" s="5"/>
      <c r="L346" s="5"/>
      <c r="M346" s="5"/>
      <c r="N346" s="5" t="s">
        <v>66</v>
      </c>
      <c r="O346" s="5"/>
      <c r="P346" s="6">
        <f>IF(A346="","",COUNTA(D346:F346)+COUNTA(G346:G346)+COUNTA(H346:H346)+COUNTA(I346:I346))</f>
        <v>6</v>
      </c>
      <c r="Q346" s="6" t="str">
        <f>IF(A346="","",IF(AND(P346=6,UPPER(L346)&lt;&gt;"Y",C346&lt;&gt;""),"Yes","No"))</f>
        <v>Yes</v>
      </c>
      <c r="R346" s="5" t="s">
        <v>51</v>
      </c>
      <c r="S346" s="5" t="s">
        <v>1896</v>
      </c>
      <c r="T346" s="5" t="s">
        <v>1895</v>
      </c>
      <c r="U346" s="5" t="s">
        <v>318</v>
      </c>
      <c r="V346" s="5" t="s">
        <v>57</v>
      </c>
      <c r="W346" s="5" t="s">
        <v>319</v>
      </c>
      <c r="X346" s="5" t="s">
        <v>320</v>
      </c>
      <c r="Y346" s="5"/>
    </row>
    <row r="347" spans="1:25" x14ac:dyDescent="0.25">
      <c r="A347" s="5" t="s">
        <v>1107</v>
      </c>
      <c r="B347" s="5"/>
      <c r="C347" s="5" t="s">
        <v>43</v>
      </c>
      <c r="D347" s="5" t="s">
        <v>44</v>
      </c>
      <c r="E347" s="5" t="s">
        <v>45</v>
      </c>
      <c r="F347" s="5" t="s">
        <v>107</v>
      </c>
      <c r="G347" s="5" t="s">
        <v>57</v>
      </c>
      <c r="H347" s="5" t="s">
        <v>58</v>
      </c>
      <c r="I347" s="5" t="s">
        <v>192</v>
      </c>
      <c r="J347" s="5"/>
      <c r="K347" s="5" t="s">
        <v>192</v>
      </c>
      <c r="L347" s="5"/>
      <c r="M347" s="5"/>
      <c r="N347" s="5" t="s">
        <v>50</v>
      </c>
      <c r="O347" s="5"/>
      <c r="P347" s="6">
        <f>IF(A347="","",COUNTA(D347:F347)+COUNTA(G347:G347)+COUNTA(H347:H347)+COUNTA(I347:I347))</f>
        <v>6</v>
      </c>
      <c r="Q347" s="6" t="str">
        <f>IF(A347="","",IF(AND(P347=6,UPPER(L347)&lt;&gt;"Y",C347&lt;&gt;""),"Yes","No"))</f>
        <v>Yes</v>
      </c>
      <c r="R347" s="5" t="s">
        <v>51</v>
      </c>
      <c r="S347" s="5"/>
      <c r="T347" s="5" t="s">
        <v>1108</v>
      </c>
      <c r="U347" s="5" t="s">
        <v>63</v>
      </c>
      <c r="V347" s="5"/>
      <c r="W347" s="5" t="s">
        <v>43</v>
      </c>
      <c r="X347" s="5"/>
      <c r="Y347" s="5" t="s">
        <v>64</v>
      </c>
    </row>
    <row r="348" spans="1:25" x14ac:dyDescent="0.25">
      <c r="A348" s="5" t="s">
        <v>1109</v>
      </c>
      <c r="B348" s="5"/>
      <c r="C348" s="5" t="s">
        <v>128</v>
      </c>
      <c r="D348" s="5"/>
      <c r="E348" s="5"/>
      <c r="F348" s="5"/>
      <c r="G348" s="5" t="s">
        <v>57</v>
      </c>
      <c r="H348" s="5" t="s">
        <v>58</v>
      </c>
      <c r="I348" s="5"/>
      <c r="J348" s="5"/>
      <c r="K348" s="5"/>
      <c r="L348" s="5"/>
      <c r="M348" s="5"/>
      <c r="N348" s="5" t="s">
        <v>66</v>
      </c>
      <c r="O348" s="5"/>
      <c r="P348" s="6">
        <f>IF(A348="","",COUNTA(D348:F348)+COUNTA(G348:G348)+COUNTA(H348:H348)+COUNTA(I348:I348))</f>
        <v>2</v>
      </c>
      <c r="Q348" s="6" t="str">
        <f>IF(A348="","",IF(AND(P348=6,UPPER(L348)&lt;&gt;"Y",C348&lt;&gt;""),"Yes","No"))</f>
        <v>No</v>
      </c>
      <c r="R348" s="5" t="s">
        <v>51</v>
      </c>
      <c r="S348" s="5"/>
      <c r="T348" s="5"/>
      <c r="U348" s="5" t="s">
        <v>63</v>
      </c>
      <c r="V348" s="5" t="s">
        <v>57</v>
      </c>
      <c r="W348" s="5" t="s">
        <v>128</v>
      </c>
      <c r="X348" s="5" t="s">
        <v>249</v>
      </c>
      <c r="Y348" s="5"/>
    </row>
    <row r="349" spans="1:25" x14ac:dyDescent="0.25">
      <c r="A349" s="5" t="s">
        <v>1110</v>
      </c>
      <c r="B349" s="5"/>
      <c r="C349" s="5" t="s">
        <v>70</v>
      </c>
      <c r="D349" s="5"/>
      <c r="E349" s="5"/>
      <c r="F349" s="5"/>
      <c r="G349" s="5"/>
      <c r="H349" s="5"/>
      <c r="I349" s="5" t="s">
        <v>123</v>
      </c>
      <c r="J349" s="5"/>
      <c r="K349" s="5" t="s">
        <v>123</v>
      </c>
      <c r="L349" s="5"/>
      <c r="M349" s="5"/>
      <c r="N349" s="5" t="s">
        <v>124</v>
      </c>
      <c r="O349" s="5"/>
      <c r="P349" s="6">
        <f>IF(A349="","",COUNTA(D349:F349)+COUNTA(G349:G349)+COUNTA(H349:H349)+COUNTA(I349:I349))</f>
        <v>1</v>
      </c>
      <c r="Q349" s="6" t="str">
        <f>IF(A349="","",IF(AND(P349=6,UPPER(L349)&lt;&gt;"Y",C349&lt;&gt;""),"Yes","No"))</f>
        <v>No</v>
      </c>
      <c r="R349" s="5" t="s">
        <v>125</v>
      </c>
      <c r="S349" s="5"/>
      <c r="T349" s="5"/>
      <c r="U349" s="5"/>
      <c r="V349" s="5"/>
      <c r="W349" s="5"/>
      <c r="X349" s="5"/>
      <c r="Y349" s="5" t="s">
        <v>1105</v>
      </c>
    </row>
    <row r="350" spans="1:25" x14ac:dyDescent="0.25">
      <c r="A350" s="5" t="s">
        <v>1111</v>
      </c>
      <c r="B350" s="5"/>
      <c r="C350" s="5" t="s">
        <v>43</v>
      </c>
      <c r="D350" s="5" t="s">
        <v>76</v>
      </c>
      <c r="E350" s="5" t="s">
        <v>45</v>
      </c>
      <c r="F350" s="5" t="s">
        <v>107</v>
      </c>
      <c r="G350" s="5" t="s">
        <v>47</v>
      </c>
      <c r="H350" s="5" t="s">
        <v>58</v>
      </c>
      <c r="I350" s="5" t="s">
        <v>71</v>
      </c>
      <c r="J350" s="5" t="s">
        <v>49</v>
      </c>
      <c r="K350" s="5" t="s">
        <v>71</v>
      </c>
      <c r="L350" s="5"/>
      <c r="M350" s="5"/>
      <c r="N350" s="5" t="s">
        <v>50</v>
      </c>
      <c r="O350" s="5"/>
      <c r="P350" s="6">
        <f>IF(A350="","",COUNTA(D350:F350)+COUNTA(G350:G350)+COUNTA(H350:H350)+COUNTA(I350:I350))</f>
        <v>6</v>
      </c>
      <c r="Q350" s="6" t="str">
        <f>IF(A350="","",IF(AND(P350=6,UPPER(L350)&lt;&gt;"Y",C350&lt;&gt;""),"Yes","No"))</f>
        <v>Yes</v>
      </c>
      <c r="R350" s="5" t="s">
        <v>51</v>
      </c>
      <c r="S350" s="5"/>
      <c r="T350" s="5" t="s">
        <v>1112</v>
      </c>
      <c r="U350" s="5" t="s">
        <v>63</v>
      </c>
      <c r="V350" s="5" t="s">
        <v>1113</v>
      </c>
      <c r="W350" s="5" t="s">
        <v>43</v>
      </c>
      <c r="X350" s="5"/>
      <c r="Y350" s="5" t="s">
        <v>352</v>
      </c>
    </row>
    <row r="351" spans="1:25" x14ac:dyDescent="0.25">
      <c r="A351" s="5" t="s">
        <v>1114</v>
      </c>
      <c r="B351" s="5"/>
      <c r="C351" s="5" t="s">
        <v>43</v>
      </c>
      <c r="D351" s="5"/>
      <c r="E351" s="5" t="s">
        <v>45</v>
      </c>
      <c r="F351" s="5" t="s">
        <v>46</v>
      </c>
      <c r="G351" s="5"/>
      <c r="H351" s="5" t="s">
        <v>637</v>
      </c>
      <c r="I351" s="5"/>
      <c r="J351" s="5"/>
      <c r="K351" s="5"/>
      <c r="L351" s="5"/>
      <c r="M351" s="5"/>
      <c r="N351" s="5" t="s">
        <v>66</v>
      </c>
      <c r="O351" s="5"/>
      <c r="P351" s="6">
        <f>IF(A351="","",COUNTA(D351:F351)+COUNTA(G351:G351)+COUNTA(H351:H351)+COUNTA(I351:I351))</f>
        <v>3</v>
      </c>
      <c r="Q351" s="6" t="str">
        <f>IF(A351="","",IF(AND(P351=6,UPPER(L351)&lt;&gt;"Y",C351&lt;&gt;""),"Yes","No"))</f>
        <v>No</v>
      </c>
      <c r="R351" s="5" t="s">
        <v>51</v>
      </c>
      <c r="S351" s="5" t="s">
        <v>1115</v>
      </c>
      <c r="T351" s="5" t="s">
        <v>1116</v>
      </c>
      <c r="U351" s="5" t="s">
        <v>637</v>
      </c>
      <c r="V351" s="5"/>
      <c r="W351" s="5" t="s">
        <v>43</v>
      </c>
      <c r="X351" s="5"/>
      <c r="Y351" s="5" t="s">
        <v>392</v>
      </c>
    </row>
    <row r="352" spans="1:25" x14ac:dyDescent="0.25">
      <c r="A352" s="5" t="s">
        <v>1117</v>
      </c>
      <c r="B352" s="5"/>
      <c r="C352" s="5" t="s">
        <v>70</v>
      </c>
      <c r="D352" s="5"/>
      <c r="E352" s="5" t="s">
        <v>331</v>
      </c>
      <c r="F352" s="5"/>
      <c r="G352" s="5"/>
      <c r="H352" s="5" t="s">
        <v>332</v>
      </c>
      <c r="I352" s="5"/>
      <c r="J352" s="5"/>
      <c r="K352" s="5"/>
      <c r="L352" s="5"/>
      <c r="M352" s="5"/>
      <c r="N352" s="5" t="s">
        <v>50</v>
      </c>
      <c r="O352" s="5"/>
      <c r="P352" s="6">
        <f>IF(A352="","",COUNTA(D352:F352)+COUNTA(G352:G352)+COUNTA(H352:H352)+COUNTA(I352:I352))</f>
        <v>2</v>
      </c>
      <c r="Q352" s="6" t="str">
        <f>IF(A352="","",IF(AND(P352=6,UPPER(L352)&lt;&gt;"Y",C352&lt;&gt;""),"Yes","No"))</f>
        <v>No</v>
      </c>
      <c r="R352" s="5" t="s">
        <v>51</v>
      </c>
      <c r="S352" s="5"/>
      <c r="T352" s="5"/>
      <c r="U352" s="5" t="s">
        <v>332</v>
      </c>
      <c r="V352" s="5"/>
      <c r="W352" s="5"/>
      <c r="X352" s="5"/>
      <c r="Y352" s="5" t="s">
        <v>1118</v>
      </c>
    </row>
    <row r="353" spans="1:25" x14ac:dyDescent="0.25">
      <c r="A353" s="5" t="s">
        <v>1119</v>
      </c>
      <c r="B353" s="5"/>
      <c r="C353" s="5" t="s">
        <v>43</v>
      </c>
      <c r="D353" s="5" t="s">
        <v>44</v>
      </c>
      <c r="E353" s="5" t="s">
        <v>45</v>
      </c>
      <c r="F353" s="5" t="s">
        <v>107</v>
      </c>
      <c r="G353" s="5" t="s">
        <v>47</v>
      </c>
      <c r="H353" s="5" t="s">
        <v>313</v>
      </c>
      <c r="I353" s="5" t="s">
        <v>78</v>
      </c>
      <c r="J353" s="5" t="s">
        <v>71</v>
      </c>
      <c r="K353" s="5" t="s">
        <v>1120</v>
      </c>
      <c r="L353" s="5"/>
      <c r="M353" s="5"/>
      <c r="N353" s="5" t="s">
        <v>50</v>
      </c>
      <c r="O353" s="5"/>
      <c r="P353" s="6">
        <f>IF(A353="","",COUNTA(D353:F353)+COUNTA(G353:G353)+COUNTA(H353:H353)+COUNTA(I353:I353))</f>
        <v>6</v>
      </c>
      <c r="Q353" s="6" t="str">
        <f>IF(A353="","",IF(AND(P353=6,UPPER(L353)&lt;&gt;"Y",C353&lt;&gt;""),"Yes","No"))</f>
        <v>Yes</v>
      </c>
      <c r="R353" s="5" t="s">
        <v>51</v>
      </c>
      <c r="S353" s="5"/>
      <c r="T353" s="5" t="s">
        <v>1121</v>
      </c>
      <c r="U353" s="5" t="s">
        <v>316</v>
      </c>
      <c r="V353" s="5"/>
      <c r="W353" s="5" t="s">
        <v>43</v>
      </c>
      <c r="X353" s="5"/>
      <c r="Y353" s="5" t="s">
        <v>94</v>
      </c>
    </row>
    <row r="354" spans="1:25" x14ac:dyDescent="0.25">
      <c r="A354" s="5" t="s">
        <v>1122</v>
      </c>
      <c r="B354" s="5"/>
      <c r="C354" s="5" t="s">
        <v>43</v>
      </c>
      <c r="D354" s="5"/>
      <c r="E354" s="5"/>
      <c r="F354" s="5"/>
      <c r="G354" s="5" t="s">
        <v>47</v>
      </c>
      <c r="H354" s="5"/>
      <c r="I354" s="5"/>
      <c r="J354" s="5"/>
      <c r="K354" s="5"/>
      <c r="L354" s="5"/>
      <c r="M354" s="5"/>
      <c r="N354" s="5" t="s">
        <v>66</v>
      </c>
      <c r="O354" s="5"/>
      <c r="P354" s="6">
        <f>IF(A354="","",COUNTA(D354:F354)+COUNTA(G354:G354)+COUNTA(H354:H354)+COUNTA(I354:I354))</f>
        <v>1</v>
      </c>
      <c r="Q354" s="6" t="str">
        <f>IF(A354="","",IF(AND(P354=6,UPPER(L354)&lt;&gt;"Y",C354&lt;&gt;""),"Yes","No"))</f>
        <v>No</v>
      </c>
      <c r="R354" s="5" t="s">
        <v>51</v>
      </c>
      <c r="S354" s="5"/>
      <c r="T354" s="5"/>
      <c r="U354" s="5"/>
      <c r="V354" s="5" t="s">
        <v>1123</v>
      </c>
      <c r="W354" s="5" t="s">
        <v>43</v>
      </c>
      <c r="X354" s="5"/>
      <c r="Y354" s="5"/>
    </row>
    <row r="355" spans="1:25" x14ac:dyDescent="0.25">
      <c r="A355" s="5" t="s">
        <v>1124</v>
      </c>
      <c r="B355" s="5"/>
      <c r="C355" s="5" t="s">
        <v>43</v>
      </c>
      <c r="D355" s="5" t="s">
        <v>44</v>
      </c>
      <c r="E355" s="5" t="s">
        <v>45</v>
      </c>
      <c r="F355" s="5" t="s">
        <v>46</v>
      </c>
      <c r="G355" s="5" t="s">
        <v>47</v>
      </c>
      <c r="H355" s="5" t="s">
        <v>1125</v>
      </c>
      <c r="I355" s="5" t="s">
        <v>178</v>
      </c>
      <c r="J355" s="5"/>
      <c r="K355" s="5" t="s">
        <v>1126</v>
      </c>
      <c r="L355" s="5"/>
      <c r="M355" s="5"/>
      <c r="N355" s="5" t="s">
        <v>50</v>
      </c>
      <c r="O355" s="5"/>
      <c r="P355" s="6">
        <f>IF(A355="","",COUNTA(D355:F355)+COUNTA(G355:G355)+COUNTA(H355:H355)+COUNTA(I355:I355))</f>
        <v>6</v>
      </c>
      <c r="Q355" s="6" t="str">
        <f>IF(A355="","",IF(AND(P355=6,UPPER(L355)&lt;&gt;"Y",C355&lt;&gt;""),"Yes","No"))</f>
        <v>Yes</v>
      </c>
      <c r="R355" s="5" t="s">
        <v>51</v>
      </c>
      <c r="S355" s="5"/>
      <c r="T355" s="5" t="s">
        <v>1127</v>
      </c>
      <c r="U355" s="5" t="s">
        <v>1125</v>
      </c>
      <c r="V355" s="5"/>
      <c r="W355" s="5" t="s">
        <v>43</v>
      </c>
      <c r="X355" s="5" t="s">
        <v>675</v>
      </c>
      <c r="Y355" s="5" t="s">
        <v>101</v>
      </c>
    </row>
    <row r="356" spans="1:25" x14ac:dyDescent="0.25">
      <c r="A356" s="5" t="s">
        <v>1128</v>
      </c>
      <c r="B356" s="5"/>
      <c r="C356" s="5"/>
      <c r="D356" s="5"/>
      <c r="E356" s="5"/>
      <c r="F356" s="5"/>
      <c r="G356" s="5"/>
      <c r="H356" s="5" t="s">
        <v>1129</v>
      </c>
      <c r="I356" s="5"/>
      <c r="J356" s="5"/>
      <c r="K356" s="5"/>
      <c r="L356" s="5"/>
      <c r="M356" s="5"/>
      <c r="N356" s="5" t="s">
        <v>66</v>
      </c>
      <c r="O356" s="5"/>
      <c r="P356" s="6">
        <f>IF(A356="","",COUNTA(D356:F356)+COUNTA(G356:G356)+COUNTA(H356:H356)+COUNTA(I356:I356))</f>
        <v>1</v>
      </c>
      <c r="Q356" s="6" t="str">
        <f>IF(A356="","",IF(AND(P356=6,UPPER(L356)&lt;&gt;"Y",C356&lt;&gt;""),"Yes","No"))</f>
        <v>No</v>
      </c>
      <c r="R356" s="5" t="s">
        <v>51</v>
      </c>
      <c r="S356" s="5"/>
      <c r="T356" s="5"/>
      <c r="U356" s="5" t="s">
        <v>1129</v>
      </c>
      <c r="V356" s="5"/>
      <c r="W356" s="5"/>
      <c r="X356" s="5"/>
      <c r="Y356" s="5"/>
    </row>
    <row r="357" spans="1:25" x14ac:dyDescent="0.25">
      <c r="A357" s="5" t="s">
        <v>1130</v>
      </c>
      <c r="B357" s="5"/>
      <c r="C357" s="5" t="s">
        <v>43</v>
      </c>
      <c r="D357" s="5" t="s">
        <v>76</v>
      </c>
      <c r="E357" s="5" t="s">
        <v>45</v>
      </c>
      <c r="F357" s="5" t="s">
        <v>46</v>
      </c>
      <c r="G357" s="5" t="s">
        <v>47</v>
      </c>
      <c r="H357" s="5" t="s">
        <v>77</v>
      </c>
      <c r="I357" s="5" t="s">
        <v>119</v>
      </c>
      <c r="J357" s="5" t="s">
        <v>765</v>
      </c>
      <c r="K357" s="5" t="s">
        <v>1131</v>
      </c>
      <c r="L357" s="5"/>
      <c r="M357" s="5"/>
      <c r="N357" s="5" t="s">
        <v>50</v>
      </c>
      <c r="O357" s="5"/>
      <c r="P357" s="6">
        <f>IF(A357="","",COUNTA(D357:F357)+COUNTA(G357:G357)+COUNTA(H357:H357)+COUNTA(I357:I357))</f>
        <v>6</v>
      </c>
      <c r="Q357" s="6" t="str">
        <f>IF(A357="","",IF(AND(P357=6,UPPER(L357)&lt;&gt;"Y",C357&lt;&gt;""),"Yes","No"))</f>
        <v>Yes</v>
      </c>
      <c r="R357" s="5" t="s">
        <v>51</v>
      </c>
      <c r="S357" s="5"/>
      <c r="T357" s="5" t="s">
        <v>1132</v>
      </c>
      <c r="U357" s="5" t="s">
        <v>77</v>
      </c>
      <c r="V357" s="5"/>
      <c r="W357" s="5" t="s">
        <v>43</v>
      </c>
      <c r="X357" s="5" t="s">
        <v>421</v>
      </c>
      <c r="Y357" s="5" t="s">
        <v>94</v>
      </c>
    </row>
    <row r="358" spans="1:25" x14ac:dyDescent="0.25">
      <c r="A358" s="5" t="s">
        <v>1134</v>
      </c>
      <c r="B358" s="5"/>
      <c r="C358" s="5" t="s">
        <v>128</v>
      </c>
      <c r="D358" s="5"/>
      <c r="E358" s="5"/>
      <c r="F358" s="5"/>
      <c r="G358" s="5" t="s">
        <v>57</v>
      </c>
      <c r="H358" s="5"/>
      <c r="I358" s="5"/>
      <c r="J358" s="5"/>
      <c r="K358" s="5"/>
      <c r="L358" s="5"/>
      <c r="M358" s="5"/>
      <c r="N358" s="5" t="s">
        <v>66</v>
      </c>
      <c r="O358" s="5"/>
      <c r="P358" s="6">
        <f>IF(A358="","",COUNTA(D358:F358)+COUNTA(G358:G358)+COUNTA(H358:H358)+COUNTA(I358:I358))</f>
        <v>1</v>
      </c>
      <c r="Q358" s="6" t="str">
        <f>IF(A358="","",IF(AND(P358=6,UPPER(L358)&lt;&gt;"Y",C358&lt;&gt;""),"Yes","No"))</f>
        <v>No</v>
      </c>
      <c r="R358" s="5" t="s">
        <v>51</v>
      </c>
      <c r="S358" s="5"/>
      <c r="T358" s="5"/>
      <c r="U358" s="5"/>
      <c r="V358" s="5" t="s">
        <v>57</v>
      </c>
      <c r="W358" s="5" t="s">
        <v>128</v>
      </c>
      <c r="X358" s="5" t="s">
        <v>249</v>
      </c>
      <c r="Y358" s="5"/>
    </row>
    <row r="359" spans="1:25" x14ac:dyDescent="0.25">
      <c r="A359" s="5" t="s">
        <v>1135</v>
      </c>
      <c r="B359" s="5"/>
      <c r="C359" s="5" t="s">
        <v>43</v>
      </c>
      <c r="D359" s="5" t="s">
        <v>76</v>
      </c>
      <c r="E359" s="5" t="s">
        <v>45</v>
      </c>
      <c r="F359" s="5" t="s">
        <v>107</v>
      </c>
      <c r="G359" s="5" t="s">
        <v>57</v>
      </c>
      <c r="H359" s="5" t="s">
        <v>594</v>
      </c>
      <c r="I359" s="5" t="s">
        <v>91</v>
      </c>
      <c r="J359" s="5"/>
      <c r="K359" s="5" t="s">
        <v>91</v>
      </c>
      <c r="L359" s="5"/>
      <c r="M359" s="5"/>
      <c r="N359" s="5" t="s">
        <v>50</v>
      </c>
      <c r="O359" s="5"/>
      <c r="P359" s="6">
        <f>IF(A359="","",COUNTA(D359:F359)+COUNTA(G359:G359)+COUNTA(H359:H359)+COUNTA(I359:I359))</f>
        <v>6</v>
      </c>
      <c r="Q359" s="6" t="str">
        <f>IF(A359="","",IF(AND(P359=6,UPPER(L359)&lt;&gt;"Y",C359&lt;&gt;""),"Yes","No"))</f>
        <v>Yes</v>
      </c>
      <c r="R359" s="5" t="s">
        <v>51</v>
      </c>
      <c r="S359" s="5"/>
      <c r="T359" s="5" t="s">
        <v>1136</v>
      </c>
      <c r="U359" s="5" t="s">
        <v>594</v>
      </c>
      <c r="V359" s="5" t="s">
        <v>57</v>
      </c>
      <c r="W359" s="5" t="s">
        <v>43</v>
      </c>
      <c r="X359" s="5" t="s">
        <v>726</v>
      </c>
      <c r="Y359" s="5" t="s">
        <v>352</v>
      </c>
    </row>
    <row r="360" spans="1:25" x14ac:dyDescent="0.25">
      <c r="A360" s="5" t="s">
        <v>1137</v>
      </c>
      <c r="B360" s="5"/>
      <c r="C360" s="5"/>
      <c r="D360" s="5"/>
      <c r="E360" s="5"/>
      <c r="F360" s="5"/>
      <c r="G360" s="5"/>
      <c r="H360" s="5" t="s">
        <v>58</v>
      </c>
      <c r="I360" s="5"/>
      <c r="J360" s="5"/>
      <c r="K360" s="5"/>
      <c r="L360" s="5"/>
      <c r="M360" s="5"/>
      <c r="N360" s="5" t="s">
        <v>66</v>
      </c>
      <c r="O360" s="5" t="s">
        <v>103</v>
      </c>
      <c r="P360" s="6">
        <f>IF(A360="","",COUNTA(D360:F360)+COUNTA(G360:G360)+COUNTA(H360:H360)+COUNTA(I360:I360))</f>
        <v>1</v>
      </c>
      <c r="Q360" s="6" t="str">
        <f>IF(A360="","",IF(AND(P360=6,UPPER(L360)&lt;&gt;"Y",C360&lt;&gt;""),"Yes","No"))</f>
        <v>No</v>
      </c>
      <c r="R360" s="5" t="s">
        <v>51</v>
      </c>
      <c r="S360" s="5"/>
      <c r="T360" s="5"/>
      <c r="U360" s="5" t="s">
        <v>63</v>
      </c>
      <c r="V360" s="5"/>
      <c r="W360" s="5" t="s">
        <v>105</v>
      </c>
      <c r="X360" s="5"/>
      <c r="Y360" s="5"/>
    </row>
    <row r="361" spans="1:25" x14ac:dyDescent="0.25">
      <c r="A361" s="5" t="s">
        <v>1138</v>
      </c>
      <c r="B361" s="5"/>
      <c r="C361" s="5"/>
      <c r="D361" s="5"/>
      <c r="E361" s="5"/>
      <c r="F361" s="5"/>
      <c r="G361" s="5"/>
      <c r="H361" s="5" t="s">
        <v>58</v>
      </c>
      <c r="I361" s="5"/>
      <c r="J361" s="5"/>
      <c r="K361" s="5"/>
      <c r="L361" s="5"/>
      <c r="M361" s="5"/>
      <c r="N361" s="5" t="s">
        <v>66</v>
      </c>
      <c r="O361" s="5" t="s">
        <v>103</v>
      </c>
      <c r="P361" s="6">
        <f>IF(A361="","",COUNTA(D361:F361)+COUNTA(G361:G361)+COUNTA(H361:H361)+COUNTA(I361:I361))</f>
        <v>1</v>
      </c>
      <c r="Q361" s="6" t="str">
        <f>IF(A361="","",IF(AND(P361=6,UPPER(L361)&lt;&gt;"Y",C361&lt;&gt;""),"Yes","No"))</f>
        <v>No</v>
      </c>
      <c r="R361" s="5" t="s">
        <v>51</v>
      </c>
      <c r="S361" s="5"/>
      <c r="T361" s="5" t="s">
        <v>1139</v>
      </c>
      <c r="U361" s="5" t="s">
        <v>63</v>
      </c>
      <c r="V361" s="5"/>
      <c r="W361" s="5" t="s">
        <v>105</v>
      </c>
      <c r="X361" s="5"/>
      <c r="Y361" s="5"/>
    </row>
    <row r="362" spans="1:25" x14ac:dyDescent="0.25">
      <c r="A362" s="5" t="s">
        <v>1140</v>
      </c>
      <c r="B362" s="5"/>
      <c r="C362" s="5" t="s">
        <v>43</v>
      </c>
      <c r="D362" s="5" t="s">
        <v>44</v>
      </c>
      <c r="E362" s="5" t="s">
        <v>331</v>
      </c>
      <c r="F362" s="5" t="s">
        <v>46</v>
      </c>
      <c r="G362" s="5" t="s">
        <v>57</v>
      </c>
      <c r="H362" s="5" t="s">
        <v>662</v>
      </c>
      <c r="I362" s="5" t="s">
        <v>78</v>
      </c>
      <c r="J362" s="5" t="s">
        <v>71</v>
      </c>
      <c r="K362" s="5" t="s">
        <v>1120</v>
      </c>
      <c r="L362" s="5"/>
      <c r="M362" s="5"/>
      <c r="N362" s="5" t="s">
        <v>50</v>
      </c>
      <c r="O362" s="5"/>
      <c r="P362" s="6">
        <f>IF(A362="","",COUNTA(D362:F362)+COUNTA(G362:G362)+COUNTA(H362:H362)+COUNTA(I362:I362))</f>
        <v>6</v>
      </c>
      <c r="Q362" s="6" t="str">
        <f>IF(A362="","",IF(AND(P362=6,UPPER(L362)&lt;&gt;"Y",C362&lt;&gt;""),"Yes","No"))</f>
        <v>Yes</v>
      </c>
      <c r="R362" s="5" t="s">
        <v>51</v>
      </c>
      <c r="S362" s="5"/>
      <c r="T362" s="5" t="s">
        <v>1141</v>
      </c>
      <c r="U362" s="5" t="s">
        <v>662</v>
      </c>
      <c r="V362" s="5"/>
      <c r="W362" s="5" t="s">
        <v>43</v>
      </c>
      <c r="X362" s="5" t="s">
        <v>675</v>
      </c>
      <c r="Y362" s="5" t="s">
        <v>1142</v>
      </c>
    </row>
    <row r="363" spans="1:25" x14ac:dyDescent="0.25">
      <c r="A363" s="5" t="s">
        <v>1133</v>
      </c>
      <c r="B363" s="5"/>
      <c r="C363" s="5" t="s">
        <v>70</v>
      </c>
      <c r="D363" s="5" t="s">
        <v>76</v>
      </c>
      <c r="E363" s="5"/>
      <c r="F363" s="5"/>
      <c r="G363" s="5"/>
      <c r="H363" s="5"/>
      <c r="I363" s="5"/>
      <c r="J363" s="5"/>
      <c r="K363" s="5"/>
      <c r="L363" s="5"/>
      <c r="M363" s="5"/>
      <c r="N363" s="5" t="s">
        <v>50</v>
      </c>
      <c r="O363" s="5"/>
      <c r="P363" s="6">
        <f>IF(A363="","",COUNTA(D363:F363)+COUNTA(G363:G363)+COUNTA(H363:H363)+COUNTA(I363:I363))</f>
        <v>1</v>
      </c>
      <c r="Q363" s="6" t="str">
        <f>IF(A363="","",IF(AND(P363=6,UPPER(L363)&lt;&gt;"Y",C363&lt;&gt;""),"Yes","No"))</f>
        <v>No</v>
      </c>
      <c r="R363" s="5" t="s">
        <v>51</v>
      </c>
      <c r="S363" s="5"/>
      <c r="T363" s="5"/>
      <c r="U363" s="5"/>
      <c r="V363" s="5"/>
      <c r="W363" s="5"/>
      <c r="X363" s="5"/>
      <c r="Y363" s="5" t="s">
        <v>189</v>
      </c>
    </row>
    <row r="364" spans="1:25" x14ac:dyDescent="0.25">
      <c r="A364" s="5" t="s">
        <v>1143</v>
      </c>
      <c r="B364" s="5"/>
      <c r="C364" s="5" t="s">
        <v>43</v>
      </c>
      <c r="D364" s="5" t="s">
        <v>44</v>
      </c>
      <c r="E364" s="5" t="s">
        <v>45</v>
      </c>
      <c r="F364" s="5" t="s">
        <v>46</v>
      </c>
      <c r="G364" s="5" t="s">
        <v>47</v>
      </c>
      <c r="H364" s="5" t="s">
        <v>313</v>
      </c>
      <c r="I364" s="5" t="s">
        <v>193</v>
      </c>
      <c r="J364" s="5" t="s">
        <v>192</v>
      </c>
      <c r="K364" s="5" t="s">
        <v>1144</v>
      </c>
      <c r="L364" s="5"/>
      <c r="M364" s="5"/>
      <c r="N364" s="5" t="s">
        <v>50</v>
      </c>
      <c r="O364" s="5"/>
      <c r="P364" s="6">
        <f>IF(A364="","",COUNTA(D364:F364)+COUNTA(G364:G364)+COUNTA(H364:H364)+COUNTA(I364:I364))</f>
        <v>6</v>
      </c>
      <c r="Q364" s="6" t="str">
        <f>IF(A364="","",IF(AND(P364=6,UPPER(L364)&lt;&gt;"Y",C364&lt;&gt;""),"Yes","No"))</f>
        <v>Yes</v>
      </c>
      <c r="R364" s="5" t="s">
        <v>51</v>
      </c>
      <c r="S364" s="5"/>
      <c r="T364" s="5" t="s">
        <v>1145</v>
      </c>
      <c r="U364" s="5" t="s">
        <v>316</v>
      </c>
      <c r="V364" s="5" t="s">
        <v>47</v>
      </c>
      <c r="W364" s="5" t="s">
        <v>43</v>
      </c>
      <c r="X364" s="5"/>
      <c r="Y364" s="5" t="s">
        <v>591</v>
      </c>
    </row>
    <row r="365" spans="1:25" x14ac:dyDescent="0.25">
      <c r="A365" s="5" t="s">
        <v>1146</v>
      </c>
      <c r="B365" s="5"/>
      <c r="C365" s="5"/>
      <c r="D365" s="5"/>
      <c r="E365" s="5"/>
      <c r="F365" s="5"/>
      <c r="G365" s="5"/>
      <c r="H365" s="5" t="s">
        <v>96</v>
      </c>
      <c r="I365" s="5"/>
      <c r="J365" s="5"/>
      <c r="K365" s="5"/>
      <c r="L365" s="5"/>
      <c r="M365" s="5"/>
      <c r="N365" s="5" t="s">
        <v>66</v>
      </c>
      <c r="O365" s="5"/>
      <c r="P365" s="6">
        <f>IF(A365="","",COUNTA(D365:F365)+COUNTA(G365:G365)+COUNTA(H365:H365)+COUNTA(I365:I365))</f>
        <v>1</v>
      </c>
      <c r="Q365" s="6" t="str">
        <f>IF(A365="","",IF(AND(P365=6,UPPER(L365)&lt;&gt;"Y",C365&lt;&gt;""),"Yes","No"))</f>
        <v>No</v>
      </c>
      <c r="R365" s="5" t="s">
        <v>51</v>
      </c>
      <c r="S365" s="5"/>
      <c r="T365" s="5"/>
      <c r="U365" s="5" t="s">
        <v>99</v>
      </c>
      <c r="V365" s="5"/>
      <c r="W365" s="5"/>
      <c r="X365" s="5"/>
      <c r="Y365" s="5"/>
    </row>
    <row r="366" spans="1:25" x14ac:dyDescent="0.25">
      <c r="A366" s="5" t="s">
        <v>1147</v>
      </c>
      <c r="B366" s="5"/>
      <c r="C366" s="5" t="s">
        <v>43</v>
      </c>
      <c r="D366" s="5" t="s">
        <v>44</v>
      </c>
      <c r="E366" s="5" t="s">
        <v>45</v>
      </c>
      <c r="F366" s="5" t="s">
        <v>107</v>
      </c>
      <c r="G366" s="5" t="s">
        <v>47</v>
      </c>
      <c r="H366" s="5" t="s">
        <v>1148</v>
      </c>
      <c r="I366" s="5" t="s">
        <v>59</v>
      </c>
      <c r="J366" s="5" t="s">
        <v>1149</v>
      </c>
      <c r="K366" s="5" t="s">
        <v>1150</v>
      </c>
      <c r="L366" s="5" t="s">
        <v>706</v>
      </c>
      <c r="M366" s="5"/>
      <c r="N366" s="5" t="s">
        <v>110</v>
      </c>
      <c r="O366" s="5" t="s">
        <v>1151</v>
      </c>
      <c r="P366" s="6">
        <f>IF(A366="","",COUNTA(D366:F366)+COUNTA(G366:G366)+COUNTA(H366:H366)+COUNTA(I366:I366))</f>
        <v>6</v>
      </c>
      <c r="Q366" s="6" t="str">
        <f>IF(A366="","",IF(AND(P366=6,UPPER(L366)&lt;&gt;"Y",C366&lt;&gt;""),"Yes","No"))</f>
        <v>No</v>
      </c>
      <c r="R366" s="5" t="s">
        <v>112</v>
      </c>
      <c r="S366" s="5" t="s">
        <v>1152</v>
      </c>
      <c r="T366" s="5" t="s">
        <v>1153</v>
      </c>
      <c r="U366" s="5" t="s">
        <v>519</v>
      </c>
      <c r="V366" s="5"/>
      <c r="W366" s="5" t="s">
        <v>43</v>
      </c>
      <c r="X366" s="5" t="s">
        <v>675</v>
      </c>
      <c r="Y366" s="5" t="s">
        <v>101</v>
      </c>
    </row>
    <row r="367" spans="1:25" x14ac:dyDescent="0.25">
      <c r="A367" s="5" t="s">
        <v>1154</v>
      </c>
      <c r="B367" s="5"/>
      <c r="C367" s="5" t="s">
        <v>43</v>
      </c>
      <c r="D367" s="5" t="s">
        <v>44</v>
      </c>
      <c r="E367" s="5"/>
      <c r="F367" s="5"/>
      <c r="G367" s="5" t="s">
        <v>47</v>
      </c>
      <c r="H367" s="5" t="s">
        <v>313</v>
      </c>
      <c r="I367" s="5" t="s">
        <v>59</v>
      </c>
      <c r="J367" s="5"/>
      <c r="K367" s="5" t="s">
        <v>59</v>
      </c>
      <c r="L367" s="5"/>
      <c r="M367" s="5"/>
      <c r="N367" s="5" t="s">
        <v>50</v>
      </c>
      <c r="O367" s="5"/>
      <c r="P367" s="6">
        <f>IF(A367="","",COUNTA(D367:F367)+COUNTA(G367:G367)+COUNTA(H367:H367)+COUNTA(I367:I367))</f>
        <v>4</v>
      </c>
      <c r="Q367" s="6" t="str">
        <f>IF(A367="","",IF(AND(P367=6,UPPER(L367)&lt;&gt;"Y",C367&lt;&gt;""),"Yes","No"))</f>
        <v>No</v>
      </c>
      <c r="R367" s="5" t="s">
        <v>51</v>
      </c>
      <c r="S367" s="5"/>
      <c r="T367" s="5" t="s">
        <v>1155</v>
      </c>
      <c r="U367" s="5" t="s">
        <v>316</v>
      </c>
      <c r="V367" s="5"/>
      <c r="W367" s="5" t="s">
        <v>43</v>
      </c>
      <c r="X367" s="5"/>
      <c r="Y367" s="5" t="s">
        <v>237</v>
      </c>
    </row>
    <row r="368" spans="1:25" x14ac:dyDescent="0.25">
      <c r="A368" s="5" t="s">
        <v>1156</v>
      </c>
      <c r="B368" s="5"/>
      <c r="C368" s="5" t="s">
        <v>70</v>
      </c>
      <c r="D368" s="5" t="s">
        <v>44</v>
      </c>
      <c r="E368" s="5"/>
      <c r="F368" s="5"/>
      <c r="G368" s="5"/>
      <c r="H368" s="5" t="s">
        <v>313</v>
      </c>
      <c r="I368" s="5" t="s">
        <v>91</v>
      </c>
      <c r="J368" s="5" t="s">
        <v>193</v>
      </c>
      <c r="K368" s="5" t="s">
        <v>1157</v>
      </c>
      <c r="L368" s="5"/>
      <c r="M368" s="5"/>
      <c r="N368" s="5" t="s">
        <v>124</v>
      </c>
      <c r="O368" s="5"/>
      <c r="P368" s="6">
        <f>IF(A368="","",COUNTA(D368:F368)+COUNTA(G368:G368)+COUNTA(H368:H368)+COUNTA(I368:I368))</f>
        <v>3</v>
      </c>
      <c r="Q368" s="6" t="str">
        <f>IF(A368="","",IF(AND(P368=6,UPPER(L368)&lt;&gt;"Y",C368&lt;&gt;""),"Yes","No"))</f>
        <v>No</v>
      </c>
      <c r="R368" s="5" t="s">
        <v>125</v>
      </c>
      <c r="S368" s="5" t="s">
        <v>138</v>
      </c>
      <c r="T368" s="5"/>
      <c r="U368" s="5" t="s">
        <v>313</v>
      </c>
      <c r="V368" s="5"/>
      <c r="W368" s="5"/>
      <c r="X368" s="5"/>
      <c r="Y368" s="5" t="s">
        <v>155</v>
      </c>
    </row>
    <row r="369" spans="1:25" x14ac:dyDescent="0.25">
      <c r="A369" s="5" t="s">
        <v>1158</v>
      </c>
      <c r="B369" s="5"/>
      <c r="C369" s="5" t="s">
        <v>43</v>
      </c>
      <c r="D369" s="5" t="s">
        <v>44</v>
      </c>
      <c r="E369" s="5" t="s">
        <v>45</v>
      </c>
      <c r="F369" s="5" t="s">
        <v>46</v>
      </c>
      <c r="G369" s="5" t="s">
        <v>57</v>
      </c>
      <c r="H369" s="5" t="s">
        <v>58</v>
      </c>
      <c r="I369" s="5" t="s">
        <v>192</v>
      </c>
      <c r="J369" s="5"/>
      <c r="K369" s="5" t="s">
        <v>192</v>
      </c>
      <c r="L369" s="5"/>
      <c r="M369" s="5"/>
      <c r="N369" s="5" t="s">
        <v>50</v>
      </c>
      <c r="O369" s="5" t="s">
        <v>1159</v>
      </c>
      <c r="P369" s="6">
        <f>IF(A369="","",COUNTA(D369:F369)+COUNTA(G369:G369)+COUNTA(H369:H369)+COUNTA(I369:I369))</f>
        <v>6</v>
      </c>
      <c r="Q369" s="6" t="str">
        <f>IF(A369="","",IF(AND(P369=6,UPPER(L369)&lt;&gt;"Y",C369&lt;&gt;""),"Yes","No"))</f>
        <v>Yes</v>
      </c>
      <c r="R369" s="5" t="s">
        <v>51</v>
      </c>
      <c r="S369" s="5" t="s">
        <v>1160</v>
      </c>
      <c r="T369" s="5" t="s">
        <v>1161</v>
      </c>
      <c r="U369" s="5" t="s">
        <v>63</v>
      </c>
      <c r="V369" s="5" t="s">
        <v>1162</v>
      </c>
      <c r="W369" s="5" t="s">
        <v>43</v>
      </c>
      <c r="X369" s="5" t="s">
        <v>830</v>
      </c>
      <c r="Y369" s="5" t="s">
        <v>219</v>
      </c>
    </row>
    <row r="370" spans="1:25" x14ac:dyDescent="0.25">
      <c r="A370" s="5" t="s">
        <v>1163</v>
      </c>
      <c r="B370" s="5"/>
      <c r="C370" s="5" t="s">
        <v>70</v>
      </c>
      <c r="D370" s="5" t="s">
        <v>76</v>
      </c>
      <c r="E370" s="5"/>
      <c r="F370" s="5"/>
      <c r="G370" s="5"/>
      <c r="H370" s="5" t="s">
        <v>77</v>
      </c>
      <c r="I370" s="5" t="s">
        <v>193</v>
      </c>
      <c r="J370" s="5" t="s">
        <v>91</v>
      </c>
      <c r="K370" s="5" t="s">
        <v>1164</v>
      </c>
      <c r="L370" s="5"/>
      <c r="M370" s="5"/>
      <c r="N370" s="5" t="s">
        <v>50</v>
      </c>
      <c r="O370" s="5"/>
      <c r="P370" s="6">
        <f>IF(A370="","",COUNTA(D370:F370)+COUNTA(G370:G370)+COUNTA(H370:H370)+COUNTA(I370:I370))</f>
        <v>3</v>
      </c>
      <c r="Q370" s="6" t="str">
        <f>IF(A370="","",IF(AND(P370=6,UPPER(L370)&lt;&gt;"Y",C370&lt;&gt;""),"Yes","No"))</f>
        <v>No</v>
      </c>
      <c r="R370" s="5" t="s">
        <v>51</v>
      </c>
      <c r="S370" s="5"/>
      <c r="T370" s="5" t="s">
        <v>1165</v>
      </c>
      <c r="U370" s="5" t="s">
        <v>77</v>
      </c>
      <c r="V370" s="5"/>
      <c r="W370" s="5"/>
      <c r="X370" s="5"/>
      <c r="Y370" s="5" t="s">
        <v>428</v>
      </c>
    </row>
    <row r="371" spans="1:25" x14ac:dyDescent="0.25">
      <c r="A371" s="5" t="s">
        <v>1166</v>
      </c>
      <c r="B371" s="5"/>
      <c r="C371" s="5" t="s">
        <v>70</v>
      </c>
      <c r="D371" s="5" t="s">
        <v>76</v>
      </c>
      <c r="E371" s="5"/>
      <c r="F371" s="5"/>
      <c r="G371" s="5"/>
      <c r="H371" s="5" t="s">
        <v>58</v>
      </c>
      <c r="I371" s="5"/>
      <c r="J371" s="5"/>
      <c r="K371" s="5"/>
      <c r="L371" s="5"/>
      <c r="M371" s="5"/>
      <c r="N371" s="5" t="s">
        <v>50</v>
      </c>
      <c r="O371" s="5"/>
      <c r="P371" s="6">
        <f>IF(A371="","",COUNTA(D371:F371)+COUNTA(G371:G371)+COUNTA(H371:H371)+COUNTA(I371:I371))</f>
        <v>2</v>
      </c>
      <c r="Q371" s="6" t="str">
        <f>IF(A371="","",IF(AND(P371=6,UPPER(L371)&lt;&gt;"Y",C371&lt;&gt;""),"Yes","No"))</f>
        <v>No</v>
      </c>
      <c r="R371" s="5" t="s">
        <v>51</v>
      </c>
      <c r="S371" s="5"/>
      <c r="T371" s="5"/>
      <c r="U371" s="5" t="s">
        <v>63</v>
      </c>
      <c r="V371" s="5"/>
      <c r="W371" s="5"/>
      <c r="X371" s="5"/>
      <c r="Y371" s="5" t="s">
        <v>189</v>
      </c>
    </row>
    <row r="372" spans="1:25" x14ac:dyDescent="0.25">
      <c r="A372" s="5" t="s">
        <v>1167</v>
      </c>
      <c r="B372" s="5"/>
      <c r="C372" s="5" t="s">
        <v>70</v>
      </c>
      <c r="D372" s="5" t="s">
        <v>44</v>
      </c>
      <c r="E372" s="5"/>
      <c r="F372" s="5"/>
      <c r="G372" s="5"/>
      <c r="H372" s="5" t="s">
        <v>90</v>
      </c>
      <c r="I372" s="5"/>
      <c r="J372" s="5"/>
      <c r="K372" s="5"/>
      <c r="L372" s="5"/>
      <c r="M372" s="5"/>
      <c r="N372" s="5" t="s">
        <v>50</v>
      </c>
      <c r="O372" s="5"/>
      <c r="P372" s="6">
        <f>IF(A372="","",COUNTA(D372:F372)+COUNTA(G372:G372)+COUNTA(H372:H372)+COUNTA(I372:I372))</f>
        <v>2</v>
      </c>
      <c r="Q372" s="6" t="str">
        <f>IF(A372="","",IF(AND(P372=6,UPPER(L372)&lt;&gt;"Y",C372&lt;&gt;""),"Yes","No"))</f>
        <v>No</v>
      </c>
      <c r="R372" s="5" t="s">
        <v>51</v>
      </c>
      <c r="S372" s="5"/>
      <c r="T372" s="5"/>
      <c r="U372" s="5" t="s">
        <v>93</v>
      </c>
      <c r="V372" s="5"/>
      <c r="W372" s="5"/>
      <c r="X372" s="5"/>
      <c r="Y372" s="5" t="s">
        <v>189</v>
      </c>
    </row>
    <row r="373" spans="1:25" x14ac:dyDescent="0.25">
      <c r="A373" s="5" t="s">
        <v>1168</v>
      </c>
      <c r="B373" s="5" t="s">
        <v>1169</v>
      </c>
      <c r="C373" s="5" t="s">
        <v>43</v>
      </c>
      <c r="D373" s="5"/>
      <c r="E373" s="5"/>
      <c r="F373" s="5"/>
      <c r="G373" s="5"/>
      <c r="H373" s="5" t="s">
        <v>902</v>
      </c>
      <c r="I373" s="5" t="s">
        <v>133</v>
      </c>
      <c r="J373" s="5"/>
      <c r="K373" s="5" t="s">
        <v>133</v>
      </c>
      <c r="L373" s="5"/>
      <c r="M373" s="5"/>
      <c r="N373" s="5" t="s">
        <v>50</v>
      </c>
      <c r="O373" s="5"/>
      <c r="P373" s="6">
        <f>IF(A373="","",COUNTA(D373:F373)+COUNTA(G373:G373)+COUNTA(H373:H373)+COUNTA(I373:I373))</f>
        <v>2</v>
      </c>
      <c r="Q373" s="6" t="str">
        <f>IF(A373="","",IF(AND(P373=6,UPPER(L373)&lt;&gt;"Y",C373&lt;&gt;""),"Yes","No"))</f>
        <v>No</v>
      </c>
      <c r="R373" s="5" t="s">
        <v>51</v>
      </c>
      <c r="S373" s="5"/>
      <c r="T373" s="5" t="s">
        <v>1170</v>
      </c>
      <c r="U373" s="5" t="s">
        <v>903</v>
      </c>
      <c r="V373" s="5"/>
      <c r="W373" s="5" t="s">
        <v>43</v>
      </c>
      <c r="X373" s="5"/>
      <c r="Y373" s="5" t="s">
        <v>587</v>
      </c>
    </row>
    <row r="374" spans="1:25" x14ac:dyDescent="0.25">
      <c r="A374" s="5" t="s">
        <v>1174</v>
      </c>
      <c r="B374" s="5"/>
      <c r="C374" s="5" t="s">
        <v>128</v>
      </c>
      <c r="D374" s="5"/>
      <c r="E374" s="5"/>
      <c r="F374" s="5"/>
      <c r="G374" s="5" t="s">
        <v>57</v>
      </c>
      <c r="H374" s="5"/>
      <c r="I374" s="5" t="s">
        <v>91</v>
      </c>
      <c r="J374" s="5"/>
      <c r="K374" s="5" t="s">
        <v>91</v>
      </c>
      <c r="L374" s="5"/>
      <c r="M374" s="5"/>
      <c r="N374" s="5" t="s">
        <v>66</v>
      </c>
      <c r="O374" s="5"/>
      <c r="P374" s="6">
        <f>IF(A374="","",COUNTA(D374:F374)+COUNTA(G374:G374)+COUNTA(H374:H374)+COUNTA(I374:I374))</f>
        <v>2</v>
      </c>
      <c r="Q374" s="6" t="str">
        <f>IF(A374="","",IF(AND(P374=6,UPPER(L374)&lt;&gt;"Y",C374&lt;&gt;""),"Yes","No"))</f>
        <v>No</v>
      </c>
      <c r="R374" s="5" t="s">
        <v>51</v>
      </c>
      <c r="S374" s="5"/>
      <c r="T374" s="5" t="s">
        <v>1175</v>
      </c>
      <c r="U374" s="5"/>
      <c r="V374" s="5" t="s">
        <v>57</v>
      </c>
      <c r="W374" s="5" t="s">
        <v>128</v>
      </c>
      <c r="X374" s="5" t="s">
        <v>293</v>
      </c>
      <c r="Y374" s="5"/>
    </row>
    <row r="375" spans="1:25" x14ac:dyDescent="0.25">
      <c r="A375" s="5" t="s">
        <v>1176</v>
      </c>
      <c r="B375" s="5"/>
      <c r="C375" s="5" t="s">
        <v>43</v>
      </c>
      <c r="D375" s="5" t="s">
        <v>76</v>
      </c>
      <c r="E375" s="5" t="s">
        <v>45</v>
      </c>
      <c r="F375" s="5" t="s">
        <v>46</v>
      </c>
      <c r="G375" s="5" t="s">
        <v>57</v>
      </c>
      <c r="H375" s="5" t="s">
        <v>1902</v>
      </c>
      <c r="I375" s="5" t="s">
        <v>49</v>
      </c>
      <c r="J375" s="5"/>
      <c r="K375" s="5"/>
      <c r="L375" s="5"/>
      <c r="M375" s="5"/>
      <c r="N375" s="5" t="s">
        <v>66</v>
      </c>
      <c r="O375" s="5" t="s">
        <v>1177</v>
      </c>
      <c r="P375" s="6">
        <f>IF(A375="","",COUNTA(D375:F375)+COUNTA(G375:G375)+COUNTA(H375:H375)+COUNTA(I375:I375))</f>
        <v>6</v>
      </c>
      <c r="Q375" s="6" t="str">
        <f>IF(A375="","",IF(AND(P375=6,UPPER(L375)&lt;&gt;"Y",C375&lt;&gt;""),"Yes","No"))</f>
        <v>Yes</v>
      </c>
      <c r="R375" s="5" t="s">
        <v>51</v>
      </c>
      <c r="S375" s="5"/>
      <c r="T375" s="5"/>
      <c r="U375" s="5"/>
      <c r="V375" s="5"/>
      <c r="W375" s="5" t="s">
        <v>105</v>
      </c>
      <c r="X375" s="5"/>
      <c r="Y375" s="5"/>
    </row>
    <row r="376" spans="1:25" x14ac:dyDescent="0.25">
      <c r="A376" s="5" t="s">
        <v>1178</v>
      </c>
      <c r="B376" s="5"/>
      <c r="C376" s="5" t="s">
        <v>43</v>
      </c>
      <c r="D376" s="5" t="s">
        <v>44</v>
      </c>
      <c r="E376" s="5" t="s">
        <v>331</v>
      </c>
      <c r="F376" s="5" t="s">
        <v>107</v>
      </c>
      <c r="G376" s="5" t="s">
        <v>47</v>
      </c>
      <c r="H376" s="5" t="s">
        <v>313</v>
      </c>
      <c r="I376" s="5" t="s">
        <v>193</v>
      </c>
      <c r="J376" s="5" t="s">
        <v>91</v>
      </c>
      <c r="K376" s="5" t="s">
        <v>1164</v>
      </c>
      <c r="L376" s="5"/>
      <c r="M376" s="5"/>
      <c r="N376" s="5" t="s">
        <v>50</v>
      </c>
      <c r="O376" s="5"/>
      <c r="P376" s="6">
        <f>IF(A376="","",COUNTA(D376:F376)+COUNTA(G376:G376)+COUNTA(H376:H376)+COUNTA(I376:I376))</f>
        <v>6</v>
      </c>
      <c r="Q376" s="6" t="str">
        <f>IF(A376="","",IF(AND(P376=6,UPPER(L376)&lt;&gt;"Y",C376&lt;&gt;""),"Yes","No"))</f>
        <v>Yes</v>
      </c>
      <c r="R376" s="5" t="s">
        <v>51</v>
      </c>
      <c r="S376" s="5"/>
      <c r="T376" s="5" t="s">
        <v>1179</v>
      </c>
      <c r="U376" s="5" t="s">
        <v>316</v>
      </c>
      <c r="V376" s="5"/>
      <c r="W376" s="5" t="s">
        <v>43</v>
      </c>
      <c r="X376" s="5"/>
      <c r="Y376" s="5" t="s">
        <v>1180</v>
      </c>
    </row>
    <row r="377" spans="1:25" x14ac:dyDescent="0.25">
      <c r="A377" s="5" t="s">
        <v>1181</v>
      </c>
      <c r="B377" s="5"/>
      <c r="C377" s="5" t="s">
        <v>43</v>
      </c>
      <c r="D377" s="5"/>
      <c r="E377" s="5" t="s">
        <v>45</v>
      </c>
      <c r="F377" s="5" t="s">
        <v>46</v>
      </c>
      <c r="G377" s="5" t="s">
        <v>47</v>
      </c>
      <c r="H377" s="5"/>
      <c r="I377" s="5"/>
      <c r="J377" s="5"/>
      <c r="K377" s="5"/>
      <c r="L377" s="5"/>
      <c r="M377" s="5"/>
      <c r="N377" s="5" t="s">
        <v>66</v>
      </c>
      <c r="O377" s="5"/>
      <c r="P377" s="6">
        <f>IF(A377="","",COUNTA(D377:F377)+COUNTA(G377:G377)+COUNTA(H377:H377)+COUNTA(I377:I377))</f>
        <v>3</v>
      </c>
      <c r="Q377" s="6" t="str">
        <f>IF(A377="","",IF(AND(P377=6,UPPER(L377)&lt;&gt;"Y",C377&lt;&gt;""),"Yes","No"))</f>
        <v>No</v>
      </c>
      <c r="R377" s="5" t="s">
        <v>51</v>
      </c>
      <c r="S377" s="5" t="s">
        <v>1182</v>
      </c>
      <c r="T377" s="5"/>
      <c r="U377" s="5"/>
      <c r="V377" s="5" t="s">
        <v>67</v>
      </c>
      <c r="W377" s="5" t="s">
        <v>43</v>
      </c>
      <c r="X377" s="5" t="s">
        <v>68</v>
      </c>
      <c r="Y377" s="5" t="s">
        <v>392</v>
      </c>
    </row>
    <row r="378" spans="1:25" x14ac:dyDescent="0.25">
      <c r="A378" s="5" t="s">
        <v>1183</v>
      </c>
      <c r="B378" s="5"/>
      <c r="C378" s="5"/>
      <c r="D378" s="5"/>
      <c r="E378" s="5" t="s">
        <v>45</v>
      </c>
      <c r="F378" s="5" t="s">
        <v>46</v>
      </c>
      <c r="G378" s="5"/>
      <c r="H378" s="5"/>
      <c r="I378" s="5" t="s">
        <v>91</v>
      </c>
      <c r="J378" s="5" t="s">
        <v>123</v>
      </c>
      <c r="K378" s="5" t="s">
        <v>1184</v>
      </c>
      <c r="L378" s="5"/>
      <c r="M378" s="5"/>
      <c r="N378" s="5" t="s">
        <v>66</v>
      </c>
      <c r="O378" s="5"/>
      <c r="P378" s="6">
        <f>IF(A378="","",COUNTA(D378:F378)+COUNTA(G378:G378)+COUNTA(H378:H378)+COUNTA(I378:I378))</f>
        <v>3</v>
      </c>
      <c r="Q378" s="6" t="str">
        <f>IF(A378="","",IF(AND(P378=6,UPPER(L378)&lt;&gt;"Y",C378&lt;&gt;""),"Yes","No"))</f>
        <v>No</v>
      </c>
      <c r="R378" s="5" t="s">
        <v>51</v>
      </c>
      <c r="S378" s="5" t="s">
        <v>1185</v>
      </c>
      <c r="T378" s="5" t="s">
        <v>1186</v>
      </c>
      <c r="U378" s="5"/>
      <c r="V378" s="5"/>
      <c r="W378" s="5"/>
      <c r="X378" s="5"/>
      <c r="Y378" s="5" t="s">
        <v>392</v>
      </c>
    </row>
    <row r="379" spans="1:25" x14ac:dyDescent="0.25">
      <c r="A379" s="5" t="s">
        <v>1187</v>
      </c>
      <c r="B379" s="5"/>
      <c r="C379" s="5" t="s">
        <v>43</v>
      </c>
      <c r="D379" s="5" t="s">
        <v>44</v>
      </c>
      <c r="E379" s="5" t="s">
        <v>45</v>
      </c>
      <c r="F379" s="5" t="s">
        <v>46</v>
      </c>
      <c r="G379" s="5" t="s">
        <v>57</v>
      </c>
      <c r="H379" s="5" t="s">
        <v>214</v>
      </c>
      <c r="I379" s="5" t="s">
        <v>178</v>
      </c>
      <c r="J379" s="5" t="s">
        <v>193</v>
      </c>
      <c r="K379" s="5" t="s">
        <v>1188</v>
      </c>
      <c r="L379" s="5"/>
      <c r="M379" s="5"/>
      <c r="N379" s="5" t="s">
        <v>50</v>
      </c>
      <c r="O379" s="5"/>
      <c r="P379" s="6">
        <f>IF(A379="","",COUNTA(D379:F379)+COUNTA(G379:G379)+COUNTA(H379:H379)+COUNTA(I379:I379))</f>
        <v>6</v>
      </c>
      <c r="Q379" s="6" t="str">
        <f>IF(A379="","",IF(AND(P379=6,UPPER(L379)&lt;&gt;"Y",C379&lt;&gt;""),"Yes","No"))</f>
        <v>Yes</v>
      </c>
      <c r="R379" s="5" t="s">
        <v>51</v>
      </c>
      <c r="S379" s="5" t="s">
        <v>1187</v>
      </c>
      <c r="T379" s="5" t="s">
        <v>1189</v>
      </c>
      <c r="U379" s="5" t="s">
        <v>214</v>
      </c>
      <c r="V379" s="5"/>
      <c r="W379" s="5" t="s">
        <v>43</v>
      </c>
      <c r="X379" s="5"/>
      <c r="Y379" s="5" t="s">
        <v>487</v>
      </c>
    </row>
    <row r="380" spans="1:25" x14ac:dyDescent="0.25">
      <c r="A380" s="5" t="s">
        <v>1190</v>
      </c>
      <c r="B380" s="5"/>
      <c r="C380" s="5" t="s">
        <v>43</v>
      </c>
      <c r="D380" s="5"/>
      <c r="E380" s="5"/>
      <c r="F380" s="5"/>
      <c r="G380" s="5"/>
      <c r="H380" s="5" t="s">
        <v>902</v>
      </c>
      <c r="I380" s="5"/>
      <c r="J380" s="5"/>
      <c r="K380" s="5"/>
      <c r="L380" s="5"/>
      <c r="M380" s="5"/>
      <c r="N380" s="5" t="s">
        <v>66</v>
      </c>
      <c r="O380" s="5"/>
      <c r="P380" s="6">
        <f>IF(A380="","",COUNTA(D380:F380)+COUNTA(G380:G380)+COUNTA(H380:H380)+COUNTA(I380:I380))</f>
        <v>1</v>
      </c>
      <c r="Q380" s="6" t="str">
        <f>IF(A380="","",IF(AND(P380=6,UPPER(L380)&lt;&gt;"Y",C380&lt;&gt;""),"Yes","No"))</f>
        <v>No</v>
      </c>
      <c r="R380" s="5" t="s">
        <v>51</v>
      </c>
      <c r="S380" s="5"/>
      <c r="T380" s="5" t="s">
        <v>1191</v>
      </c>
      <c r="U380" s="5" t="s">
        <v>903</v>
      </c>
      <c r="V380" s="5"/>
      <c r="W380" s="5" t="s">
        <v>43</v>
      </c>
      <c r="X380" s="5"/>
      <c r="Y380" s="5"/>
    </row>
    <row r="381" spans="1:25" x14ac:dyDescent="0.25">
      <c r="A381" s="5" t="s">
        <v>1192</v>
      </c>
      <c r="B381" s="5"/>
      <c r="C381" s="5" t="s">
        <v>43</v>
      </c>
      <c r="D381" s="5" t="s">
        <v>44</v>
      </c>
      <c r="E381" s="5" t="s">
        <v>45</v>
      </c>
      <c r="F381" s="5" t="s">
        <v>46</v>
      </c>
      <c r="G381" s="5" t="s">
        <v>47</v>
      </c>
      <c r="H381" s="5" t="s">
        <v>207</v>
      </c>
      <c r="I381" s="5" t="s">
        <v>71</v>
      </c>
      <c r="J381" s="5" t="s">
        <v>192</v>
      </c>
      <c r="K381" s="5" t="s">
        <v>71</v>
      </c>
      <c r="L381" s="5"/>
      <c r="M381" s="5"/>
      <c r="N381" s="5" t="s">
        <v>50</v>
      </c>
      <c r="O381" s="5"/>
      <c r="P381" s="6">
        <f>IF(A381="","",COUNTA(D381:F381)+COUNTA(G381:G381)+COUNTA(H381:H381)+COUNTA(I381:I381))</f>
        <v>6</v>
      </c>
      <c r="Q381" s="6" t="str">
        <f>IF(A381="","",IF(AND(P381=6,UPPER(L381)&lt;&gt;"Y",C381&lt;&gt;""),"Yes","No"))</f>
        <v>Yes</v>
      </c>
      <c r="R381" s="5" t="s">
        <v>51</v>
      </c>
      <c r="S381" s="5"/>
      <c r="T381" s="5" t="s">
        <v>1193</v>
      </c>
      <c r="U381" s="5" t="s">
        <v>211</v>
      </c>
      <c r="V381" s="5" t="s">
        <v>1113</v>
      </c>
      <c r="W381" s="5" t="s">
        <v>43</v>
      </c>
      <c r="X381" s="5" t="s">
        <v>1031</v>
      </c>
      <c r="Y381" s="5" t="s">
        <v>352</v>
      </c>
    </row>
    <row r="382" spans="1:25" x14ac:dyDescent="0.25">
      <c r="A382" s="5" t="s">
        <v>1194</v>
      </c>
      <c r="B382" s="5"/>
      <c r="C382" s="5" t="s">
        <v>43</v>
      </c>
      <c r="D382" s="5" t="s">
        <v>44</v>
      </c>
      <c r="E382" s="5" t="s">
        <v>45</v>
      </c>
      <c r="F382" s="5" t="s">
        <v>107</v>
      </c>
      <c r="G382" s="5" t="s">
        <v>47</v>
      </c>
      <c r="H382" s="5" t="s">
        <v>96</v>
      </c>
      <c r="I382" s="5" t="s">
        <v>133</v>
      </c>
      <c r="J382" s="5"/>
      <c r="K382" s="5" t="s">
        <v>133</v>
      </c>
      <c r="L382" s="5"/>
      <c r="M382" s="5"/>
      <c r="N382" s="5" t="s">
        <v>66</v>
      </c>
      <c r="O382" s="5"/>
      <c r="P382" s="6">
        <f>IF(A382="","",COUNTA(D382:F382)+COUNTA(G382:G382)+COUNTA(H382:H382)+COUNTA(I382:I382))</f>
        <v>6</v>
      </c>
      <c r="Q382" s="6" t="str">
        <f>IF(A382="","",IF(AND(P382=6,UPPER(L382)&lt;&gt;"Y",C382&lt;&gt;""),"Yes","No"))</f>
        <v>Yes</v>
      </c>
      <c r="R382" s="5" t="s">
        <v>51</v>
      </c>
      <c r="S382" s="5"/>
      <c r="T382" s="5" t="s">
        <v>1195</v>
      </c>
      <c r="U382" s="5" t="s">
        <v>99</v>
      </c>
      <c r="V382" s="5" t="s">
        <v>181</v>
      </c>
      <c r="W382" s="5" t="s">
        <v>43</v>
      </c>
      <c r="X382" s="5" t="s">
        <v>68</v>
      </c>
      <c r="Y382" s="5" t="s">
        <v>1196</v>
      </c>
    </row>
    <row r="383" spans="1:25" x14ac:dyDescent="0.25">
      <c r="A383" s="5" t="s">
        <v>1197</v>
      </c>
      <c r="B383" s="5"/>
      <c r="C383" s="5" t="s">
        <v>43</v>
      </c>
      <c r="D383" s="5" t="s">
        <v>44</v>
      </c>
      <c r="E383" s="5" t="s">
        <v>45</v>
      </c>
      <c r="F383" s="5" t="s">
        <v>46</v>
      </c>
      <c r="G383" s="5" t="s">
        <v>57</v>
      </c>
      <c r="H383" s="5" t="s">
        <v>48</v>
      </c>
      <c r="I383" s="5" t="s">
        <v>193</v>
      </c>
      <c r="J383" s="5"/>
      <c r="K383" s="5" t="s">
        <v>193</v>
      </c>
      <c r="L383" s="5"/>
      <c r="M383" s="5"/>
      <c r="N383" s="5" t="s">
        <v>50</v>
      </c>
      <c r="O383" s="5"/>
      <c r="P383" s="6">
        <f>IF(A383="","",COUNTA(D383:F383)+COUNTA(G383:G383)+COUNTA(H383:H383)+COUNTA(I383:I383))</f>
        <v>6</v>
      </c>
      <c r="Q383" s="6" t="str">
        <f>IF(A383="","",IF(AND(P383=6,UPPER(L383)&lt;&gt;"Y",C383&lt;&gt;""),"Yes","No"))</f>
        <v>Yes</v>
      </c>
      <c r="R383" s="5" t="s">
        <v>51</v>
      </c>
      <c r="S383" s="5"/>
      <c r="T383" s="5" t="s">
        <v>1198</v>
      </c>
      <c r="U383" s="5" t="s">
        <v>48</v>
      </c>
      <c r="V383" s="5"/>
      <c r="W383" s="5" t="s">
        <v>43</v>
      </c>
      <c r="X383" s="5"/>
      <c r="Y383" s="5" t="s">
        <v>136</v>
      </c>
    </row>
    <row r="384" spans="1:25" x14ac:dyDescent="0.25">
      <c r="A384" s="5" t="s">
        <v>1199</v>
      </c>
      <c r="B384" s="5"/>
      <c r="C384" s="5"/>
      <c r="D384" s="5"/>
      <c r="E384" s="5"/>
      <c r="F384" s="5"/>
      <c r="G384" s="5"/>
      <c r="H384" s="5" t="s">
        <v>645</v>
      </c>
      <c r="I384" s="5"/>
      <c r="J384" s="5"/>
      <c r="K384" s="5"/>
      <c r="L384" s="5"/>
      <c r="M384" s="5"/>
      <c r="N384" s="5" t="s">
        <v>66</v>
      </c>
      <c r="O384" s="5"/>
      <c r="P384" s="6">
        <f>IF(A384="","",COUNTA(D384:F384)+COUNTA(G384:G384)+COUNTA(H384:H384)+COUNTA(I384:I384))</f>
        <v>1</v>
      </c>
      <c r="Q384" s="6" t="str">
        <f>IF(A384="","",IF(AND(P384=6,UPPER(L384)&lt;&gt;"Y",C384&lt;&gt;""),"Yes","No"))</f>
        <v>No</v>
      </c>
      <c r="R384" s="5" t="s">
        <v>51</v>
      </c>
      <c r="S384" s="5"/>
      <c r="T384" s="5"/>
      <c r="U384" s="5" t="s">
        <v>645</v>
      </c>
      <c r="V384" s="5"/>
      <c r="W384" s="5"/>
      <c r="X384" s="5"/>
      <c r="Y384" s="5"/>
    </row>
    <row r="385" spans="1:25" x14ac:dyDescent="0.25">
      <c r="A385" s="5" t="s">
        <v>1200</v>
      </c>
      <c r="B385" s="5"/>
      <c r="C385" s="5" t="s">
        <v>70</v>
      </c>
      <c r="D385" s="5" t="s">
        <v>44</v>
      </c>
      <c r="E385" s="5"/>
      <c r="F385" s="5"/>
      <c r="G385" s="5" t="s">
        <v>47</v>
      </c>
      <c r="H385" s="5" t="s">
        <v>313</v>
      </c>
      <c r="I385" s="5" t="s">
        <v>72</v>
      </c>
      <c r="J385" s="5"/>
      <c r="K385" s="5" t="s">
        <v>72</v>
      </c>
      <c r="L385" s="5"/>
      <c r="M385" s="5"/>
      <c r="N385" s="5" t="s">
        <v>124</v>
      </c>
      <c r="O385" s="5"/>
      <c r="P385" s="6">
        <f>IF(A385="","",COUNTA(D385:F385)+COUNTA(G385:G385)+COUNTA(H385:H385)+COUNTA(I385:I385))</f>
        <v>4</v>
      </c>
      <c r="Q385" s="6" t="str">
        <f>IF(A385="","",IF(AND(P385=6,UPPER(L385)&lt;&gt;"Y",C385&lt;&gt;""),"Yes","No"))</f>
        <v>No</v>
      </c>
      <c r="R385" s="5" t="s">
        <v>125</v>
      </c>
      <c r="S385" s="5" t="s">
        <v>138</v>
      </c>
      <c r="T385" s="5"/>
      <c r="U385" s="5" t="s">
        <v>313</v>
      </c>
      <c r="V385" s="5" t="s">
        <v>47</v>
      </c>
      <c r="W385" s="5"/>
      <c r="X385" s="5"/>
      <c r="Y385" s="5" t="s">
        <v>285</v>
      </c>
    </row>
    <row r="386" spans="1:25" x14ac:dyDescent="0.25">
      <c r="A386" s="5" t="s">
        <v>1201</v>
      </c>
      <c r="B386" s="5"/>
      <c r="C386" s="5"/>
      <c r="D386" s="5"/>
      <c r="E386" s="5"/>
      <c r="F386" s="5"/>
      <c r="G386" s="5"/>
      <c r="H386" s="5" t="s">
        <v>58</v>
      </c>
      <c r="I386" s="5"/>
      <c r="J386" s="5"/>
      <c r="K386" s="5"/>
      <c r="L386" s="5"/>
      <c r="M386" s="5"/>
      <c r="N386" s="5" t="s">
        <v>66</v>
      </c>
      <c r="O386" s="5" t="s">
        <v>103</v>
      </c>
      <c r="P386" s="6">
        <f>IF(A386="","",COUNTA(D386:F386)+COUNTA(G386:G386)+COUNTA(H386:H386)+COUNTA(I386:I386))</f>
        <v>1</v>
      </c>
      <c r="Q386" s="6" t="str">
        <f>IF(A386="","",IF(AND(P386=6,UPPER(L386)&lt;&gt;"Y",C386&lt;&gt;""),"Yes","No"))</f>
        <v>No</v>
      </c>
      <c r="R386" s="5" t="s">
        <v>51</v>
      </c>
      <c r="S386" s="5"/>
      <c r="T386" s="5" t="s">
        <v>1202</v>
      </c>
      <c r="U386" s="5" t="s">
        <v>63</v>
      </c>
      <c r="V386" s="5"/>
      <c r="W386" s="5" t="s">
        <v>105</v>
      </c>
      <c r="X386" s="5"/>
      <c r="Y386" s="5"/>
    </row>
    <row r="387" spans="1:25" x14ac:dyDescent="0.25">
      <c r="A387" s="5" t="s">
        <v>1203</v>
      </c>
      <c r="B387" s="5" t="s">
        <v>1903</v>
      </c>
      <c r="C387" s="5" t="s">
        <v>43</v>
      </c>
      <c r="D387" s="5" t="s">
        <v>44</v>
      </c>
      <c r="E387" s="5" t="s">
        <v>45</v>
      </c>
      <c r="F387" s="5" t="s">
        <v>107</v>
      </c>
      <c r="G387" s="5" t="s">
        <v>57</v>
      </c>
      <c r="H387" s="5" t="s">
        <v>63</v>
      </c>
      <c r="I387" s="5" t="s">
        <v>78</v>
      </c>
      <c r="J387" s="5"/>
      <c r="K387" s="5" t="s">
        <v>1204</v>
      </c>
      <c r="L387" s="5"/>
      <c r="M387" s="5"/>
      <c r="N387" s="5" t="s">
        <v>110</v>
      </c>
      <c r="O387" s="5"/>
      <c r="P387" s="6">
        <f>IF(A387="","",COUNTA(D387:F387)+COUNTA(G387:G387)+COUNTA(H387:H387)+COUNTA(I387:I387))</f>
        <v>6</v>
      </c>
      <c r="Q387" s="6" t="str">
        <f>IF(A387="","",IF(AND(P387=6,UPPER(L387)&lt;&gt;"Y",C387&lt;&gt;""),"Yes","No"))</f>
        <v>Yes</v>
      </c>
      <c r="R387" s="5" t="s">
        <v>112</v>
      </c>
      <c r="S387" s="5" t="s">
        <v>1205</v>
      </c>
      <c r="T387" s="5" t="s">
        <v>1206</v>
      </c>
      <c r="U387" s="5" t="s">
        <v>322</v>
      </c>
      <c r="V387" s="5" t="s">
        <v>57</v>
      </c>
      <c r="W387" s="5" t="s">
        <v>43</v>
      </c>
      <c r="X387" s="5" t="s">
        <v>87</v>
      </c>
      <c r="Y387" s="5" t="s">
        <v>55</v>
      </c>
    </row>
    <row r="388" spans="1:25" x14ac:dyDescent="0.25">
      <c r="A388" s="5" t="s">
        <v>1207</v>
      </c>
      <c r="B388" s="5"/>
      <c r="C388" s="5" t="s">
        <v>43</v>
      </c>
      <c r="D388" s="5" t="s">
        <v>44</v>
      </c>
      <c r="E388" s="5" t="s">
        <v>45</v>
      </c>
      <c r="F388" s="5" t="s">
        <v>107</v>
      </c>
      <c r="G388" s="5" t="s">
        <v>57</v>
      </c>
      <c r="H388" s="5" t="s">
        <v>1865</v>
      </c>
      <c r="I388" s="5" t="s">
        <v>192</v>
      </c>
      <c r="J388" s="5"/>
      <c r="K388" s="5" t="s">
        <v>516</v>
      </c>
      <c r="L388" s="5"/>
      <c r="M388" s="5"/>
      <c r="N388" s="5" t="s">
        <v>50</v>
      </c>
      <c r="O388" s="5"/>
      <c r="P388" s="6">
        <f>IF(A388="","",COUNTA(D388:F388)+COUNTA(G388:G388)+COUNTA(H388:H388)+COUNTA(I388:I388))</f>
        <v>6</v>
      </c>
      <c r="Q388" s="6" t="str">
        <f>IF(A388="","",IF(AND(P388=6,UPPER(L388)&lt;&gt;"Y",C388&lt;&gt;""),"Yes","No"))</f>
        <v>Yes</v>
      </c>
      <c r="R388" s="5" t="s">
        <v>51</v>
      </c>
      <c r="S388" s="5" t="s">
        <v>1208</v>
      </c>
      <c r="T388" s="5" t="s">
        <v>1209</v>
      </c>
      <c r="U388" s="5" t="s">
        <v>63</v>
      </c>
      <c r="V388" s="5"/>
      <c r="W388" s="5" t="s">
        <v>43</v>
      </c>
      <c r="X388" s="5" t="s">
        <v>222</v>
      </c>
      <c r="Y388" s="5" t="s">
        <v>1210</v>
      </c>
    </row>
    <row r="389" spans="1:25" x14ac:dyDescent="0.25">
      <c r="A389" s="5" t="s">
        <v>1211</v>
      </c>
      <c r="B389" s="5"/>
      <c r="C389" s="5" t="s">
        <v>43</v>
      </c>
      <c r="D389" s="5"/>
      <c r="E389" s="5"/>
      <c r="F389" s="5"/>
      <c r="G389" s="5" t="s">
        <v>47</v>
      </c>
      <c r="H389" s="5"/>
      <c r="I389" s="5" t="s">
        <v>123</v>
      </c>
      <c r="J389" s="5"/>
      <c r="K389" s="5" t="s">
        <v>123</v>
      </c>
      <c r="L389" s="5"/>
      <c r="M389" s="5"/>
      <c r="N389" s="5" t="s">
        <v>66</v>
      </c>
      <c r="O389" s="5"/>
      <c r="P389" s="6">
        <f>IF(A389="","",COUNTA(D389:F389)+COUNTA(G389:G389)+COUNTA(H389:H389)+COUNTA(I389:I389))</f>
        <v>2</v>
      </c>
      <c r="Q389" s="6" t="str">
        <f>IF(A389="","",IF(AND(P389=6,UPPER(L389)&lt;&gt;"Y",C389&lt;&gt;""),"Yes","No"))</f>
        <v>No</v>
      </c>
      <c r="R389" s="5" t="s">
        <v>51</v>
      </c>
      <c r="S389" s="5"/>
      <c r="T389" s="5" t="s">
        <v>1212</v>
      </c>
      <c r="U389" s="5"/>
      <c r="V389" s="5" t="s">
        <v>1213</v>
      </c>
      <c r="W389" s="5" t="s">
        <v>43</v>
      </c>
      <c r="X389" s="5"/>
      <c r="Y389" s="5"/>
    </row>
    <row r="390" spans="1:25" x14ac:dyDescent="0.25">
      <c r="A390" s="5" t="s">
        <v>1214</v>
      </c>
      <c r="B390" s="5"/>
      <c r="C390" s="5" t="s">
        <v>70</v>
      </c>
      <c r="D390" s="5" t="s">
        <v>44</v>
      </c>
      <c r="E390" s="5"/>
      <c r="F390" s="5"/>
      <c r="G390" s="5"/>
      <c r="H390" s="5" t="s">
        <v>90</v>
      </c>
      <c r="I390" s="5"/>
      <c r="J390" s="5"/>
      <c r="K390" s="5"/>
      <c r="L390" s="5"/>
      <c r="M390" s="5"/>
      <c r="N390" s="5" t="s">
        <v>50</v>
      </c>
      <c r="O390" s="5"/>
      <c r="P390" s="6">
        <f>IF(A390="","",COUNTA(D390:F390)+COUNTA(G390:G390)+COUNTA(H390:H390)+COUNTA(I390:I390))</f>
        <v>2</v>
      </c>
      <c r="Q390" s="6" t="str">
        <f>IF(A390="","",IF(AND(P390=6,UPPER(L390)&lt;&gt;"Y",C390&lt;&gt;""),"Yes","No"))</f>
        <v>No</v>
      </c>
      <c r="R390" s="5" t="s">
        <v>51</v>
      </c>
      <c r="S390" s="5"/>
      <c r="T390" s="5"/>
      <c r="U390" s="5" t="s">
        <v>93</v>
      </c>
      <c r="V390" s="5"/>
      <c r="W390" s="5"/>
      <c r="X390" s="5"/>
      <c r="Y390" s="5" t="s">
        <v>189</v>
      </c>
    </row>
    <row r="391" spans="1:25" x14ac:dyDescent="0.25">
      <c r="A391" s="5" t="s">
        <v>1215</v>
      </c>
      <c r="B391" s="5"/>
      <c r="C391" s="5" t="s">
        <v>43</v>
      </c>
      <c r="D391" s="5"/>
      <c r="E391" s="5" t="s">
        <v>45</v>
      </c>
      <c r="F391" s="5" t="s">
        <v>107</v>
      </c>
      <c r="G391" s="5" t="s">
        <v>47</v>
      </c>
      <c r="H391" s="5"/>
      <c r="I391" s="5"/>
      <c r="J391" s="5"/>
      <c r="K391" s="5"/>
      <c r="L391" s="5"/>
      <c r="M391" s="5"/>
      <c r="N391" s="5" t="s">
        <v>66</v>
      </c>
      <c r="O391" s="5"/>
      <c r="P391" s="6">
        <f>IF(A391="","",COUNTA(D391:F391)+COUNTA(G391:G391)+COUNTA(H391:H391)+COUNTA(I391:I391))</f>
        <v>3</v>
      </c>
      <c r="Q391" s="6" t="str">
        <f>IF(A391="","",IF(AND(P391=6,UPPER(L391)&lt;&gt;"Y",C391&lt;&gt;""),"Yes","No"))</f>
        <v>No</v>
      </c>
      <c r="R391" s="5" t="s">
        <v>51</v>
      </c>
      <c r="S391" s="5" t="s">
        <v>1216</v>
      </c>
      <c r="T391" s="5"/>
      <c r="U391" s="5"/>
      <c r="V391" s="5" t="s">
        <v>67</v>
      </c>
      <c r="W391" s="5" t="s">
        <v>43</v>
      </c>
      <c r="X391" s="5" t="s">
        <v>68</v>
      </c>
      <c r="Y391" s="5" t="s">
        <v>392</v>
      </c>
    </row>
    <row r="392" spans="1:25" x14ac:dyDescent="0.25">
      <c r="A392" s="5" t="s">
        <v>1217</v>
      </c>
      <c r="B392" s="5"/>
      <c r="C392" s="5" t="s">
        <v>43</v>
      </c>
      <c r="D392" s="5" t="s">
        <v>76</v>
      </c>
      <c r="E392" s="5"/>
      <c r="F392" s="5"/>
      <c r="G392" s="5" t="s">
        <v>47</v>
      </c>
      <c r="H392" s="5" t="s">
        <v>149</v>
      </c>
      <c r="I392" s="5"/>
      <c r="J392" s="5"/>
      <c r="K392" s="5"/>
      <c r="L392" s="5"/>
      <c r="M392" s="5"/>
      <c r="N392" s="5" t="s">
        <v>50</v>
      </c>
      <c r="O392" s="5"/>
      <c r="P392" s="6">
        <f>IF(A392="","",COUNTA(D392:F392)+COUNTA(G392:G392)+COUNTA(H392:H392)+COUNTA(I392:I392))</f>
        <v>3</v>
      </c>
      <c r="Q392" s="6" t="str">
        <f>IF(A392="","",IF(AND(P392=6,UPPER(L392)&lt;&gt;"Y",C392&lt;&gt;""),"Yes","No"))</f>
        <v>No</v>
      </c>
      <c r="R392" s="5" t="s">
        <v>51</v>
      </c>
      <c r="S392" s="5"/>
      <c r="T392" s="5"/>
      <c r="U392" s="5"/>
      <c r="V392" s="5" t="s">
        <v>67</v>
      </c>
      <c r="W392" s="5" t="s">
        <v>43</v>
      </c>
      <c r="X392" s="5"/>
      <c r="Y392" s="5" t="s">
        <v>150</v>
      </c>
    </row>
    <row r="393" spans="1:25" x14ac:dyDescent="0.25">
      <c r="A393" s="5" t="s">
        <v>1218</v>
      </c>
      <c r="B393" s="5"/>
      <c r="C393" s="5" t="s">
        <v>43</v>
      </c>
      <c r="D393" s="5" t="s">
        <v>44</v>
      </c>
      <c r="E393" s="5" t="s">
        <v>45</v>
      </c>
      <c r="F393" s="5" t="s">
        <v>46</v>
      </c>
      <c r="G393" s="5" t="s">
        <v>47</v>
      </c>
      <c r="H393" s="5" t="s">
        <v>902</v>
      </c>
      <c r="I393" s="5" t="s">
        <v>59</v>
      </c>
      <c r="J393" s="5"/>
      <c r="K393" s="5" t="s">
        <v>59</v>
      </c>
      <c r="L393" s="5"/>
      <c r="M393" s="5"/>
      <c r="N393" s="5" t="s">
        <v>50</v>
      </c>
      <c r="O393" s="5"/>
      <c r="P393" s="6">
        <f>IF(A393="","",COUNTA(D393:F393)+COUNTA(G393:G393)+COUNTA(H393:H393)+COUNTA(I393:I393))</f>
        <v>6</v>
      </c>
      <c r="Q393" s="6" t="str">
        <f>IF(A393="","",IF(AND(P393=6,UPPER(L393)&lt;&gt;"Y",C393&lt;&gt;""),"Yes","No"))</f>
        <v>Yes</v>
      </c>
      <c r="R393" s="5" t="s">
        <v>51</v>
      </c>
      <c r="S393" s="5" t="s">
        <v>1219</v>
      </c>
      <c r="T393" s="5" t="s">
        <v>1220</v>
      </c>
      <c r="U393" s="5" t="s">
        <v>903</v>
      </c>
      <c r="V393" s="5"/>
      <c r="W393" s="5" t="s">
        <v>43</v>
      </c>
      <c r="X393" s="5"/>
      <c r="Y393" s="5" t="s">
        <v>55</v>
      </c>
    </row>
    <row r="394" spans="1:25" x14ac:dyDescent="0.25">
      <c r="A394" s="5" t="s">
        <v>1221</v>
      </c>
      <c r="B394" s="5"/>
      <c r="C394" s="5"/>
      <c r="D394" s="5"/>
      <c r="E394" s="5"/>
      <c r="F394" s="5" t="s">
        <v>107</v>
      </c>
      <c r="G394" s="5"/>
      <c r="H394" s="5" t="s">
        <v>58</v>
      </c>
      <c r="I394" s="5"/>
      <c r="J394" s="5"/>
      <c r="K394" s="5"/>
      <c r="L394" s="5"/>
      <c r="M394" s="5"/>
      <c r="N394" s="5" t="s">
        <v>66</v>
      </c>
      <c r="O394" s="5" t="s">
        <v>103</v>
      </c>
      <c r="P394" s="6">
        <f>IF(A394="","",COUNTA(D394:F394)+COUNTA(G394:G394)+COUNTA(H394:H394)+COUNTA(I394:I394))</f>
        <v>2</v>
      </c>
      <c r="Q394" s="6" t="str">
        <f>IF(A394="","",IF(AND(P394=6,UPPER(L394)&lt;&gt;"Y",C394&lt;&gt;""),"Yes","No"))</f>
        <v>No</v>
      </c>
      <c r="R394" s="5" t="s">
        <v>51</v>
      </c>
      <c r="S394" s="5"/>
      <c r="T394" s="5" t="s">
        <v>1222</v>
      </c>
      <c r="U394" s="5" t="s">
        <v>63</v>
      </c>
      <c r="V394" s="5"/>
      <c r="W394" s="5" t="s">
        <v>105</v>
      </c>
      <c r="X394" s="5"/>
      <c r="Y394" s="5" t="s">
        <v>583</v>
      </c>
    </row>
    <row r="395" spans="1:25" x14ac:dyDescent="0.25">
      <c r="A395" s="5" t="s">
        <v>1223</v>
      </c>
      <c r="B395" s="5" t="s">
        <v>850</v>
      </c>
      <c r="C395" s="5" t="s">
        <v>43</v>
      </c>
      <c r="D395" s="5" t="s">
        <v>44</v>
      </c>
      <c r="E395" s="5"/>
      <c r="F395" s="5"/>
      <c r="G395" s="5" t="s">
        <v>57</v>
      </c>
      <c r="H395" s="5" t="s">
        <v>58</v>
      </c>
      <c r="I395" s="5"/>
      <c r="J395" s="5"/>
      <c r="K395" s="5"/>
      <c r="L395" s="5"/>
      <c r="M395" s="5"/>
      <c r="N395" s="5" t="s">
        <v>50</v>
      </c>
      <c r="O395" s="5"/>
      <c r="P395" s="6">
        <f>IF(A395="","",COUNTA(D395:F395)+COUNTA(G395:G395)+COUNTA(H395:H395)+COUNTA(I395:I395))</f>
        <v>3</v>
      </c>
      <c r="Q395" s="6" t="str">
        <f>IF(A395="","",IF(AND(P395=6,UPPER(L395)&lt;&gt;"Y",C395&lt;&gt;""),"Yes","No"))</f>
        <v>No</v>
      </c>
      <c r="R395" s="5" t="s">
        <v>51</v>
      </c>
      <c r="S395" s="5"/>
      <c r="T395" s="5" t="s">
        <v>1224</v>
      </c>
      <c r="U395" s="5" t="s">
        <v>63</v>
      </c>
      <c r="V395" s="5" t="s">
        <v>57</v>
      </c>
      <c r="W395" s="5" t="s">
        <v>43</v>
      </c>
      <c r="X395" s="5"/>
      <c r="Y395" s="5" t="s">
        <v>136</v>
      </c>
    </row>
    <row r="396" spans="1:25" x14ac:dyDescent="0.25">
      <c r="A396" s="5" t="s">
        <v>1225</v>
      </c>
      <c r="B396" s="5"/>
      <c r="C396" s="5" t="s">
        <v>43</v>
      </c>
      <c r="D396" s="5" t="s">
        <v>44</v>
      </c>
      <c r="E396" s="5"/>
      <c r="F396" s="5"/>
      <c r="G396" s="5"/>
      <c r="H396" s="5"/>
      <c r="I396" s="5"/>
      <c r="J396" s="5"/>
      <c r="K396" s="5"/>
      <c r="L396" s="5"/>
      <c r="M396" s="5"/>
      <c r="N396" s="5" t="s">
        <v>50</v>
      </c>
      <c r="O396" s="5"/>
      <c r="P396" s="6">
        <f>IF(A396="","",COUNTA(D396:F396)+COUNTA(G396:G396)+COUNTA(H396:H396)+COUNTA(I396:I396))</f>
        <v>1</v>
      </c>
      <c r="Q396" s="6" t="str">
        <f>IF(A396="","",IF(AND(P396=6,UPPER(L396)&lt;&gt;"Y",C396&lt;&gt;""),"Yes","No"))</f>
        <v>No</v>
      </c>
      <c r="R396" s="5" t="s">
        <v>51</v>
      </c>
      <c r="S396" s="5"/>
      <c r="T396" s="5"/>
      <c r="U396" s="5"/>
      <c r="V396" s="5"/>
      <c r="W396" s="5" t="s">
        <v>43</v>
      </c>
      <c r="X396" s="5" t="s">
        <v>228</v>
      </c>
      <c r="Y396" s="5" t="s">
        <v>136</v>
      </c>
    </row>
    <row r="397" spans="1:25" x14ac:dyDescent="0.25">
      <c r="A397" s="5" t="s">
        <v>1228</v>
      </c>
      <c r="B397" s="5"/>
      <c r="C397" s="5" t="s">
        <v>43</v>
      </c>
      <c r="D397" s="5" t="s">
        <v>44</v>
      </c>
      <c r="E397" s="5" t="s">
        <v>45</v>
      </c>
      <c r="F397" s="5" t="s">
        <v>46</v>
      </c>
      <c r="G397" s="5" t="s">
        <v>47</v>
      </c>
      <c r="H397" s="5" t="s">
        <v>205</v>
      </c>
      <c r="I397" s="5" t="s">
        <v>91</v>
      </c>
      <c r="J397" s="5" t="s">
        <v>71</v>
      </c>
      <c r="K397" s="5" t="s">
        <v>59</v>
      </c>
      <c r="L397" s="5"/>
      <c r="M397" s="5"/>
      <c r="N397" s="5" t="s">
        <v>124</v>
      </c>
      <c r="O397" s="5"/>
      <c r="P397" s="6">
        <f>IF(A397="","",COUNTA(D397:F397)+COUNTA(G397:G397)+COUNTA(H397:H397)+COUNTA(I397:I397))</f>
        <v>6</v>
      </c>
      <c r="Q397" s="6" t="str">
        <f>IF(A397="","",IF(AND(P397=6,UPPER(L397)&lt;&gt;"Y",C397&lt;&gt;""),"Yes","No"))</f>
        <v>Yes</v>
      </c>
      <c r="R397" s="5" t="s">
        <v>125</v>
      </c>
      <c r="S397" s="5"/>
      <c r="T397" s="5" t="s">
        <v>1226</v>
      </c>
      <c r="U397" s="5" t="s">
        <v>205</v>
      </c>
      <c r="V397" s="5" t="s">
        <v>1227</v>
      </c>
      <c r="W397" s="5" t="s">
        <v>43</v>
      </c>
      <c r="X397" s="5"/>
      <c r="Y397" s="5" t="s">
        <v>285</v>
      </c>
    </row>
    <row r="398" spans="1:25" x14ac:dyDescent="0.25">
      <c r="A398" s="5" t="s">
        <v>1229</v>
      </c>
      <c r="B398" s="5"/>
      <c r="C398" s="5" t="s">
        <v>43</v>
      </c>
      <c r="D398" s="5"/>
      <c r="E398" s="5"/>
      <c r="F398" s="5"/>
      <c r="G398" s="5" t="s">
        <v>47</v>
      </c>
      <c r="H398" s="5"/>
      <c r="I398" s="5"/>
      <c r="J398" s="5"/>
      <c r="K398" s="5"/>
      <c r="L398" s="5"/>
      <c r="M398" s="5"/>
      <c r="N398" s="5" t="s">
        <v>66</v>
      </c>
      <c r="O398" s="5"/>
      <c r="P398" s="6">
        <f>IF(A398="","",COUNTA(D398:F398)+COUNTA(G398:G398)+COUNTA(H398:H398)+COUNTA(I398:I398))</f>
        <v>1</v>
      </c>
      <c r="Q398" s="6" t="str">
        <f>IF(A398="","",IF(AND(P398=6,UPPER(L398)&lt;&gt;"Y",C398&lt;&gt;""),"Yes","No"))</f>
        <v>No</v>
      </c>
      <c r="R398" s="5" t="s">
        <v>51</v>
      </c>
      <c r="S398" s="5"/>
      <c r="T398" s="5" t="s">
        <v>1230</v>
      </c>
      <c r="U398" s="5"/>
      <c r="V398" s="5" t="s">
        <v>1231</v>
      </c>
      <c r="W398" s="5" t="s">
        <v>43</v>
      </c>
      <c r="X398" s="5"/>
      <c r="Y398" s="5"/>
    </row>
    <row r="399" spans="1:25" x14ac:dyDescent="0.25">
      <c r="A399" s="5" t="s">
        <v>1232</v>
      </c>
      <c r="B399" s="5"/>
      <c r="C399" s="5"/>
      <c r="D399" s="5"/>
      <c r="E399" s="5"/>
      <c r="F399" s="5"/>
      <c r="G399" s="5"/>
      <c r="H399" s="5"/>
      <c r="I399" s="5"/>
      <c r="J399" s="5"/>
      <c r="K399" s="5"/>
      <c r="L399" s="5"/>
      <c r="M399" s="5"/>
      <c r="N399" s="5" t="s">
        <v>66</v>
      </c>
      <c r="O399" s="5"/>
      <c r="P399" s="6">
        <f>IF(A399="","",COUNTA(D399:F399)+COUNTA(G399:G399)+COUNTA(H399:H399)+COUNTA(I399:I399))</f>
        <v>0</v>
      </c>
      <c r="Q399" s="6" t="str">
        <f>IF(A399="","",IF(AND(P399=6,UPPER(L399)&lt;&gt;"Y",C399&lt;&gt;""),"Yes","No"))</f>
        <v>No</v>
      </c>
      <c r="R399" s="5" t="s">
        <v>51</v>
      </c>
      <c r="S399" s="5"/>
      <c r="T399" s="5"/>
      <c r="U399" s="5"/>
      <c r="V399" s="5"/>
      <c r="W399" s="5"/>
      <c r="X399" s="5"/>
      <c r="Y399" s="5"/>
    </row>
    <row r="400" spans="1:25" x14ac:dyDescent="0.25">
      <c r="A400" s="5" t="s">
        <v>1283</v>
      </c>
      <c r="B400" s="5"/>
      <c r="C400" s="5" t="s">
        <v>70</v>
      </c>
      <c r="D400" s="5" t="s">
        <v>44</v>
      </c>
      <c r="E400" s="5"/>
      <c r="F400" s="5"/>
      <c r="G400" s="5" t="s">
        <v>47</v>
      </c>
      <c r="H400" s="5"/>
      <c r="I400" s="5"/>
      <c r="J400" s="5"/>
      <c r="K400" s="5"/>
      <c r="L400" s="5"/>
      <c r="M400" s="5"/>
      <c r="N400" s="5" t="s">
        <v>124</v>
      </c>
      <c r="O400" s="5"/>
      <c r="P400" s="6">
        <f>IF(A400="","",COUNTA(D400:F400)+COUNTA(G400:G400)+COUNTA(H400:H400)+COUNTA(I400:I400))</f>
        <v>2</v>
      </c>
      <c r="Q400" s="6" t="str">
        <f>IF(A400="","",IF(AND(P400=6,UPPER(L400)&lt;&gt;"Y",C400&lt;&gt;""),"Yes","No"))</f>
        <v>No</v>
      </c>
      <c r="R400" s="5" t="s">
        <v>125</v>
      </c>
      <c r="S400" s="5"/>
      <c r="T400" s="5"/>
      <c r="U400" s="5"/>
      <c r="V400" s="5" t="s">
        <v>47</v>
      </c>
      <c r="W400" s="5"/>
      <c r="X400" s="5"/>
      <c r="Y400" s="5" t="s">
        <v>126</v>
      </c>
    </row>
    <row r="401" spans="1:25" x14ac:dyDescent="0.25">
      <c r="A401" s="5" t="s">
        <v>1233</v>
      </c>
      <c r="B401" s="5"/>
      <c r="C401" s="5" t="s">
        <v>70</v>
      </c>
      <c r="D401" s="5"/>
      <c r="E401" s="5"/>
      <c r="F401" s="5"/>
      <c r="G401" s="5" t="s">
        <v>47</v>
      </c>
      <c r="H401" s="5"/>
      <c r="I401" s="5"/>
      <c r="J401" s="5"/>
      <c r="K401" s="5"/>
      <c r="L401" s="5"/>
      <c r="M401" s="5"/>
      <c r="N401" s="5" t="s">
        <v>50</v>
      </c>
      <c r="O401" s="5"/>
      <c r="P401" s="6">
        <f>IF(A401="","",COUNTA(D401:F401)+COUNTA(G401:G401)+COUNTA(H401:H401)+COUNTA(I401:I401))</f>
        <v>1</v>
      </c>
      <c r="Q401" s="6" t="str">
        <f>IF(A401="","",IF(AND(P401=6,UPPER(L401)&lt;&gt;"Y",C401&lt;&gt;""),"Yes","No"))</f>
        <v>No</v>
      </c>
      <c r="R401" s="5" t="s">
        <v>51</v>
      </c>
      <c r="S401" s="5"/>
      <c r="T401" s="5"/>
      <c r="U401" s="5"/>
      <c r="V401" s="5"/>
      <c r="W401" s="5"/>
      <c r="X401" s="5"/>
      <c r="Y401" s="5" t="s">
        <v>256</v>
      </c>
    </row>
    <row r="402" spans="1:25" x14ac:dyDescent="0.25">
      <c r="A402" s="5" t="s">
        <v>1234</v>
      </c>
      <c r="B402" s="5"/>
      <c r="C402" s="5"/>
      <c r="D402" s="5"/>
      <c r="E402" s="5"/>
      <c r="F402" s="5"/>
      <c r="G402" s="5"/>
      <c r="H402" s="5" t="s">
        <v>77</v>
      </c>
      <c r="I402" s="5"/>
      <c r="J402" s="5"/>
      <c r="K402" s="5"/>
      <c r="L402" s="5"/>
      <c r="M402" s="5"/>
      <c r="N402" s="5" t="s">
        <v>66</v>
      </c>
      <c r="O402" s="5" t="s">
        <v>103</v>
      </c>
      <c r="P402" s="6">
        <f>IF(A402="","",COUNTA(D402:F402)+COUNTA(G402:G402)+COUNTA(H402:H402)+COUNTA(I402:I402))</f>
        <v>1</v>
      </c>
      <c r="Q402" s="6" t="str">
        <f>IF(A402="","",IF(AND(P402=6,UPPER(L402)&lt;&gt;"Y",C402&lt;&gt;""),"Yes","No"))</f>
        <v>No</v>
      </c>
      <c r="R402" s="5" t="s">
        <v>51</v>
      </c>
      <c r="S402" s="5"/>
      <c r="T402" s="5" t="s">
        <v>1235</v>
      </c>
      <c r="U402" s="5" t="s">
        <v>77</v>
      </c>
      <c r="V402" s="5"/>
      <c r="W402" s="5" t="s">
        <v>105</v>
      </c>
      <c r="X402" s="5"/>
      <c r="Y402" s="5"/>
    </row>
    <row r="403" spans="1:25" x14ac:dyDescent="0.25">
      <c r="A403" s="5" t="s">
        <v>1236</v>
      </c>
      <c r="B403" s="5"/>
      <c r="C403" s="5"/>
      <c r="D403" s="5"/>
      <c r="E403" s="5"/>
      <c r="F403" s="5"/>
      <c r="G403" s="5"/>
      <c r="H403" s="5"/>
      <c r="I403" s="5"/>
      <c r="J403" s="5"/>
      <c r="K403" s="5"/>
      <c r="L403" s="5"/>
      <c r="M403" s="5"/>
      <c r="N403" s="5" t="s">
        <v>66</v>
      </c>
      <c r="O403" s="5"/>
      <c r="P403" s="6">
        <f>IF(A403="","",COUNTA(D403:F403)+COUNTA(G403:G403)+COUNTA(H403:H403)+COUNTA(I403:I403))</f>
        <v>0</v>
      </c>
      <c r="Q403" s="6" t="str">
        <f>IF(A403="","",IF(AND(P403=6,UPPER(L403)&lt;&gt;"Y",C403&lt;&gt;""),"Yes","No"))</f>
        <v>No</v>
      </c>
      <c r="R403" s="5" t="s">
        <v>51</v>
      </c>
      <c r="S403" s="5"/>
      <c r="T403" s="5"/>
      <c r="U403" s="5"/>
      <c r="V403" s="5"/>
      <c r="W403" s="5"/>
      <c r="X403" s="5"/>
      <c r="Y403" s="5"/>
    </row>
    <row r="404" spans="1:25" x14ac:dyDescent="0.25">
      <c r="A404" s="5" t="s">
        <v>1237</v>
      </c>
      <c r="B404" s="5"/>
      <c r="C404" s="5" t="s">
        <v>70</v>
      </c>
      <c r="D404" s="5" t="s">
        <v>76</v>
      </c>
      <c r="E404" s="5" t="s">
        <v>331</v>
      </c>
      <c r="F404" s="5"/>
      <c r="G404" s="5"/>
      <c r="H404" s="5" t="s">
        <v>77</v>
      </c>
      <c r="I404" s="5"/>
      <c r="J404" s="5"/>
      <c r="K404" s="5"/>
      <c r="L404" s="5"/>
      <c r="M404" s="5"/>
      <c r="N404" s="5" t="s">
        <v>50</v>
      </c>
      <c r="O404" s="5"/>
      <c r="P404" s="6">
        <f>IF(A404="","",COUNTA(D404:F404)+COUNTA(G404:G404)+COUNTA(H404:H404)+COUNTA(I404:I404))</f>
        <v>3</v>
      </c>
      <c r="Q404" s="6" t="str">
        <f>IF(A404="","",IF(AND(P404=6,UPPER(L404)&lt;&gt;"Y",C404&lt;&gt;""),"Yes","No"))</f>
        <v>No</v>
      </c>
      <c r="R404" s="5" t="s">
        <v>51</v>
      </c>
      <c r="S404" s="5"/>
      <c r="T404" s="5"/>
      <c r="U404" s="5"/>
      <c r="V404" s="5"/>
      <c r="W404" s="5"/>
      <c r="X404" s="5"/>
      <c r="Y404" s="5" t="s">
        <v>1238</v>
      </c>
    </row>
    <row r="405" spans="1:25" x14ac:dyDescent="0.25">
      <c r="A405" s="5" t="s">
        <v>1239</v>
      </c>
      <c r="B405" s="5"/>
      <c r="C405" s="5"/>
      <c r="D405" s="5"/>
      <c r="E405" s="5" t="s">
        <v>45</v>
      </c>
      <c r="F405" s="5" t="s">
        <v>46</v>
      </c>
      <c r="G405" s="5" t="s">
        <v>57</v>
      </c>
      <c r="H405" s="5" t="s">
        <v>58</v>
      </c>
      <c r="I405" s="5"/>
      <c r="J405" s="5"/>
      <c r="K405" s="5"/>
      <c r="L405" s="5"/>
      <c r="M405" s="5"/>
      <c r="N405" s="5" t="s">
        <v>66</v>
      </c>
      <c r="O405" s="5" t="s">
        <v>103</v>
      </c>
      <c r="P405" s="6">
        <f>IF(A405="","",COUNTA(D405:F405)+COUNTA(G405:G405)+COUNTA(H405:H405)+COUNTA(I405:I405))</f>
        <v>4</v>
      </c>
      <c r="Q405" s="6" t="str">
        <f>IF(A405="","",IF(AND(P405=6,UPPER(L405)&lt;&gt;"Y",C405&lt;&gt;""),"Yes","No"))</f>
        <v>No</v>
      </c>
      <c r="R405" s="5" t="s">
        <v>51</v>
      </c>
      <c r="S405" s="5" t="s">
        <v>1240</v>
      </c>
      <c r="T405" s="5" t="s">
        <v>1241</v>
      </c>
      <c r="U405" s="5" t="s">
        <v>63</v>
      </c>
      <c r="V405" s="5" t="s">
        <v>57</v>
      </c>
      <c r="W405" s="5" t="s">
        <v>105</v>
      </c>
      <c r="X405" s="5"/>
      <c r="Y405" s="5" t="s">
        <v>392</v>
      </c>
    </row>
    <row r="406" spans="1:25" x14ac:dyDescent="0.25">
      <c r="A406" s="5" t="s">
        <v>1879</v>
      </c>
      <c r="B406" s="5"/>
      <c r="C406" s="5" t="s">
        <v>128</v>
      </c>
      <c r="D406" s="5" t="s">
        <v>76</v>
      </c>
      <c r="E406" s="5" t="s">
        <v>45</v>
      </c>
      <c r="F406" s="5" t="s">
        <v>46</v>
      </c>
      <c r="G406" s="5" t="s">
        <v>57</v>
      </c>
      <c r="H406" s="5" t="s">
        <v>1866</v>
      </c>
      <c r="I406" s="5" t="s">
        <v>119</v>
      </c>
      <c r="J406" s="5" t="s">
        <v>1880</v>
      </c>
      <c r="K406" s="5"/>
      <c r="L406" s="5"/>
      <c r="M406" s="5"/>
      <c r="N406" s="5" t="s">
        <v>50</v>
      </c>
      <c r="O406" s="5"/>
      <c r="P406" s="6">
        <f>IF(A406="","",COUNTA(D406:F406)+COUNTA(G406:G406)+COUNTA(H406:H406)+COUNTA(I406:I406))</f>
        <v>6</v>
      </c>
      <c r="Q406" s="6" t="str">
        <f>IF(A406="","",IF(AND(P406=6,UPPER(L406)&lt;&gt;"Y",C406&lt;&gt;""),"Yes","No"))</f>
        <v>Yes</v>
      </c>
      <c r="R406" s="5" t="s">
        <v>51</v>
      </c>
      <c r="S406" s="5" t="s">
        <v>1882</v>
      </c>
      <c r="T406" s="5" t="s">
        <v>1881</v>
      </c>
      <c r="U406" s="5" t="s">
        <v>77</v>
      </c>
      <c r="V406" s="5"/>
      <c r="W406" s="5" t="s">
        <v>43</v>
      </c>
      <c r="X406" s="5"/>
      <c r="Y406" s="5" t="s">
        <v>136</v>
      </c>
    </row>
    <row r="407" spans="1:25" x14ac:dyDescent="0.25">
      <c r="A407" s="5" t="s">
        <v>1242</v>
      </c>
      <c r="B407" s="5"/>
      <c r="C407" s="5" t="s">
        <v>43</v>
      </c>
      <c r="D407" s="5" t="s">
        <v>76</v>
      </c>
      <c r="E407" s="5"/>
      <c r="F407" s="5"/>
      <c r="G407" s="5"/>
      <c r="H407" s="5" t="s">
        <v>77</v>
      </c>
      <c r="I407" s="5"/>
      <c r="J407" s="5"/>
      <c r="K407" s="5"/>
      <c r="L407" s="5"/>
      <c r="M407" s="5"/>
      <c r="N407" s="5" t="s">
        <v>50</v>
      </c>
      <c r="O407" s="5"/>
      <c r="P407" s="6">
        <f>IF(A407="","",COUNTA(D407:F407)+COUNTA(G407:G407)+COUNTA(H407:H407)+COUNTA(I407:I407))</f>
        <v>2</v>
      </c>
      <c r="Q407" s="6" t="str">
        <f>IF(A407="","",IF(AND(P407=6,UPPER(L407)&lt;&gt;"Y",C407&lt;&gt;""),"Yes","No"))</f>
        <v>No</v>
      </c>
      <c r="R407" s="5" t="s">
        <v>51</v>
      </c>
      <c r="S407" s="5"/>
      <c r="T407" s="5" t="s">
        <v>1243</v>
      </c>
      <c r="U407" s="5" t="s">
        <v>77</v>
      </c>
      <c r="V407" s="5"/>
      <c r="W407" s="5" t="s">
        <v>43</v>
      </c>
      <c r="X407" s="5"/>
      <c r="Y407" s="5" t="s">
        <v>136</v>
      </c>
    </row>
    <row r="408" spans="1:25" x14ac:dyDescent="0.25">
      <c r="A408" s="5" t="s">
        <v>1244</v>
      </c>
      <c r="B408" s="5"/>
      <c r="C408" s="5"/>
      <c r="D408" s="5"/>
      <c r="E408" s="5"/>
      <c r="F408" s="5"/>
      <c r="G408" s="5"/>
      <c r="H408" s="5" t="s">
        <v>259</v>
      </c>
      <c r="I408" s="5" t="s">
        <v>133</v>
      </c>
      <c r="J408" s="5"/>
      <c r="K408" s="5" t="s">
        <v>133</v>
      </c>
      <c r="L408" s="5"/>
      <c r="M408" s="5"/>
      <c r="N408" s="5" t="s">
        <v>66</v>
      </c>
      <c r="O408" s="5" t="s">
        <v>163</v>
      </c>
      <c r="P408" s="6">
        <f>IF(A408="","",COUNTA(D408:F408)+COUNTA(G408:G408)+COUNTA(H408:H408)+COUNTA(I408:I408))</f>
        <v>2</v>
      </c>
      <c r="Q408" s="6" t="str">
        <f>IF(A408="","",IF(AND(P408=6,UPPER(L408)&lt;&gt;"Y",C408&lt;&gt;""),"Yes","No"))</f>
        <v>No</v>
      </c>
      <c r="R408" s="5" t="s">
        <v>51</v>
      </c>
      <c r="S408" s="5"/>
      <c r="T408" s="5" t="s">
        <v>1245</v>
      </c>
      <c r="U408" s="5" t="s">
        <v>261</v>
      </c>
      <c r="V408" s="5"/>
      <c r="W408" s="5" t="s">
        <v>166</v>
      </c>
      <c r="X408" s="5"/>
      <c r="Y408" s="5"/>
    </row>
    <row r="409" spans="1:25" x14ac:dyDescent="0.25">
      <c r="A409" s="5" t="s">
        <v>1246</v>
      </c>
      <c r="B409" s="5"/>
      <c r="C409" s="5" t="s">
        <v>43</v>
      </c>
      <c r="D409" s="5" t="s">
        <v>76</v>
      </c>
      <c r="E409" s="5"/>
      <c r="F409" s="5"/>
      <c r="G409" s="5" t="s">
        <v>47</v>
      </c>
      <c r="H409" s="5" t="s">
        <v>58</v>
      </c>
      <c r="I409" s="5" t="s">
        <v>192</v>
      </c>
      <c r="J409" s="5"/>
      <c r="K409" s="5" t="s">
        <v>192</v>
      </c>
      <c r="L409" s="5"/>
      <c r="M409" s="5"/>
      <c r="N409" s="5" t="s">
        <v>50</v>
      </c>
      <c r="O409" s="5" t="s">
        <v>1247</v>
      </c>
      <c r="P409" s="6">
        <f>IF(A409="","",COUNTA(D409:F409)+COUNTA(G409:G409)+COUNTA(H409:H409)+COUNTA(I409:I409))</f>
        <v>4</v>
      </c>
      <c r="Q409" s="6" t="str">
        <f>IF(A409="","",IF(AND(P409=6,UPPER(L409)&lt;&gt;"Y",C409&lt;&gt;""),"Yes","No"))</f>
        <v>No</v>
      </c>
      <c r="R409" s="5" t="s">
        <v>51</v>
      </c>
      <c r="S409" s="5"/>
      <c r="T409" s="5" t="s">
        <v>1248</v>
      </c>
      <c r="U409" s="5" t="s">
        <v>63</v>
      </c>
      <c r="V409" s="5" t="s">
        <v>1249</v>
      </c>
      <c r="W409" s="5" t="s">
        <v>43</v>
      </c>
      <c r="X409" s="5"/>
      <c r="Y409" s="5" t="s">
        <v>136</v>
      </c>
    </row>
    <row r="410" spans="1:25" x14ac:dyDescent="0.25">
      <c r="A410" s="5" t="s">
        <v>1250</v>
      </c>
      <c r="B410" s="5" t="s">
        <v>1251</v>
      </c>
      <c r="C410" s="5"/>
      <c r="D410" s="5"/>
      <c r="E410" s="5"/>
      <c r="F410" s="5"/>
      <c r="G410" s="5"/>
      <c r="H410" s="5" t="s">
        <v>915</v>
      </c>
      <c r="I410" s="5"/>
      <c r="J410" s="5"/>
      <c r="K410" s="5"/>
      <c r="L410" s="5"/>
      <c r="M410" s="5"/>
      <c r="N410" s="5" t="s">
        <v>66</v>
      </c>
      <c r="O410" s="5" t="s">
        <v>103</v>
      </c>
      <c r="P410" s="6">
        <f>IF(A410="","",COUNTA(D410:F410)+COUNTA(G410:G410)+COUNTA(H410:H410)+COUNTA(I410:I410))</f>
        <v>1</v>
      </c>
      <c r="Q410" s="6" t="str">
        <f>IF(A410="","",IF(AND(P410=6,UPPER(L410)&lt;&gt;"Y",C410&lt;&gt;""),"Yes","No"))</f>
        <v>No</v>
      </c>
      <c r="R410" s="5" t="s">
        <v>51</v>
      </c>
      <c r="S410" s="5"/>
      <c r="T410" s="5" t="s">
        <v>1252</v>
      </c>
      <c r="U410" s="5" t="s">
        <v>915</v>
      </c>
      <c r="V410" s="5"/>
      <c r="W410" s="5" t="s">
        <v>105</v>
      </c>
      <c r="X410" s="5"/>
      <c r="Y410" s="5"/>
    </row>
    <row r="411" spans="1:25" x14ac:dyDescent="0.25">
      <c r="A411" s="5" t="s">
        <v>1253</v>
      </c>
      <c r="B411" s="5"/>
      <c r="C411" s="5"/>
      <c r="D411" s="5"/>
      <c r="E411" s="5"/>
      <c r="F411" s="5"/>
      <c r="G411" s="5"/>
      <c r="H411" s="5" t="s">
        <v>259</v>
      </c>
      <c r="I411" s="5" t="s">
        <v>59</v>
      </c>
      <c r="J411" s="5"/>
      <c r="K411" s="5" t="s">
        <v>59</v>
      </c>
      <c r="L411" s="5"/>
      <c r="M411" s="5"/>
      <c r="N411" s="5" t="s">
        <v>66</v>
      </c>
      <c r="O411" s="5" t="s">
        <v>163</v>
      </c>
      <c r="P411" s="6">
        <f>IF(A411="","",COUNTA(D411:F411)+COUNTA(G411:G411)+COUNTA(H411:H411)+COUNTA(I411:I411))</f>
        <v>2</v>
      </c>
      <c r="Q411" s="6" t="str">
        <f>IF(A411="","",IF(AND(P411=6,UPPER(L411)&lt;&gt;"Y",C411&lt;&gt;""),"Yes","No"))</f>
        <v>No</v>
      </c>
      <c r="R411" s="5" t="s">
        <v>51</v>
      </c>
      <c r="S411" s="5"/>
      <c r="T411" s="5" t="s">
        <v>1254</v>
      </c>
      <c r="U411" s="5" t="s">
        <v>261</v>
      </c>
      <c r="V411" s="5"/>
      <c r="W411" s="5" t="s">
        <v>166</v>
      </c>
      <c r="X411" s="5"/>
      <c r="Y411" s="5"/>
    </row>
    <row r="412" spans="1:25" x14ac:dyDescent="0.25">
      <c r="A412" s="5" t="s">
        <v>1255</v>
      </c>
      <c r="B412" s="5"/>
      <c r="C412" s="5" t="s">
        <v>43</v>
      </c>
      <c r="D412" s="5"/>
      <c r="E412" s="5"/>
      <c r="F412" s="5"/>
      <c r="G412" s="5" t="s">
        <v>47</v>
      </c>
      <c r="H412" s="5"/>
      <c r="I412" s="5"/>
      <c r="J412" s="5"/>
      <c r="K412" s="5"/>
      <c r="L412" s="5"/>
      <c r="M412" s="5"/>
      <c r="N412" s="5" t="s">
        <v>50</v>
      </c>
      <c r="O412" s="5"/>
      <c r="P412" s="6">
        <f>IF(A412="","",COUNTA(D412:F412)+COUNTA(G412:G412)+COUNTA(H412:H412)+COUNTA(I412:I412))</f>
        <v>1</v>
      </c>
      <c r="Q412" s="6" t="str">
        <f>IF(A412="","",IF(AND(P412=6,UPPER(L412)&lt;&gt;"Y",C412&lt;&gt;""),"Yes","No"))</f>
        <v>No</v>
      </c>
      <c r="R412" s="5" t="s">
        <v>51</v>
      </c>
      <c r="S412" s="5"/>
      <c r="T412" s="5"/>
      <c r="U412" s="5"/>
      <c r="V412" s="5"/>
      <c r="W412" s="5" t="s">
        <v>43</v>
      </c>
      <c r="X412" s="5" t="s">
        <v>68</v>
      </c>
      <c r="Y412" s="5" t="s">
        <v>547</v>
      </c>
    </row>
    <row r="413" spans="1:25" x14ac:dyDescent="0.25">
      <c r="A413" s="5" t="s">
        <v>1256</v>
      </c>
      <c r="B413" s="5"/>
      <c r="C413" s="5"/>
      <c r="D413" s="5"/>
      <c r="E413" s="5"/>
      <c r="F413" s="5"/>
      <c r="G413" s="5"/>
      <c r="H413" s="5" t="s">
        <v>259</v>
      </c>
      <c r="I413" s="5"/>
      <c r="J413" s="5"/>
      <c r="K413" s="5"/>
      <c r="L413" s="5"/>
      <c r="M413" s="5"/>
      <c r="N413" s="5" t="s">
        <v>66</v>
      </c>
      <c r="O413" s="5" t="s">
        <v>163</v>
      </c>
      <c r="P413" s="6">
        <f>IF(A413="","",COUNTA(D413:F413)+COUNTA(G413:G413)+COUNTA(H413:H413)+COUNTA(I413:I413))</f>
        <v>1</v>
      </c>
      <c r="Q413" s="6" t="str">
        <f>IF(A413="","",IF(AND(P413=6,UPPER(L413)&lt;&gt;"Y",C413&lt;&gt;""),"Yes","No"))</f>
        <v>No</v>
      </c>
      <c r="R413" s="5" t="s">
        <v>51</v>
      </c>
      <c r="S413" s="5"/>
      <c r="T413" s="5" t="s">
        <v>1257</v>
      </c>
      <c r="U413" s="5" t="s">
        <v>261</v>
      </c>
      <c r="V413" s="5"/>
      <c r="W413" s="5" t="s">
        <v>166</v>
      </c>
      <c r="X413" s="5"/>
      <c r="Y413" s="5"/>
    </row>
    <row r="414" spans="1:25" x14ac:dyDescent="0.25">
      <c r="A414" s="5" t="s">
        <v>1258</v>
      </c>
      <c r="B414" s="5"/>
      <c r="C414" s="5" t="s">
        <v>43</v>
      </c>
      <c r="D414" s="5" t="s">
        <v>76</v>
      </c>
      <c r="E414" s="5" t="s">
        <v>45</v>
      </c>
      <c r="F414" s="5" t="s">
        <v>107</v>
      </c>
      <c r="G414" s="5" t="s">
        <v>1851</v>
      </c>
      <c r="H414" s="5" t="s">
        <v>77</v>
      </c>
      <c r="I414" s="5" t="s">
        <v>192</v>
      </c>
      <c r="J414" s="5"/>
      <c r="K414" s="5" t="s">
        <v>192</v>
      </c>
      <c r="L414" s="5"/>
      <c r="M414" s="5"/>
      <c r="N414" s="5" t="s">
        <v>50</v>
      </c>
      <c r="O414" s="5"/>
      <c r="P414" s="6">
        <f>IF(A414="","",COUNTA(D414:F414)+COUNTA(G414:G414)+COUNTA(H414:H414)+COUNTA(I414:I414))</f>
        <v>6</v>
      </c>
      <c r="Q414" s="6" t="str">
        <f>IF(A414="","",IF(AND(P414=6,UPPER(L414)&lt;&gt;"Y",C414&lt;&gt;""),"Yes","No"))</f>
        <v>Yes</v>
      </c>
      <c r="R414" s="5" t="s">
        <v>51</v>
      </c>
      <c r="S414" s="5" t="s">
        <v>1259</v>
      </c>
      <c r="T414" s="5" t="s">
        <v>1260</v>
      </c>
      <c r="U414" s="5" t="s">
        <v>77</v>
      </c>
      <c r="V414" s="5"/>
      <c r="W414" s="5"/>
      <c r="X414" s="5"/>
      <c r="Y414" s="5" t="s">
        <v>1261</v>
      </c>
    </row>
    <row r="415" spans="1:25" x14ac:dyDescent="0.25">
      <c r="A415" s="5" t="s">
        <v>1262</v>
      </c>
      <c r="B415" s="5"/>
      <c r="C415" s="5" t="s">
        <v>43</v>
      </c>
      <c r="D415" s="5" t="s">
        <v>44</v>
      </c>
      <c r="E415" s="5" t="s">
        <v>45</v>
      </c>
      <c r="F415" s="5" t="s">
        <v>46</v>
      </c>
      <c r="G415" s="5" t="s">
        <v>47</v>
      </c>
      <c r="H415" s="5" t="s">
        <v>63</v>
      </c>
      <c r="I415" s="5" t="s">
        <v>123</v>
      </c>
      <c r="J415" s="5"/>
      <c r="K415" s="5" t="s">
        <v>123</v>
      </c>
      <c r="L415" s="5"/>
      <c r="M415" s="5"/>
      <c r="N415" s="5" t="s">
        <v>50</v>
      </c>
      <c r="O415" s="5"/>
      <c r="P415" s="6">
        <f>IF(A415="","",COUNTA(D415:F415)+COUNTA(G415:G415)+COUNTA(H415:H415)+COUNTA(I415:I415))</f>
        <v>6</v>
      </c>
      <c r="Q415" s="6" t="str">
        <f>IF(A415="","",IF(AND(P415=6,UPPER(L415)&lt;&gt;"Y",C415&lt;&gt;""),"Yes","No"))</f>
        <v>Yes</v>
      </c>
      <c r="R415" s="5" t="s">
        <v>51</v>
      </c>
      <c r="S415" s="5"/>
      <c r="T415" s="5" t="s">
        <v>1899</v>
      </c>
      <c r="U415" s="5" t="s">
        <v>1263</v>
      </c>
      <c r="V415" s="5" t="s">
        <v>47</v>
      </c>
      <c r="W415" s="5" t="s">
        <v>43</v>
      </c>
      <c r="X415" s="5" t="s">
        <v>1264</v>
      </c>
      <c r="Y415" s="5" t="s">
        <v>136</v>
      </c>
    </row>
    <row r="416" spans="1:25" x14ac:dyDescent="0.25">
      <c r="A416" s="5" t="s">
        <v>1265</v>
      </c>
      <c r="B416" s="5"/>
      <c r="C416" s="5" t="s">
        <v>43</v>
      </c>
      <c r="D416" s="5" t="s">
        <v>44</v>
      </c>
      <c r="E416" s="5"/>
      <c r="F416" s="5"/>
      <c r="G416" s="5" t="s">
        <v>47</v>
      </c>
      <c r="H416" s="5"/>
      <c r="I416" s="5"/>
      <c r="J416" s="5"/>
      <c r="K416" s="5"/>
      <c r="L416" s="5"/>
      <c r="M416" s="5"/>
      <c r="N416" s="5" t="s">
        <v>50</v>
      </c>
      <c r="O416" s="5"/>
      <c r="P416" s="6">
        <f>IF(A416="","",COUNTA(D416:F416)+COUNTA(G416:G416)+COUNTA(H416:H416)+COUNTA(I416:I416))</f>
        <v>2</v>
      </c>
      <c r="Q416" s="6" t="str">
        <f>IF(A416="","",IF(AND(P416=6,UPPER(L416)&lt;&gt;"Y",C416&lt;&gt;""),"Yes","No"))</f>
        <v>No</v>
      </c>
      <c r="R416" s="5" t="s">
        <v>51</v>
      </c>
      <c r="S416" s="5"/>
      <c r="T416" s="5" t="s">
        <v>1266</v>
      </c>
      <c r="U416" s="5"/>
      <c r="V416" s="5"/>
      <c r="W416" s="5" t="s">
        <v>43</v>
      </c>
      <c r="X416" s="5"/>
      <c r="Y416" s="5" t="s">
        <v>64</v>
      </c>
    </row>
    <row r="417" spans="1:25" x14ac:dyDescent="0.25">
      <c r="A417" s="5" t="s">
        <v>1267</v>
      </c>
      <c r="B417" s="5"/>
      <c r="C417" s="5" t="s">
        <v>70</v>
      </c>
      <c r="D417" s="5"/>
      <c r="E417" s="5"/>
      <c r="F417" s="5"/>
      <c r="G417" s="5" t="s">
        <v>47</v>
      </c>
      <c r="H417" s="5"/>
      <c r="I417" s="5" t="s">
        <v>178</v>
      </c>
      <c r="J417" s="5"/>
      <c r="K417" s="5" t="s">
        <v>178</v>
      </c>
      <c r="L417" s="5"/>
      <c r="M417" s="5"/>
      <c r="N417" s="5" t="s">
        <v>124</v>
      </c>
      <c r="O417" s="5"/>
      <c r="P417" s="6">
        <f>IF(A417="","",COUNTA(D417:F417)+COUNTA(G417:G417)+COUNTA(H417:H417)+COUNTA(I417:I417))</f>
        <v>2</v>
      </c>
      <c r="Q417" s="6" t="str">
        <f>IF(A417="","",IF(AND(P417=6,UPPER(L417)&lt;&gt;"Y",C417&lt;&gt;""),"Yes","No"))</f>
        <v>No</v>
      </c>
      <c r="R417" s="5" t="s">
        <v>125</v>
      </c>
      <c r="S417" s="5"/>
      <c r="T417" s="5"/>
      <c r="U417" s="5"/>
      <c r="V417" s="5" t="s">
        <v>47</v>
      </c>
      <c r="W417" s="5"/>
      <c r="X417" s="5"/>
      <c r="Y417" s="5" t="s">
        <v>1268</v>
      </c>
    </row>
    <row r="418" spans="1:25" x14ac:dyDescent="0.25">
      <c r="A418" s="5" t="s">
        <v>1269</v>
      </c>
      <c r="B418" s="5"/>
      <c r="C418" s="5" t="s">
        <v>43</v>
      </c>
      <c r="D418" s="5" t="s">
        <v>44</v>
      </c>
      <c r="E418" s="5"/>
      <c r="F418" s="5"/>
      <c r="G418" s="5" t="s">
        <v>47</v>
      </c>
      <c r="H418" s="5" t="s">
        <v>313</v>
      </c>
      <c r="I418" s="5" t="s">
        <v>193</v>
      </c>
      <c r="J418" s="5" t="s">
        <v>192</v>
      </c>
      <c r="K418" s="5" t="s">
        <v>1270</v>
      </c>
      <c r="L418" s="5"/>
      <c r="M418" s="5"/>
      <c r="N418" s="5" t="s">
        <v>50</v>
      </c>
      <c r="O418" s="5"/>
      <c r="P418" s="6">
        <f>IF(A418="","",COUNTA(D418:F418)+COUNTA(G418:G418)+COUNTA(H418:H418)+COUNTA(I418:I418))</f>
        <v>4</v>
      </c>
      <c r="Q418" s="6" t="str">
        <f>IF(A418="","",IF(AND(P418=6,UPPER(L418)&lt;&gt;"Y",C418&lt;&gt;""),"Yes","No"))</f>
        <v>No</v>
      </c>
      <c r="R418" s="5" t="s">
        <v>51</v>
      </c>
      <c r="S418" s="5"/>
      <c r="T418" s="5" t="s">
        <v>1271</v>
      </c>
      <c r="U418" s="5" t="s">
        <v>316</v>
      </c>
      <c r="V418" s="5"/>
      <c r="W418" s="5" t="s">
        <v>43</v>
      </c>
      <c r="X418" s="5"/>
      <c r="Y418" s="5" t="s">
        <v>237</v>
      </c>
    </row>
    <row r="419" spans="1:25" x14ac:dyDescent="0.25">
      <c r="A419" s="5" t="s">
        <v>1272</v>
      </c>
      <c r="B419" s="5"/>
      <c r="C419" s="5"/>
      <c r="D419" s="5"/>
      <c r="E419" s="5"/>
      <c r="F419" s="5"/>
      <c r="G419" s="5"/>
      <c r="H419" s="5" t="s">
        <v>1273</v>
      </c>
      <c r="I419" s="5"/>
      <c r="J419" s="5"/>
      <c r="K419" s="5"/>
      <c r="L419" s="5"/>
      <c r="M419" s="5"/>
      <c r="N419" s="5" t="s">
        <v>66</v>
      </c>
      <c r="O419" s="5" t="s">
        <v>103</v>
      </c>
      <c r="P419" s="6">
        <f>IF(A419="","",COUNTA(D419:F419)+COUNTA(G419:G419)+COUNTA(H419:H419)+COUNTA(I419:I419))</f>
        <v>1</v>
      </c>
      <c r="Q419" s="6" t="str">
        <f>IF(A419="","",IF(AND(P419=6,UPPER(L419)&lt;&gt;"Y",C419&lt;&gt;""),"Yes","No"))</f>
        <v>No</v>
      </c>
      <c r="R419" s="5" t="s">
        <v>51</v>
      </c>
      <c r="S419" s="5"/>
      <c r="T419" s="5"/>
      <c r="U419" s="5" t="s">
        <v>1273</v>
      </c>
      <c r="V419" s="5"/>
      <c r="W419" s="5" t="s">
        <v>105</v>
      </c>
      <c r="X419" s="5"/>
      <c r="Y419" s="5"/>
    </row>
    <row r="420" spans="1:25" x14ac:dyDescent="0.25">
      <c r="A420" s="5" t="s">
        <v>1274</v>
      </c>
      <c r="B420" s="5"/>
      <c r="C420" s="5" t="s">
        <v>43</v>
      </c>
      <c r="D420" s="5" t="s">
        <v>44</v>
      </c>
      <c r="E420" s="5" t="s">
        <v>45</v>
      </c>
      <c r="F420" s="5" t="s">
        <v>107</v>
      </c>
      <c r="G420" s="5" t="s">
        <v>47</v>
      </c>
      <c r="H420" s="5" t="s">
        <v>515</v>
      </c>
      <c r="I420" s="5" t="s">
        <v>119</v>
      </c>
      <c r="J420" s="5" t="s">
        <v>71</v>
      </c>
      <c r="K420" s="5" t="s">
        <v>1275</v>
      </c>
      <c r="L420" s="5"/>
      <c r="M420" s="5"/>
      <c r="N420" s="5" t="s">
        <v>110</v>
      </c>
      <c r="O420" s="5" t="s">
        <v>1276</v>
      </c>
      <c r="P420" s="6">
        <f>IF(A420="","",COUNTA(D420:F420)+COUNTA(G420:G420)+COUNTA(H420:H420)+COUNTA(I420:I420))</f>
        <v>6</v>
      </c>
      <c r="Q420" s="6" t="str">
        <f>IF(A420="","",IF(AND(P420=6,UPPER(L420)&lt;&gt;"Y",C420&lt;&gt;""),"Yes","No"))</f>
        <v>Yes</v>
      </c>
      <c r="R420" s="5" t="s">
        <v>112</v>
      </c>
      <c r="S420" s="5" t="s">
        <v>1277</v>
      </c>
      <c r="T420" s="5" t="s">
        <v>1278</v>
      </c>
      <c r="U420" s="5" t="s">
        <v>1279</v>
      </c>
      <c r="V420" s="5" t="s">
        <v>892</v>
      </c>
      <c r="W420" s="5" t="s">
        <v>43</v>
      </c>
      <c r="X420" s="5" t="s">
        <v>1280</v>
      </c>
      <c r="Y420" s="5" t="s">
        <v>219</v>
      </c>
    </row>
    <row r="421" spans="1:25" x14ac:dyDescent="0.25">
      <c r="A421" s="5" t="s">
        <v>1281</v>
      </c>
      <c r="B421" s="5"/>
      <c r="C421" s="5" t="s">
        <v>43</v>
      </c>
      <c r="D421" s="5" t="s">
        <v>244</v>
      </c>
      <c r="E421" s="5" t="s">
        <v>45</v>
      </c>
      <c r="F421" s="5" t="s">
        <v>107</v>
      </c>
      <c r="G421" s="5" t="s">
        <v>47</v>
      </c>
      <c r="H421" s="5" t="s">
        <v>245</v>
      </c>
      <c r="I421" s="5" t="s">
        <v>123</v>
      </c>
      <c r="J421" s="5"/>
      <c r="K421" s="5" t="s">
        <v>123</v>
      </c>
      <c r="L421" s="5"/>
      <c r="M421" s="5"/>
      <c r="N421" s="5" t="s">
        <v>50</v>
      </c>
      <c r="O421" s="5"/>
      <c r="P421" s="6">
        <f>IF(A421="","",COUNTA(D421:F421)+COUNTA(G421:G421)+COUNTA(H421:H421)+COUNTA(I421:I421))</f>
        <v>6</v>
      </c>
      <c r="Q421" s="6" t="str">
        <f>IF(A421="","",IF(AND(P421=6,UPPER(L421)&lt;&gt;"Y",C421&lt;&gt;""),"Yes","No"))</f>
        <v>Yes</v>
      </c>
      <c r="R421" s="5" t="s">
        <v>51</v>
      </c>
      <c r="S421" s="5"/>
      <c r="T421" s="5" t="s">
        <v>1282</v>
      </c>
      <c r="U421" s="5" t="s">
        <v>245</v>
      </c>
      <c r="V421" s="5"/>
      <c r="W421" s="5" t="s">
        <v>43</v>
      </c>
      <c r="X421" s="5"/>
      <c r="Y421" s="5" t="s">
        <v>64</v>
      </c>
    </row>
    <row r="422" spans="1:25" x14ac:dyDescent="0.25">
      <c r="A422" s="5" t="s">
        <v>1284</v>
      </c>
      <c r="B422" s="5"/>
      <c r="C422" s="5" t="s">
        <v>43</v>
      </c>
      <c r="D422" s="5"/>
      <c r="E422" s="5" t="s">
        <v>45</v>
      </c>
      <c r="F422" s="5" t="s">
        <v>107</v>
      </c>
      <c r="G422" s="5" t="s">
        <v>47</v>
      </c>
      <c r="H422" s="5"/>
      <c r="I422" s="5"/>
      <c r="J422" s="5"/>
      <c r="K422" s="5"/>
      <c r="L422" s="5"/>
      <c r="M422" s="5"/>
      <c r="N422" s="5" t="s">
        <v>66</v>
      </c>
      <c r="O422" s="5"/>
      <c r="P422" s="6">
        <f>IF(A422="","",COUNTA(D422:F422)+COUNTA(G422:G422)+COUNTA(H422:H422)+COUNTA(I422:I422))</f>
        <v>3</v>
      </c>
      <c r="Q422" s="6" t="str">
        <f>IF(A422="","",IF(AND(P422=6,UPPER(L422)&lt;&gt;"Y",C422&lt;&gt;""),"Yes","No"))</f>
        <v>No</v>
      </c>
      <c r="R422" s="5" t="s">
        <v>51</v>
      </c>
      <c r="S422" s="5" t="s">
        <v>1285</v>
      </c>
      <c r="T422" s="5"/>
      <c r="U422" s="5"/>
      <c r="V422" s="5" t="s">
        <v>67</v>
      </c>
      <c r="W422" s="5" t="s">
        <v>43</v>
      </c>
      <c r="X422" s="5" t="s">
        <v>68</v>
      </c>
      <c r="Y422" s="5" t="s">
        <v>392</v>
      </c>
    </row>
    <row r="423" spans="1:25" x14ac:dyDescent="0.25">
      <c r="A423" s="5" t="s">
        <v>1286</v>
      </c>
      <c r="B423" s="5"/>
      <c r="C423" s="5"/>
      <c r="D423" s="5"/>
      <c r="E423" s="5"/>
      <c r="F423" s="5"/>
      <c r="G423" s="5"/>
      <c r="H423" s="5" t="s">
        <v>259</v>
      </c>
      <c r="I423" s="5"/>
      <c r="J423" s="5"/>
      <c r="K423" s="5"/>
      <c r="L423" s="5"/>
      <c r="M423" s="5"/>
      <c r="N423" s="5" t="s">
        <v>66</v>
      </c>
      <c r="O423" s="5" t="s">
        <v>103</v>
      </c>
      <c r="P423" s="6">
        <f>IF(A423="","",COUNTA(D423:F423)+COUNTA(G423:G423)+COUNTA(H423:H423)+COUNTA(I423:I423))</f>
        <v>1</v>
      </c>
      <c r="Q423" s="6" t="str">
        <f>IF(A423="","",IF(AND(P423=6,UPPER(L423)&lt;&gt;"Y",C423&lt;&gt;""),"Yes","No"))</f>
        <v>No</v>
      </c>
      <c r="R423" s="5" t="s">
        <v>51</v>
      </c>
      <c r="S423" s="5"/>
      <c r="T423" s="5"/>
      <c r="U423" s="5" t="s">
        <v>261</v>
      </c>
      <c r="V423" s="5"/>
      <c r="W423" s="5" t="s">
        <v>105</v>
      </c>
      <c r="X423" s="5"/>
      <c r="Y423" s="5"/>
    </row>
    <row r="424" spans="1:25" x14ac:dyDescent="0.25">
      <c r="A424" s="5" t="s">
        <v>1287</v>
      </c>
      <c r="B424" s="5"/>
      <c r="C424" s="5" t="s">
        <v>43</v>
      </c>
      <c r="D424" s="5" t="s">
        <v>76</v>
      </c>
      <c r="E424" s="5"/>
      <c r="F424" s="5"/>
      <c r="G424" s="5" t="s">
        <v>47</v>
      </c>
      <c r="H424" s="5" t="s">
        <v>259</v>
      </c>
      <c r="I424" s="5" t="s">
        <v>133</v>
      </c>
      <c r="J424" s="5"/>
      <c r="K424" s="5" t="s">
        <v>133</v>
      </c>
      <c r="L424" s="5"/>
      <c r="M424" s="5"/>
      <c r="N424" s="5" t="s">
        <v>50</v>
      </c>
      <c r="O424" s="5"/>
      <c r="P424" s="6">
        <f>IF(A424="","",COUNTA(D424:F424)+COUNTA(G424:G424)+COUNTA(H424:H424)+COUNTA(I424:I424))</f>
        <v>4</v>
      </c>
      <c r="Q424" s="6" t="str">
        <f>IF(A424="","",IF(AND(P424=6,UPPER(L424)&lt;&gt;"Y",C424&lt;&gt;""),"Yes","No"))</f>
        <v>No</v>
      </c>
      <c r="R424" s="5" t="s">
        <v>51</v>
      </c>
      <c r="S424" s="5"/>
      <c r="T424" s="5" t="s">
        <v>1288</v>
      </c>
      <c r="U424" s="5" t="s">
        <v>261</v>
      </c>
      <c r="V424" s="5" t="s">
        <v>470</v>
      </c>
      <c r="W424" s="5" t="s">
        <v>43</v>
      </c>
      <c r="X424" s="5"/>
      <c r="Y424" s="5" t="s">
        <v>352</v>
      </c>
    </row>
    <row r="425" spans="1:25" x14ac:dyDescent="0.25">
      <c r="A425" s="5" t="s">
        <v>1289</v>
      </c>
      <c r="B425" s="5"/>
      <c r="C425" s="5" t="s">
        <v>70</v>
      </c>
      <c r="D425" s="5" t="s">
        <v>76</v>
      </c>
      <c r="E425" s="5"/>
      <c r="F425" s="5"/>
      <c r="G425" s="5"/>
      <c r="H425" s="5" t="s">
        <v>259</v>
      </c>
      <c r="I425" s="5"/>
      <c r="J425" s="5"/>
      <c r="K425" s="5"/>
      <c r="L425" s="5"/>
      <c r="M425" s="5"/>
      <c r="N425" s="5" t="s">
        <v>124</v>
      </c>
      <c r="O425" s="5"/>
      <c r="P425" s="6">
        <f>IF(A425="","",COUNTA(D425:F425)+COUNTA(G425:G425)+COUNTA(H425:H425)+COUNTA(I425:I425))</f>
        <v>2</v>
      </c>
      <c r="Q425" s="6" t="str">
        <f>IF(A425="","",IF(AND(P425=6,UPPER(L425)&lt;&gt;"Y",C425&lt;&gt;""),"Yes","No"))</f>
        <v>No</v>
      </c>
      <c r="R425" s="5" t="s">
        <v>125</v>
      </c>
      <c r="S425" s="5"/>
      <c r="T425" s="5"/>
      <c r="U425" s="5" t="s">
        <v>259</v>
      </c>
      <c r="V425" s="5"/>
      <c r="W425" s="5"/>
      <c r="X425" s="5"/>
      <c r="Y425" s="5" t="s">
        <v>155</v>
      </c>
    </row>
    <row r="426" spans="1:25" x14ac:dyDescent="0.25">
      <c r="A426" s="5" t="s">
        <v>1290</v>
      </c>
      <c r="B426" s="5"/>
      <c r="C426" s="5"/>
      <c r="D426" s="5"/>
      <c r="E426" s="5" t="s">
        <v>45</v>
      </c>
      <c r="F426" s="5" t="s">
        <v>107</v>
      </c>
      <c r="G426" s="5"/>
      <c r="H426" s="5" t="s">
        <v>77</v>
      </c>
      <c r="I426" s="5" t="s">
        <v>71</v>
      </c>
      <c r="J426" s="5" t="s">
        <v>119</v>
      </c>
      <c r="K426" s="5" t="s">
        <v>1291</v>
      </c>
      <c r="L426" s="5"/>
      <c r="M426" s="5"/>
      <c r="N426" s="5" t="s">
        <v>66</v>
      </c>
      <c r="O426" s="5" t="s">
        <v>103</v>
      </c>
      <c r="P426" s="6">
        <f>IF(A426="","",COUNTA(D426:F426)+COUNTA(G426:G426)+COUNTA(H426:H426)+COUNTA(I426:I426))</f>
        <v>4</v>
      </c>
      <c r="Q426" s="6" t="str">
        <f>IF(A426="","",IF(AND(P426=6,UPPER(L426)&lt;&gt;"Y",C426&lt;&gt;""),"Yes","No"))</f>
        <v>No</v>
      </c>
      <c r="R426" s="5" t="s">
        <v>51</v>
      </c>
      <c r="S426" s="5" t="s">
        <v>1292</v>
      </c>
      <c r="T426" s="5" t="s">
        <v>1293</v>
      </c>
      <c r="U426" s="5" t="s">
        <v>77</v>
      </c>
      <c r="V426" s="5"/>
      <c r="W426" s="5" t="s">
        <v>105</v>
      </c>
      <c r="X426" s="5"/>
      <c r="Y426" s="5" t="s">
        <v>167</v>
      </c>
    </row>
    <row r="427" spans="1:25" x14ac:dyDescent="0.25">
      <c r="A427" s="5" t="s">
        <v>1294</v>
      </c>
      <c r="B427" s="5"/>
      <c r="C427" s="5" t="s">
        <v>70</v>
      </c>
      <c r="D427" s="5" t="s">
        <v>44</v>
      </c>
      <c r="E427" s="5"/>
      <c r="F427" s="5"/>
      <c r="G427" s="5"/>
      <c r="H427" s="5"/>
      <c r="I427" s="5"/>
      <c r="J427" s="5"/>
      <c r="K427" s="5"/>
      <c r="L427" s="5"/>
      <c r="M427" s="5"/>
      <c r="N427" s="5" t="s">
        <v>50</v>
      </c>
      <c r="O427" s="5"/>
      <c r="P427" s="6">
        <f>IF(A427="","",COUNTA(D427:F427)+COUNTA(G427:G427)+COUNTA(H427:H427)+COUNTA(I427:I427))</f>
        <v>1</v>
      </c>
      <c r="Q427" s="6" t="str">
        <f>IF(A427="","",IF(AND(P427=6,UPPER(L427)&lt;&gt;"Y",C427&lt;&gt;""),"Yes","No"))</f>
        <v>No</v>
      </c>
      <c r="R427" s="5" t="s">
        <v>51</v>
      </c>
      <c r="S427" s="5"/>
      <c r="T427" s="5" t="s">
        <v>1295</v>
      </c>
      <c r="U427" s="5"/>
      <c r="V427" s="5"/>
      <c r="W427" s="5"/>
      <c r="X427" s="5"/>
      <c r="Y427" s="5" t="s">
        <v>189</v>
      </c>
    </row>
    <row r="428" spans="1:25" x14ac:dyDescent="0.25">
      <c r="A428" s="5" t="s">
        <v>1296</v>
      </c>
      <c r="B428" s="5"/>
      <c r="C428" s="5" t="s">
        <v>70</v>
      </c>
      <c r="D428" s="5"/>
      <c r="E428" s="5"/>
      <c r="F428" s="5"/>
      <c r="G428" s="5"/>
      <c r="H428" s="5"/>
      <c r="I428" s="5"/>
      <c r="J428" s="5"/>
      <c r="K428" s="5"/>
      <c r="L428" s="5"/>
      <c r="M428" s="5"/>
      <c r="N428" s="5" t="s">
        <v>50</v>
      </c>
      <c r="O428" s="5"/>
      <c r="P428" s="6">
        <f>IF(A428="","",COUNTA(D428:F428)+COUNTA(G428:G428)+COUNTA(H428:H428)+COUNTA(I428:I428))</f>
        <v>0</v>
      </c>
      <c r="Q428" s="6" t="str">
        <f>IF(A428="","",IF(AND(P428=6,UPPER(L428)&lt;&gt;"Y",C428&lt;&gt;""),"Yes","No"))</f>
        <v>No</v>
      </c>
      <c r="R428" s="5" t="s">
        <v>51</v>
      </c>
      <c r="S428" s="5"/>
      <c r="T428" s="5"/>
      <c r="U428" s="5"/>
      <c r="V428" s="5"/>
      <c r="W428" s="5"/>
      <c r="X428" s="5"/>
      <c r="Y428" s="5" t="s">
        <v>74</v>
      </c>
    </row>
    <row r="429" spans="1:25" x14ac:dyDescent="0.25">
      <c r="A429" s="5" t="s">
        <v>1297</v>
      </c>
      <c r="B429" s="5"/>
      <c r="C429" s="5" t="s">
        <v>128</v>
      </c>
      <c r="D429" s="5" t="s">
        <v>76</v>
      </c>
      <c r="E429" s="5" t="s">
        <v>45</v>
      </c>
      <c r="F429" s="5" t="s">
        <v>107</v>
      </c>
      <c r="G429" s="5" t="s">
        <v>57</v>
      </c>
      <c r="H429" s="5" t="s">
        <v>129</v>
      </c>
      <c r="I429" s="5" t="s">
        <v>49</v>
      </c>
      <c r="J429" s="5"/>
      <c r="K429" s="5"/>
      <c r="L429" s="5"/>
      <c r="M429" s="5"/>
      <c r="N429" s="5" t="s">
        <v>66</v>
      </c>
      <c r="O429" s="5"/>
      <c r="P429" s="6">
        <f>IF(A429="","",COUNTA(D429:F429)+COUNTA(G429:G429)+COUNTA(H429:H429)+COUNTA(I429:I429))</f>
        <v>6</v>
      </c>
      <c r="Q429" s="6" t="str">
        <f>IF(A429="","",IF(AND(P429=6,UPPER(L429)&lt;&gt;"Y",C429&lt;&gt;""),"Yes","No"))</f>
        <v>Yes</v>
      </c>
      <c r="R429" s="5" t="s">
        <v>51</v>
      </c>
      <c r="S429" s="5"/>
      <c r="T429" s="5" t="s">
        <v>1298</v>
      </c>
      <c r="U429" s="5"/>
      <c r="V429" s="5"/>
      <c r="W429" s="5"/>
      <c r="X429" s="5" t="s">
        <v>264</v>
      </c>
      <c r="Y429" s="5"/>
    </row>
    <row r="430" spans="1:25" x14ac:dyDescent="0.25">
      <c r="A430" s="5" t="s">
        <v>1299</v>
      </c>
      <c r="B430" s="5"/>
      <c r="C430" s="5" t="s">
        <v>70</v>
      </c>
      <c r="D430" s="5"/>
      <c r="E430" s="5"/>
      <c r="F430" s="5"/>
      <c r="G430" s="5"/>
      <c r="H430" s="5"/>
      <c r="I430" s="5" t="s">
        <v>123</v>
      </c>
      <c r="J430" s="5"/>
      <c r="K430" s="5" t="s">
        <v>123</v>
      </c>
      <c r="L430" s="5"/>
      <c r="M430" s="5"/>
      <c r="N430" s="5" t="s">
        <v>124</v>
      </c>
      <c r="O430" s="5"/>
      <c r="P430" s="6">
        <f>IF(A430="","",COUNTA(D430:F430)+COUNTA(G430:G430)+COUNTA(H430:H430)+COUNTA(I430:I430))</f>
        <v>1</v>
      </c>
      <c r="Q430" s="6" t="str">
        <f>IF(A430="","",IF(AND(P430=6,UPPER(L430)&lt;&gt;"Y",C430&lt;&gt;""),"Yes","No"))</f>
        <v>No</v>
      </c>
      <c r="R430" s="5" t="s">
        <v>125</v>
      </c>
      <c r="S430" s="5"/>
      <c r="T430" s="5"/>
      <c r="U430" s="5"/>
      <c r="V430" s="5"/>
      <c r="W430" s="5"/>
      <c r="X430" s="5"/>
      <c r="Y430" s="5" t="s">
        <v>1105</v>
      </c>
    </row>
    <row r="431" spans="1:25" x14ac:dyDescent="0.25">
      <c r="A431" s="5" t="s">
        <v>1300</v>
      </c>
      <c r="B431" s="5"/>
      <c r="C431" s="5"/>
      <c r="D431" s="5"/>
      <c r="E431" s="5"/>
      <c r="F431" s="5"/>
      <c r="G431" s="5" t="s">
        <v>47</v>
      </c>
      <c r="H431" s="5"/>
      <c r="I431" s="5"/>
      <c r="J431" s="5"/>
      <c r="K431" s="5"/>
      <c r="L431" s="5"/>
      <c r="M431" s="5"/>
      <c r="N431" s="5" t="s">
        <v>66</v>
      </c>
      <c r="O431" s="5"/>
      <c r="P431" s="6">
        <f>IF(A431="","",COUNTA(D431:F431)+COUNTA(G431:G431)+COUNTA(H431:H431)+COUNTA(I431:I431))</f>
        <v>1</v>
      </c>
      <c r="Q431" s="6" t="str">
        <f>IF(A431="","",IF(AND(P431=6,UPPER(L431)&lt;&gt;"Y",C431&lt;&gt;""),"Yes","No"))</f>
        <v>No</v>
      </c>
      <c r="R431" s="5" t="s">
        <v>51</v>
      </c>
      <c r="S431" s="5"/>
      <c r="T431" s="5" t="s">
        <v>1301</v>
      </c>
      <c r="U431" s="5"/>
      <c r="V431" s="5" t="s">
        <v>1113</v>
      </c>
      <c r="W431" s="5"/>
      <c r="X431" s="5"/>
      <c r="Y431" s="5"/>
    </row>
    <row r="432" spans="1:25" x14ac:dyDescent="0.25">
      <c r="A432" s="5" t="s">
        <v>1302</v>
      </c>
      <c r="B432" s="5"/>
      <c r="C432" s="5" t="s">
        <v>70</v>
      </c>
      <c r="D432" s="5" t="s">
        <v>76</v>
      </c>
      <c r="E432" s="5"/>
      <c r="F432" s="5"/>
      <c r="G432" s="5"/>
      <c r="H432" s="5" t="s">
        <v>77</v>
      </c>
      <c r="I432" s="5"/>
      <c r="J432" s="5"/>
      <c r="K432" s="5"/>
      <c r="L432" s="5"/>
      <c r="M432" s="5"/>
      <c r="N432" s="5" t="s">
        <v>124</v>
      </c>
      <c r="O432" s="5"/>
      <c r="P432" s="6">
        <f>IF(A432="","",COUNTA(D432:F432)+COUNTA(G432:G432)+COUNTA(H432:H432)+COUNTA(I432:I432))</f>
        <v>2</v>
      </c>
      <c r="Q432" s="6" t="str">
        <f>IF(A432="","",IF(AND(P432=6,UPPER(L432)&lt;&gt;"Y",C432&lt;&gt;""),"Yes","No"))</f>
        <v>No</v>
      </c>
      <c r="R432" s="5" t="s">
        <v>125</v>
      </c>
      <c r="S432" s="5"/>
      <c r="T432" s="5"/>
      <c r="U432" s="5" t="s">
        <v>77</v>
      </c>
      <c r="V432" s="5"/>
      <c r="W432" s="5"/>
      <c r="X432" s="5"/>
      <c r="Y432" s="5" t="s">
        <v>155</v>
      </c>
    </row>
    <row r="433" spans="1:25" x14ac:dyDescent="0.25">
      <c r="A433" s="5" t="s">
        <v>1303</v>
      </c>
      <c r="B433" s="5"/>
      <c r="C433" s="5" t="s">
        <v>43</v>
      </c>
      <c r="D433" s="5" t="s">
        <v>76</v>
      </c>
      <c r="E433" s="5" t="s">
        <v>45</v>
      </c>
      <c r="F433" s="5" t="s">
        <v>46</v>
      </c>
      <c r="G433" s="5" t="s">
        <v>47</v>
      </c>
      <c r="H433" s="5" t="s">
        <v>83</v>
      </c>
      <c r="I433" s="5" t="s">
        <v>119</v>
      </c>
      <c r="J433" s="5"/>
      <c r="K433" s="5" t="s">
        <v>119</v>
      </c>
      <c r="L433" s="5"/>
      <c r="M433" s="5"/>
      <c r="N433" s="5" t="s">
        <v>50</v>
      </c>
      <c r="O433" s="5"/>
      <c r="P433" s="6">
        <f>IF(A433="","",COUNTA(D433:F433)+COUNTA(G433:G433)+COUNTA(H433:H433)+COUNTA(I433:I433))</f>
        <v>6</v>
      </c>
      <c r="Q433" s="6" t="str">
        <f>IF(A433="","",IF(AND(P433=6,UPPER(L433)&lt;&gt;"Y",C433&lt;&gt;""),"Yes","No"))</f>
        <v>Yes</v>
      </c>
      <c r="R433" s="5" t="s">
        <v>51</v>
      </c>
      <c r="S433" s="5"/>
      <c r="T433" s="5" t="s">
        <v>1304</v>
      </c>
      <c r="U433" s="5" t="s">
        <v>83</v>
      </c>
      <c r="V433" s="5"/>
      <c r="W433" s="5"/>
      <c r="X433" s="5"/>
      <c r="Y433" s="5" t="s">
        <v>1305</v>
      </c>
    </row>
    <row r="434" spans="1:25" x14ac:dyDescent="0.25">
      <c r="A434" s="5" t="s">
        <v>1306</v>
      </c>
      <c r="B434" s="5"/>
      <c r="C434" s="5" t="s">
        <v>70</v>
      </c>
      <c r="D434" s="5" t="s">
        <v>44</v>
      </c>
      <c r="E434" s="5"/>
      <c r="F434" s="5"/>
      <c r="G434" s="5"/>
      <c r="H434" s="5" t="s">
        <v>132</v>
      </c>
      <c r="I434" s="5"/>
      <c r="J434" s="5"/>
      <c r="K434" s="5"/>
      <c r="L434" s="5"/>
      <c r="M434" s="5"/>
      <c r="N434" s="5" t="s">
        <v>50</v>
      </c>
      <c r="O434" s="5"/>
      <c r="P434" s="6">
        <f>IF(A434="","",COUNTA(D434:F434)+COUNTA(G434:G434)+COUNTA(H434:H434)+COUNTA(I434:I434))</f>
        <v>2</v>
      </c>
      <c r="Q434" s="6" t="str">
        <f>IF(A434="","",IF(AND(P434=6,UPPER(L434)&lt;&gt;"Y",C434&lt;&gt;""),"Yes","No"))</f>
        <v>No</v>
      </c>
      <c r="R434" s="5" t="s">
        <v>51</v>
      </c>
      <c r="S434" s="5"/>
      <c r="T434" s="5"/>
      <c r="U434" s="5" t="s">
        <v>132</v>
      </c>
      <c r="V434" s="5"/>
      <c r="W434" s="5"/>
      <c r="X434" s="5"/>
      <c r="Y434" s="5" t="s">
        <v>189</v>
      </c>
    </row>
    <row r="435" spans="1:25" x14ac:dyDescent="0.25">
      <c r="A435" s="5" t="s">
        <v>1307</v>
      </c>
      <c r="B435" s="5" t="s">
        <v>1308</v>
      </c>
      <c r="C435" s="5" t="s">
        <v>43</v>
      </c>
      <c r="D435" s="5" t="s">
        <v>44</v>
      </c>
      <c r="E435" s="5" t="s">
        <v>45</v>
      </c>
      <c r="F435" s="5" t="s">
        <v>46</v>
      </c>
      <c r="G435" s="5" t="s">
        <v>47</v>
      </c>
      <c r="H435" s="5" t="s">
        <v>271</v>
      </c>
      <c r="I435" s="5" t="s">
        <v>192</v>
      </c>
      <c r="J435" s="5"/>
      <c r="K435" s="5" t="s">
        <v>386</v>
      </c>
      <c r="L435" s="5"/>
      <c r="M435" s="5"/>
      <c r="N435" s="5" t="s">
        <v>110</v>
      </c>
      <c r="O435" s="5"/>
      <c r="P435" s="6">
        <f>IF(A435="","",COUNTA(D435:F435)+COUNTA(G435:G435)+COUNTA(H435:H435)+COUNTA(I435:I435))</f>
        <v>6</v>
      </c>
      <c r="Q435" s="6" t="str">
        <f>IF(A435="","",IF(AND(P435=6,UPPER(L435)&lt;&gt;"Y",C435&lt;&gt;""),"Yes","No"))</f>
        <v>Yes</v>
      </c>
      <c r="R435" s="5" t="s">
        <v>112</v>
      </c>
      <c r="S435" s="5" t="s">
        <v>1309</v>
      </c>
      <c r="T435" s="5" t="s">
        <v>1310</v>
      </c>
      <c r="U435" s="5" t="s">
        <v>271</v>
      </c>
      <c r="V435" s="5" t="s">
        <v>1227</v>
      </c>
      <c r="W435" s="5" t="s">
        <v>43</v>
      </c>
      <c r="X435" s="5" t="s">
        <v>275</v>
      </c>
      <c r="Y435" s="5" t="s">
        <v>55</v>
      </c>
    </row>
    <row r="436" spans="1:25" x14ac:dyDescent="0.25">
      <c r="A436" s="5" t="s">
        <v>1311</v>
      </c>
      <c r="B436" s="5"/>
      <c r="C436" s="5"/>
      <c r="D436" s="5"/>
      <c r="E436" s="5"/>
      <c r="F436" s="5"/>
      <c r="G436" s="5"/>
      <c r="H436" s="5" t="s">
        <v>90</v>
      </c>
      <c r="I436" s="5"/>
      <c r="J436" s="5"/>
      <c r="K436" s="5"/>
      <c r="L436" s="5"/>
      <c r="M436" s="5"/>
      <c r="N436" s="5" t="s">
        <v>66</v>
      </c>
      <c r="O436" s="5" t="s">
        <v>103</v>
      </c>
      <c r="P436" s="6">
        <f>IF(A436="","",COUNTA(D436:F436)+COUNTA(G436:G436)+COUNTA(H436:H436)+COUNTA(I436:I436))</f>
        <v>1</v>
      </c>
      <c r="Q436" s="6" t="str">
        <f>IF(A436="","",IF(AND(P436=6,UPPER(L436)&lt;&gt;"Y",C436&lt;&gt;""),"Yes","No"))</f>
        <v>No</v>
      </c>
      <c r="R436" s="5" t="s">
        <v>51</v>
      </c>
      <c r="S436" s="5"/>
      <c r="T436" s="5"/>
      <c r="U436" s="5" t="s">
        <v>90</v>
      </c>
      <c r="V436" s="5"/>
      <c r="W436" s="5" t="s">
        <v>105</v>
      </c>
      <c r="X436" s="5"/>
      <c r="Y436" s="5"/>
    </row>
    <row r="437" spans="1:25" x14ac:dyDescent="0.25">
      <c r="A437" s="5" t="s">
        <v>1312</v>
      </c>
      <c r="B437" s="5"/>
      <c r="C437" s="5" t="s">
        <v>128</v>
      </c>
      <c r="D437" s="5"/>
      <c r="E437" s="5"/>
      <c r="F437" s="5"/>
      <c r="G437" s="5" t="s">
        <v>57</v>
      </c>
      <c r="H437" s="5" t="s">
        <v>129</v>
      </c>
      <c r="I437" s="5"/>
      <c r="J437" s="5"/>
      <c r="K437" s="5"/>
      <c r="L437" s="5"/>
      <c r="M437" s="5"/>
      <c r="N437" s="5" t="s">
        <v>66</v>
      </c>
      <c r="O437" s="5"/>
      <c r="P437" s="6">
        <f>IF(A437="","",COUNTA(D437:F437)+COUNTA(G437:G437)+COUNTA(H437:H437)+COUNTA(I437:I437))</f>
        <v>2</v>
      </c>
      <c r="Q437" s="6" t="str">
        <f>IF(A437="","",IF(AND(P437=6,UPPER(L437)&lt;&gt;"Y",C437&lt;&gt;""),"Yes","No"))</f>
        <v>No</v>
      </c>
      <c r="R437" s="5" t="s">
        <v>51</v>
      </c>
      <c r="S437" s="5"/>
      <c r="T437" s="5" t="s">
        <v>1313</v>
      </c>
      <c r="U437" s="5" t="s">
        <v>129</v>
      </c>
      <c r="V437" s="5" t="s">
        <v>57</v>
      </c>
      <c r="W437" s="5" t="s">
        <v>128</v>
      </c>
      <c r="X437" s="5" t="s">
        <v>130</v>
      </c>
      <c r="Y437" s="5"/>
    </row>
    <row r="438" spans="1:25" x14ac:dyDescent="0.25">
      <c r="A438" s="5" t="s">
        <v>1314</v>
      </c>
      <c r="B438" s="5"/>
      <c r="C438" s="5" t="s">
        <v>43</v>
      </c>
      <c r="D438" s="5" t="s">
        <v>44</v>
      </c>
      <c r="E438" s="5" t="s">
        <v>45</v>
      </c>
      <c r="F438" s="5"/>
      <c r="G438" s="5" t="s">
        <v>47</v>
      </c>
      <c r="H438" s="5" t="s">
        <v>58</v>
      </c>
      <c r="I438" s="5"/>
      <c r="J438" s="5"/>
      <c r="K438" s="5"/>
      <c r="L438" s="5"/>
      <c r="M438" s="5"/>
      <c r="N438" s="5" t="s">
        <v>50</v>
      </c>
      <c r="O438" s="5"/>
      <c r="P438" s="6">
        <f>IF(A438="","",COUNTA(D438:F438)+COUNTA(G438:G438)+COUNTA(H438:H438)+COUNTA(I438:I438))</f>
        <v>4</v>
      </c>
      <c r="Q438" s="6" t="str">
        <f>IF(A438="","",IF(AND(P438=6,UPPER(L438)&lt;&gt;"Y",C438&lt;&gt;""),"Yes","No"))</f>
        <v>No</v>
      </c>
      <c r="R438" s="5" t="s">
        <v>51</v>
      </c>
      <c r="S438" s="5" t="s">
        <v>1314</v>
      </c>
      <c r="T438" s="5" t="s">
        <v>1315</v>
      </c>
      <c r="U438" s="5" t="s">
        <v>63</v>
      </c>
      <c r="V438" s="5"/>
      <c r="W438" s="5" t="s">
        <v>43</v>
      </c>
      <c r="X438" s="5"/>
      <c r="Y438" s="5" t="s">
        <v>1316</v>
      </c>
    </row>
    <row r="439" spans="1:25" x14ac:dyDescent="0.25">
      <c r="A439" s="5" t="s">
        <v>1317</v>
      </c>
      <c r="B439" s="5"/>
      <c r="C439" s="5" t="s">
        <v>43</v>
      </c>
      <c r="D439" s="5"/>
      <c r="E439" s="5" t="s">
        <v>45</v>
      </c>
      <c r="F439" s="5" t="s">
        <v>107</v>
      </c>
      <c r="G439" s="5" t="s">
        <v>47</v>
      </c>
      <c r="H439" s="5"/>
      <c r="I439" s="5"/>
      <c r="J439" s="5"/>
      <c r="K439" s="5"/>
      <c r="L439" s="5"/>
      <c r="M439" s="5"/>
      <c r="N439" s="5" t="s">
        <v>66</v>
      </c>
      <c r="O439" s="5"/>
      <c r="P439" s="6">
        <f>IF(A439="","",COUNTA(D439:F439)+COUNTA(G439:G439)+COUNTA(H439:H439)+COUNTA(I439:I439))</f>
        <v>3</v>
      </c>
      <c r="Q439" s="6" t="str">
        <f>IF(A439="","",IF(AND(P439=6,UPPER(L439)&lt;&gt;"Y",C439&lt;&gt;""),"Yes","No"))</f>
        <v>No</v>
      </c>
      <c r="R439" s="5" t="s">
        <v>51</v>
      </c>
      <c r="S439" s="5" t="s">
        <v>1318</v>
      </c>
      <c r="T439" s="5"/>
      <c r="U439" s="5"/>
      <c r="V439" s="5" t="s">
        <v>67</v>
      </c>
      <c r="W439" s="5" t="s">
        <v>43</v>
      </c>
      <c r="X439" s="5" t="s">
        <v>68</v>
      </c>
      <c r="Y439" s="5" t="s">
        <v>392</v>
      </c>
    </row>
    <row r="440" spans="1:25" x14ac:dyDescent="0.25">
      <c r="A440" s="5" t="s">
        <v>1319</v>
      </c>
      <c r="B440" s="5"/>
      <c r="C440" s="5" t="s">
        <v>43</v>
      </c>
      <c r="D440" s="5" t="s">
        <v>76</v>
      </c>
      <c r="E440" s="5"/>
      <c r="F440" s="5"/>
      <c r="G440" s="5" t="s">
        <v>47</v>
      </c>
      <c r="H440" s="5" t="s">
        <v>77</v>
      </c>
      <c r="I440" s="5" t="s">
        <v>119</v>
      </c>
      <c r="J440" s="5" t="s">
        <v>71</v>
      </c>
      <c r="K440" s="5" t="s">
        <v>343</v>
      </c>
      <c r="L440" s="5"/>
      <c r="M440" s="5"/>
      <c r="N440" s="5" t="s">
        <v>50</v>
      </c>
      <c r="O440" s="5"/>
      <c r="P440" s="6">
        <f>IF(A440="","",COUNTA(D440:F440)+COUNTA(G440:G440)+COUNTA(H440:H440)+COUNTA(I440:I440))</f>
        <v>4</v>
      </c>
      <c r="Q440" s="6" t="str">
        <f>IF(A440="","",IF(AND(P440=6,UPPER(L440)&lt;&gt;"Y",C440&lt;&gt;""),"Yes","No"))</f>
        <v>No</v>
      </c>
      <c r="R440" s="5" t="s">
        <v>51</v>
      </c>
      <c r="S440" s="5"/>
      <c r="T440" s="5" t="s">
        <v>1320</v>
      </c>
      <c r="U440" s="5" t="s">
        <v>77</v>
      </c>
      <c r="V440" s="5" t="s">
        <v>181</v>
      </c>
      <c r="W440" s="5" t="s">
        <v>43</v>
      </c>
      <c r="X440" s="5"/>
      <c r="Y440" s="5" t="s">
        <v>352</v>
      </c>
    </row>
    <row r="441" spans="1:25" x14ac:dyDescent="0.25">
      <c r="A441" s="5" t="s">
        <v>1321</v>
      </c>
      <c r="B441" s="5"/>
      <c r="C441" s="5" t="s">
        <v>43</v>
      </c>
      <c r="D441" s="5" t="s">
        <v>44</v>
      </c>
      <c r="E441" s="5"/>
      <c r="F441" s="5"/>
      <c r="G441" s="5"/>
      <c r="H441" s="5" t="s">
        <v>493</v>
      </c>
      <c r="I441" s="5" t="s">
        <v>49</v>
      </c>
      <c r="J441" s="5"/>
      <c r="K441" s="5" t="s">
        <v>49</v>
      </c>
      <c r="L441" s="5"/>
      <c r="M441" s="5"/>
      <c r="N441" s="5" t="s">
        <v>50</v>
      </c>
      <c r="O441" s="5"/>
      <c r="P441" s="6">
        <f>IF(A441="","",COUNTA(D441:F441)+COUNTA(G441:G441)+COUNTA(H441:H441)+COUNTA(I441:I441))</f>
        <v>3</v>
      </c>
      <c r="Q441" s="6" t="str">
        <f>IF(A441="","",IF(AND(P441=6,UPPER(L441)&lt;&gt;"Y",C441&lt;&gt;""),"Yes","No"))</f>
        <v>No</v>
      </c>
      <c r="R441" s="5" t="s">
        <v>51</v>
      </c>
      <c r="S441" s="5"/>
      <c r="T441" s="5"/>
      <c r="U441" s="5" t="s">
        <v>493</v>
      </c>
      <c r="V441" s="5"/>
      <c r="W441" s="5" t="s">
        <v>43</v>
      </c>
      <c r="X441" s="5"/>
      <c r="Y441" s="5" t="s">
        <v>352</v>
      </c>
    </row>
    <row r="442" spans="1:25" x14ac:dyDescent="0.25">
      <c r="A442" s="5" t="s">
        <v>1322</v>
      </c>
      <c r="B442" s="5"/>
      <c r="C442" s="5" t="s">
        <v>43</v>
      </c>
      <c r="D442" s="5" t="s">
        <v>76</v>
      </c>
      <c r="E442" s="5" t="s">
        <v>45</v>
      </c>
      <c r="F442" s="5" t="s">
        <v>107</v>
      </c>
      <c r="G442" s="5" t="s">
        <v>47</v>
      </c>
      <c r="H442" s="5" t="s">
        <v>77</v>
      </c>
      <c r="I442" s="5" t="s">
        <v>119</v>
      </c>
      <c r="J442" s="5"/>
      <c r="K442" s="5" t="s">
        <v>119</v>
      </c>
      <c r="L442" s="5"/>
      <c r="M442" s="5"/>
      <c r="N442" s="5" t="s">
        <v>50</v>
      </c>
      <c r="O442" s="5"/>
      <c r="P442" s="6">
        <f>IF(A442="","",COUNTA(D442:F442)+COUNTA(G442:G442)+COUNTA(H442:H442)+COUNTA(I442:I442))</f>
        <v>6</v>
      </c>
      <c r="Q442" s="6" t="str">
        <f>IF(A442="","",IF(AND(P442=6,UPPER(L442)&lt;&gt;"Y",C442&lt;&gt;""),"Yes","No"))</f>
        <v>Yes</v>
      </c>
      <c r="R442" s="5" t="s">
        <v>51</v>
      </c>
      <c r="S442" s="5"/>
      <c r="T442" s="5" t="s">
        <v>1323</v>
      </c>
      <c r="U442" s="5" t="s">
        <v>77</v>
      </c>
      <c r="V442" s="5"/>
      <c r="W442" s="5"/>
      <c r="X442" s="5"/>
      <c r="Y442" s="5" t="s">
        <v>1305</v>
      </c>
    </row>
    <row r="443" spans="1:25" x14ac:dyDescent="0.25">
      <c r="A443" s="5" t="s">
        <v>1324</v>
      </c>
      <c r="B443" s="5"/>
      <c r="C443" s="5" t="s">
        <v>128</v>
      </c>
      <c r="D443" s="5"/>
      <c r="E443" s="5"/>
      <c r="F443" s="5"/>
      <c r="G443" s="5" t="s">
        <v>57</v>
      </c>
      <c r="H443" s="5" t="s">
        <v>1325</v>
      </c>
      <c r="I443" s="5"/>
      <c r="J443" s="5"/>
      <c r="K443" s="5"/>
      <c r="L443" s="5"/>
      <c r="M443" s="5"/>
      <c r="N443" s="5" t="s">
        <v>66</v>
      </c>
      <c r="O443" s="5"/>
      <c r="P443" s="6">
        <f>IF(A443="","",COUNTA(D443:F443)+COUNTA(G443:G443)+COUNTA(H443:H443)+COUNTA(I443:I443))</f>
        <v>2</v>
      </c>
      <c r="Q443" s="6" t="str">
        <f>IF(A443="","",IF(AND(P443=6,UPPER(L443)&lt;&gt;"Y",C443&lt;&gt;""),"Yes","No"))</f>
        <v>No</v>
      </c>
      <c r="R443" s="5" t="s">
        <v>51</v>
      </c>
      <c r="S443" s="5"/>
      <c r="T443" s="5"/>
      <c r="U443" s="5" t="s">
        <v>1325</v>
      </c>
      <c r="V443" s="5" t="s">
        <v>57</v>
      </c>
      <c r="W443" s="5" t="s">
        <v>128</v>
      </c>
      <c r="X443" s="5" t="s">
        <v>1326</v>
      </c>
      <c r="Y443" s="5"/>
    </row>
    <row r="444" spans="1:25" x14ac:dyDescent="0.25">
      <c r="A444" s="5" t="s">
        <v>1327</v>
      </c>
      <c r="B444" s="5"/>
      <c r="C444" s="5" t="s">
        <v>128</v>
      </c>
      <c r="D444" s="5"/>
      <c r="E444" s="5"/>
      <c r="F444" s="5"/>
      <c r="G444" s="5" t="s">
        <v>57</v>
      </c>
      <c r="H444" s="5" t="s">
        <v>1325</v>
      </c>
      <c r="I444" s="5"/>
      <c r="J444" s="5"/>
      <c r="K444" s="5"/>
      <c r="L444" s="5"/>
      <c r="M444" s="5"/>
      <c r="N444" s="5" t="s">
        <v>66</v>
      </c>
      <c r="O444" s="5"/>
      <c r="P444" s="6">
        <f>IF(A444="","",COUNTA(D444:F444)+COUNTA(G444:G444)+COUNTA(H444:H444)+COUNTA(I444:I444))</f>
        <v>2</v>
      </c>
      <c r="Q444" s="6" t="str">
        <f>IF(A444="","",IF(AND(P444=6,UPPER(L444)&lt;&gt;"Y",C444&lt;&gt;""),"Yes","No"))</f>
        <v>No</v>
      </c>
      <c r="R444" s="5" t="s">
        <v>51</v>
      </c>
      <c r="S444" s="5"/>
      <c r="T444" s="5"/>
      <c r="U444" s="5" t="s">
        <v>1325</v>
      </c>
      <c r="V444" s="5" t="s">
        <v>57</v>
      </c>
      <c r="W444" s="5" t="s">
        <v>128</v>
      </c>
      <c r="X444" s="5" t="s">
        <v>1326</v>
      </c>
      <c r="Y444" s="5"/>
    </row>
    <row r="445" spans="1:25" x14ac:dyDescent="0.25">
      <c r="A445" s="5" t="s">
        <v>1328</v>
      </c>
      <c r="B445" s="5"/>
      <c r="C445" s="5" t="s">
        <v>43</v>
      </c>
      <c r="D445" s="5" t="s">
        <v>76</v>
      </c>
      <c r="E445" s="5"/>
      <c r="F445" s="5"/>
      <c r="G445" s="5"/>
      <c r="H445" s="5" t="s">
        <v>83</v>
      </c>
      <c r="I445" s="5" t="s">
        <v>192</v>
      </c>
      <c r="J445" s="5" t="s">
        <v>91</v>
      </c>
      <c r="K445" s="5" t="s">
        <v>1329</v>
      </c>
      <c r="L445" s="5"/>
      <c r="M445" s="5"/>
      <c r="N445" s="5" t="s">
        <v>50</v>
      </c>
      <c r="O445" s="5"/>
      <c r="P445" s="6">
        <f>IF(A445="","",COUNTA(D445:F445)+COUNTA(G445:G445)+COUNTA(H445:H445)+COUNTA(I445:I445))</f>
        <v>3</v>
      </c>
      <c r="Q445" s="6" t="str">
        <f>IF(A445="","",IF(AND(P445=6,UPPER(L445)&lt;&gt;"Y",C445&lt;&gt;""),"Yes","No"))</f>
        <v>No</v>
      </c>
      <c r="R445" s="5" t="s">
        <v>51</v>
      </c>
      <c r="S445" s="5"/>
      <c r="T445" s="5" t="s">
        <v>1330</v>
      </c>
      <c r="U445" s="5"/>
      <c r="V445" s="5"/>
      <c r="W445" s="5" t="s">
        <v>43</v>
      </c>
      <c r="X445" s="5"/>
      <c r="Y445" s="5" t="s">
        <v>1331</v>
      </c>
    </row>
    <row r="446" spans="1:25" x14ac:dyDescent="0.25">
      <c r="A446" s="5" t="s">
        <v>1332</v>
      </c>
      <c r="B446" s="5"/>
      <c r="C446" s="5" t="s">
        <v>43</v>
      </c>
      <c r="D446" s="5" t="s">
        <v>44</v>
      </c>
      <c r="E446" s="5"/>
      <c r="F446" s="5"/>
      <c r="G446" s="5" t="s">
        <v>47</v>
      </c>
      <c r="H446" s="5" t="s">
        <v>493</v>
      </c>
      <c r="I446" s="5"/>
      <c r="J446" s="5"/>
      <c r="K446" s="5"/>
      <c r="L446" s="5"/>
      <c r="M446" s="5"/>
      <c r="N446" s="5" t="s">
        <v>50</v>
      </c>
      <c r="O446" s="5"/>
      <c r="P446" s="6">
        <f>IF(A446="","",COUNTA(D446:F446)+COUNTA(G446:G446)+COUNTA(H446:H446)+COUNTA(I446:I446))</f>
        <v>3</v>
      </c>
      <c r="Q446" s="6" t="str">
        <f>IF(A446="","",IF(AND(P446=6,UPPER(L446)&lt;&gt;"Y",C446&lt;&gt;""),"Yes","No"))</f>
        <v>No</v>
      </c>
      <c r="R446" s="5" t="s">
        <v>51</v>
      </c>
      <c r="S446" s="5"/>
      <c r="T446" s="5"/>
      <c r="U446" s="5" t="s">
        <v>493</v>
      </c>
      <c r="V446" s="5"/>
      <c r="W446" s="5" t="s">
        <v>43</v>
      </c>
      <c r="X446" s="5"/>
      <c r="Y446" s="5" t="s">
        <v>64</v>
      </c>
    </row>
    <row r="447" spans="1:25" x14ac:dyDescent="0.25">
      <c r="A447" s="5" t="s">
        <v>1333</v>
      </c>
      <c r="B447" s="5"/>
      <c r="C447" s="5" t="s">
        <v>43</v>
      </c>
      <c r="D447" s="5" t="s">
        <v>76</v>
      </c>
      <c r="E447" s="5" t="s">
        <v>45</v>
      </c>
      <c r="F447" s="5" t="s">
        <v>107</v>
      </c>
      <c r="G447" s="5"/>
      <c r="H447" s="5" t="s">
        <v>149</v>
      </c>
      <c r="I447" s="5"/>
      <c r="J447" s="5"/>
      <c r="K447" s="5"/>
      <c r="L447" s="5"/>
      <c r="M447" s="5"/>
      <c r="N447" s="5" t="s">
        <v>50</v>
      </c>
      <c r="O447" s="5"/>
      <c r="P447" s="6">
        <f>IF(A447="","",COUNTA(D447:F447)+COUNTA(G447:G447)+COUNTA(H447:H447)+COUNTA(I447:I447))</f>
        <v>4</v>
      </c>
      <c r="Q447" s="6" t="str">
        <f>IF(A447="","",IF(AND(P447=6,UPPER(L447)&lt;&gt;"Y",C447&lt;&gt;""),"Yes","No"))</f>
        <v>No</v>
      </c>
      <c r="R447" s="5" t="s">
        <v>51</v>
      </c>
      <c r="S447" s="5" t="s">
        <v>1334</v>
      </c>
      <c r="T447" s="5" t="s">
        <v>1335</v>
      </c>
      <c r="U447" s="5" t="s">
        <v>149</v>
      </c>
      <c r="V447" s="5"/>
      <c r="W447" s="5" t="s">
        <v>43</v>
      </c>
      <c r="X447" s="5"/>
      <c r="Y447" s="5" t="s">
        <v>1336</v>
      </c>
    </row>
    <row r="448" spans="1:25" x14ac:dyDescent="0.25">
      <c r="A448" s="5" t="s">
        <v>1337</v>
      </c>
      <c r="B448" s="5"/>
      <c r="C448" s="5" t="s">
        <v>70</v>
      </c>
      <c r="D448" s="5" t="s">
        <v>76</v>
      </c>
      <c r="E448" s="5"/>
      <c r="F448" s="5"/>
      <c r="G448" s="5"/>
      <c r="H448" s="5" t="s">
        <v>154</v>
      </c>
      <c r="I448" s="5"/>
      <c r="J448" s="5"/>
      <c r="K448" s="5"/>
      <c r="L448" s="5"/>
      <c r="M448" s="5"/>
      <c r="N448" s="5" t="s">
        <v>124</v>
      </c>
      <c r="O448" s="5"/>
      <c r="P448" s="6">
        <f>IF(A448="","",COUNTA(D448:F448)+COUNTA(G448:G448)+COUNTA(H448:H448)+COUNTA(I448:I448))</f>
        <v>2</v>
      </c>
      <c r="Q448" s="6" t="str">
        <f>IF(A448="","",IF(AND(P448=6,UPPER(L448)&lt;&gt;"Y",C448&lt;&gt;""),"Yes","No"))</f>
        <v>No</v>
      </c>
      <c r="R448" s="5" t="s">
        <v>125</v>
      </c>
      <c r="S448" s="5"/>
      <c r="T448" s="5"/>
      <c r="U448" s="5" t="s">
        <v>154</v>
      </c>
      <c r="V448" s="5"/>
      <c r="W448" s="5"/>
      <c r="X448" s="5"/>
      <c r="Y448" s="5" t="s">
        <v>155</v>
      </c>
    </row>
    <row r="449" spans="1:25" x14ac:dyDescent="0.25">
      <c r="A449" s="5" t="s">
        <v>1338</v>
      </c>
      <c r="B449" s="5"/>
      <c r="C449" s="5" t="s">
        <v>70</v>
      </c>
      <c r="D449" s="5" t="s">
        <v>76</v>
      </c>
      <c r="E449" s="5" t="s">
        <v>45</v>
      </c>
      <c r="F449" s="5" t="s">
        <v>46</v>
      </c>
      <c r="G449" s="5" t="s">
        <v>57</v>
      </c>
      <c r="H449" s="5" t="s">
        <v>1862</v>
      </c>
      <c r="I449" s="5" t="s">
        <v>49</v>
      </c>
      <c r="J449" s="5"/>
      <c r="K449" s="5" t="s">
        <v>49</v>
      </c>
      <c r="L449" s="5"/>
      <c r="M449" s="5"/>
      <c r="N449" s="5" t="s">
        <v>124</v>
      </c>
      <c r="O449" s="5"/>
      <c r="P449" s="6">
        <f>IF(A449="","",COUNTA(D449:F449)+COUNTA(G449:G449)+COUNTA(H449:H449)+COUNTA(I449:I449))</f>
        <v>6</v>
      </c>
      <c r="Q449" s="6" t="str">
        <f>IF(A449="","",IF(AND(P449=6,UPPER(L449)&lt;&gt;"Y",C449&lt;&gt;""),"Yes","No"))</f>
        <v>Yes</v>
      </c>
      <c r="R449" s="5" t="s">
        <v>125</v>
      </c>
      <c r="S449" s="5"/>
      <c r="T449" s="5"/>
      <c r="U449" s="5"/>
      <c r="V449" s="5" t="s">
        <v>47</v>
      </c>
      <c r="W449" s="5"/>
      <c r="X449" s="5"/>
      <c r="Y449" s="5" t="s">
        <v>1268</v>
      </c>
    </row>
    <row r="450" spans="1:25" x14ac:dyDescent="0.25">
      <c r="A450" s="5" t="s">
        <v>1339</v>
      </c>
      <c r="B450" s="5"/>
      <c r="C450" s="5"/>
      <c r="D450" s="5"/>
      <c r="E450" s="5" t="s">
        <v>45</v>
      </c>
      <c r="F450" s="5" t="s">
        <v>107</v>
      </c>
      <c r="G450" s="5"/>
      <c r="H450" s="5" t="s">
        <v>83</v>
      </c>
      <c r="I450" s="5" t="s">
        <v>49</v>
      </c>
      <c r="J450" s="5"/>
      <c r="K450" s="5" t="s">
        <v>1340</v>
      </c>
      <c r="L450" s="5"/>
      <c r="M450" s="5"/>
      <c r="N450" s="5" t="s">
        <v>66</v>
      </c>
      <c r="O450" s="5" t="s">
        <v>103</v>
      </c>
      <c r="P450" s="6">
        <f>IF(A450="","",COUNTA(D450:F450)+COUNTA(G450:G450)+COUNTA(H450:H450)+COUNTA(I450:I450))</f>
        <v>4</v>
      </c>
      <c r="Q450" s="6" t="str">
        <f>IF(A450="","",IF(AND(P450=6,UPPER(L450)&lt;&gt;"Y",C450&lt;&gt;""),"Yes","No"))</f>
        <v>No</v>
      </c>
      <c r="R450" s="5" t="s">
        <v>51</v>
      </c>
      <c r="S450" s="5" t="s">
        <v>1341</v>
      </c>
      <c r="T450" s="5" t="s">
        <v>1342</v>
      </c>
      <c r="U450" s="5" t="s">
        <v>83</v>
      </c>
      <c r="V450" s="5"/>
      <c r="W450" s="5" t="s">
        <v>105</v>
      </c>
      <c r="X450" s="5"/>
      <c r="Y450" s="5" t="s">
        <v>167</v>
      </c>
    </row>
    <row r="451" spans="1:25" x14ac:dyDescent="0.25">
      <c r="A451" s="5" t="s">
        <v>1343</v>
      </c>
      <c r="B451" s="5"/>
      <c r="C451" s="5" t="s">
        <v>43</v>
      </c>
      <c r="D451" s="5" t="s">
        <v>44</v>
      </c>
      <c r="E451" s="5" t="s">
        <v>45</v>
      </c>
      <c r="F451" s="5" t="s">
        <v>107</v>
      </c>
      <c r="G451" s="5" t="s">
        <v>57</v>
      </c>
      <c r="H451" s="5" t="s">
        <v>1864</v>
      </c>
      <c r="I451" s="5" t="s">
        <v>78</v>
      </c>
      <c r="J451" s="5"/>
      <c r="K451" s="5" t="s">
        <v>78</v>
      </c>
      <c r="L451" s="5"/>
      <c r="M451" s="5"/>
      <c r="N451" s="5" t="s">
        <v>50</v>
      </c>
      <c r="O451" s="5"/>
      <c r="P451" s="6">
        <f>IF(A451="","",COUNTA(D451:F451)+COUNTA(G451:G451)+COUNTA(H451:H451)+COUNTA(I451:I451))</f>
        <v>6</v>
      </c>
      <c r="Q451" s="6" t="str">
        <f>IF(A451="","",IF(AND(P451=6,UPPER(L451)&lt;&gt;"Y",C451&lt;&gt;""),"Yes","No"))</f>
        <v>Yes</v>
      </c>
      <c r="R451" s="5" t="s">
        <v>51</v>
      </c>
      <c r="S451" s="5"/>
      <c r="T451" s="5" t="s">
        <v>1344</v>
      </c>
      <c r="U451" s="5" t="s">
        <v>99</v>
      </c>
      <c r="V451" s="5"/>
      <c r="W451" s="5" t="s">
        <v>43</v>
      </c>
      <c r="X451" s="5" t="s">
        <v>68</v>
      </c>
      <c r="Y451" s="5" t="s">
        <v>81</v>
      </c>
    </row>
    <row r="452" spans="1:25" x14ac:dyDescent="0.25">
      <c r="A452" s="5" t="s">
        <v>1345</v>
      </c>
      <c r="B452" s="5"/>
      <c r="C452" s="5" t="s">
        <v>43</v>
      </c>
      <c r="D452" s="5"/>
      <c r="E452" s="5"/>
      <c r="F452" s="5"/>
      <c r="G452" s="5"/>
      <c r="H452" s="5" t="s">
        <v>58</v>
      </c>
      <c r="I452" s="5"/>
      <c r="J452" s="5"/>
      <c r="K452" s="5"/>
      <c r="L452" s="5"/>
      <c r="M452" s="5"/>
      <c r="N452" s="5" t="s">
        <v>66</v>
      </c>
      <c r="O452" s="5"/>
      <c r="P452" s="6">
        <f>IF(A452="","",COUNTA(D452:F452)+COUNTA(G452:G452)+COUNTA(H452:H452)+COUNTA(I452:I452))</f>
        <v>1</v>
      </c>
      <c r="Q452" s="6" t="str">
        <f>IF(A452="","",IF(AND(P452=6,UPPER(L452)&lt;&gt;"Y",C452&lt;&gt;""),"Yes","No"))</f>
        <v>No</v>
      </c>
      <c r="R452" s="5" t="s">
        <v>51</v>
      </c>
      <c r="S452" s="5"/>
      <c r="T452" s="5"/>
      <c r="U452" s="5" t="s">
        <v>63</v>
      </c>
      <c r="V452" s="5"/>
      <c r="W452" s="5" t="s">
        <v>43</v>
      </c>
      <c r="X452" s="5"/>
      <c r="Y452" s="5"/>
    </row>
    <row r="453" spans="1:25" x14ac:dyDescent="0.25">
      <c r="A453" s="5" t="s">
        <v>1346</v>
      </c>
      <c r="B453" s="5"/>
      <c r="C453" s="5" t="s">
        <v>43</v>
      </c>
      <c r="D453" s="5" t="s">
        <v>44</v>
      </c>
      <c r="E453" s="5" t="s">
        <v>45</v>
      </c>
      <c r="F453" s="5" t="s">
        <v>46</v>
      </c>
      <c r="G453" s="5" t="s">
        <v>57</v>
      </c>
      <c r="H453" s="5" t="s">
        <v>572</v>
      </c>
      <c r="I453" s="5" t="s">
        <v>123</v>
      </c>
      <c r="J453" s="5"/>
      <c r="K453" s="5" t="s">
        <v>1347</v>
      </c>
      <c r="L453" s="5"/>
      <c r="M453" s="5"/>
      <c r="N453" s="5" t="s">
        <v>50</v>
      </c>
      <c r="O453" s="5" t="s">
        <v>1348</v>
      </c>
      <c r="P453" s="6">
        <f>IF(A453="","",COUNTA(D453:F453)+COUNTA(G453:G453)+COUNTA(H453:H453)+COUNTA(I453:I453))</f>
        <v>6</v>
      </c>
      <c r="Q453" s="6" t="str">
        <f>IF(A453="","",IF(AND(P453=6,UPPER(L453)&lt;&gt;"Y",C453&lt;&gt;""),"Yes","No"))</f>
        <v>Yes</v>
      </c>
      <c r="R453" s="5" t="s">
        <v>51</v>
      </c>
      <c r="S453" s="5" t="s">
        <v>1349</v>
      </c>
      <c r="T453" s="5" t="s">
        <v>1350</v>
      </c>
      <c r="U453" s="5" t="s">
        <v>1351</v>
      </c>
      <c r="V453" s="5" t="s">
        <v>1352</v>
      </c>
      <c r="W453" s="5" t="s">
        <v>43</v>
      </c>
      <c r="X453" s="5"/>
      <c r="Y453" s="5" t="s">
        <v>412</v>
      </c>
    </row>
    <row r="454" spans="1:25" x14ac:dyDescent="0.25">
      <c r="A454" s="5" t="s">
        <v>1353</v>
      </c>
      <c r="B454" s="5"/>
      <c r="C454" s="5"/>
      <c r="D454" s="5"/>
      <c r="E454" s="5" t="s">
        <v>45</v>
      </c>
      <c r="F454" s="5" t="s">
        <v>46</v>
      </c>
      <c r="G454" s="5"/>
      <c r="H454" s="5" t="s">
        <v>557</v>
      </c>
      <c r="I454" s="5"/>
      <c r="J454" s="5"/>
      <c r="K454" s="5"/>
      <c r="L454" s="5"/>
      <c r="M454" s="5"/>
      <c r="N454" s="5" t="s">
        <v>66</v>
      </c>
      <c r="O454" s="5" t="s">
        <v>103</v>
      </c>
      <c r="P454" s="6">
        <f>IF(A454="","",COUNTA(D454:F454)+COUNTA(G454:G454)+COUNTA(H454:H454)+COUNTA(I454:I454))</f>
        <v>3</v>
      </c>
      <c r="Q454" s="6" t="str">
        <f>IF(A454="","",IF(AND(P454=6,UPPER(L454)&lt;&gt;"Y",C454&lt;&gt;""),"Yes","No"))</f>
        <v>No</v>
      </c>
      <c r="R454" s="5" t="s">
        <v>51</v>
      </c>
      <c r="S454" s="5" t="s">
        <v>1354</v>
      </c>
      <c r="T454" s="5" t="s">
        <v>1355</v>
      </c>
      <c r="U454" s="5" t="s">
        <v>557</v>
      </c>
      <c r="V454" s="5"/>
      <c r="W454" s="5" t="s">
        <v>105</v>
      </c>
      <c r="X454" s="5"/>
      <c r="Y454" s="5" t="s">
        <v>392</v>
      </c>
    </row>
    <row r="455" spans="1:25" x14ac:dyDescent="0.25">
      <c r="A455" s="5" t="s">
        <v>1356</v>
      </c>
      <c r="B455" s="5"/>
      <c r="C455" s="5" t="s">
        <v>70</v>
      </c>
      <c r="D455" s="5" t="s">
        <v>44</v>
      </c>
      <c r="E455" s="5"/>
      <c r="F455" s="5"/>
      <c r="G455" s="5" t="s">
        <v>57</v>
      </c>
      <c r="H455" s="5" t="s">
        <v>700</v>
      </c>
      <c r="I455" s="5" t="s">
        <v>49</v>
      </c>
      <c r="J455" s="5"/>
      <c r="K455" s="5" t="s">
        <v>49</v>
      </c>
      <c r="L455" s="5"/>
      <c r="M455" s="5"/>
      <c r="N455" s="5" t="s">
        <v>124</v>
      </c>
      <c r="O455" s="5"/>
      <c r="P455" s="6">
        <f>IF(A455="","",COUNTA(D455:F455)+COUNTA(G455:G455)+COUNTA(H455:H455)+COUNTA(I455:I455))</f>
        <v>4</v>
      </c>
      <c r="Q455" s="6" t="str">
        <f>IF(A455="","",IF(AND(P455=6,UPPER(L455)&lt;&gt;"Y",C455&lt;&gt;""),"Yes","No"))</f>
        <v>No</v>
      </c>
      <c r="R455" s="5" t="s">
        <v>125</v>
      </c>
      <c r="S455" s="5"/>
      <c r="T455" s="5"/>
      <c r="U455" s="5" t="s">
        <v>700</v>
      </c>
      <c r="V455" s="5" t="s">
        <v>57</v>
      </c>
      <c r="W455" s="5"/>
      <c r="X455" s="5"/>
      <c r="Y455" s="5" t="s">
        <v>285</v>
      </c>
    </row>
    <row r="456" spans="1:25" x14ac:dyDescent="0.25">
      <c r="A456" s="5" t="s">
        <v>1357</v>
      </c>
      <c r="B456" s="5"/>
      <c r="C456" s="5" t="s">
        <v>70</v>
      </c>
      <c r="D456" s="5" t="s">
        <v>76</v>
      </c>
      <c r="E456" s="5" t="s">
        <v>331</v>
      </c>
      <c r="F456" s="5"/>
      <c r="G456" s="5"/>
      <c r="H456" s="5" t="s">
        <v>332</v>
      </c>
      <c r="I456" s="5"/>
      <c r="J456" s="5"/>
      <c r="K456" s="5"/>
      <c r="L456" s="5"/>
      <c r="M456" s="5"/>
      <c r="N456" s="5" t="s">
        <v>50</v>
      </c>
      <c r="O456" s="5"/>
      <c r="P456" s="6">
        <f>IF(A456="","",COUNTA(D456:F456)+COUNTA(G456:G456)+COUNTA(H456:H456)+COUNTA(I456:I456))</f>
        <v>3</v>
      </c>
      <c r="Q456" s="6" t="str">
        <f>IF(A456="","",IF(AND(P456=6,UPPER(L456)&lt;&gt;"Y",C456&lt;&gt;""),"Yes","No"))</f>
        <v>No</v>
      </c>
      <c r="R456" s="5" t="s">
        <v>51</v>
      </c>
      <c r="S456" s="5"/>
      <c r="T456" s="5" t="s">
        <v>1358</v>
      </c>
      <c r="U456" s="5" t="s">
        <v>332</v>
      </c>
      <c r="V456" s="5"/>
      <c r="W456" s="5"/>
      <c r="X456" s="5"/>
      <c r="Y456" s="5" t="s">
        <v>333</v>
      </c>
    </row>
    <row r="457" spans="1:25" x14ac:dyDescent="0.25">
      <c r="A457" s="5" t="s">
        <v>1359</v>
      </c>
      <c r="B457" s="5"/>
      <c r="C457" s="5" t="s">
        <v>43</v>
      </c>
      <c r="D457" s="5" t="s">
        <v>44</v>
      </c>
      <c r="E457" s="5"/>
      <c r="F457" s="5"/>
      <c r="G457" s="5" t="s">
        <v>57</v>
      </c>
      <c r="H457" s="5" t="s">
        <v>77</v>
      </c>
      <c r="I457" s="5" t="s">
        <v>192</v>
      </c>
      <c r="J457" s="5" t="s">
        <v>178</v>
      </c>
      <c r="K457" s="5" t="s">
        <v>1360</v>
      </c>
      <c r="L457" s="5"/>
      <c r="M457" s="5"/>
      <c r="N457" s="5" t="s">
        <v>50</v>
      </c>
      <c r="O457" s="5"/>
      <c r="P457" s="6">
        <f>IF(A457="","",COUNTA(D457:F457)+COUNTA(G457:G457)+COUNTA(H457:H457)+COUNTA(I457:I457))</f>
        <v>4</v>
      </c>
      <c r="Q457" s="6" t="str">
        <f>IF(A457="","",IF(AND(P457=6,UPPER(L457)&lt;&gt;"Y",C457&lt;&gt;""),"Yes","No"))</f>
        <v>No</v>
      </c>
      <c r="R457" s="5" t="s">
        <v>51</v>
      </c>
      <c r="S457" s="5"/>
      <c r="T457" s="5" t="s">
        <v>1361</v>
      </c>
      <c r="U457" s="5" t="s">
        <v>77</v>
      </c>
      <c r="V457" s="5"/>
      <c r="W457" s="5" t="s">
        <v>43</v>
      </c>
      <c r="X457" s="5"/>
      <c r="Y457" s="5" t="s">
        <v>94</v>
      </c>
    </row>
    <row r="458" spans="1:25" x14ac:dyDescent="0.25">
      <c r="A458" s="5" t="s">
        <v>1362</v>
      </c>
      <c r="B458" s="5"/>
      <c r="C458" s="5" t="s">
        <v>43</v>
      </c>
      <c r="D458" s="5"/>
      <c r="E458" s="5" t="s">
        <v>45</v>
      </c>
      <c r="F458" s="5" t="s">
        <v>107</v>
      </c>
      <c r="G458" s="5" t="s">
        <v>47</v>
      </c>
      <c r="H458" s="5"/>
      <c r="I458" s="5"/>
      <c r="J458" s="5"/>
      <c r="K458" s="5"/>
      <c r="L458" s="5"/>
      <c r="M458" s="5"/>
      <c r="N458" s="5" t="s">
        <v>66</v>
      </c>
      <c r="O458" s="5"/>
      <c r="P458" s="6">
        <f>IF(A458="","",COUNTA(D458:F458)+COUNTA(G458:G458)+COUNTA(H458:H458)+COUNTA(I458:I458))</f>
        <v>3</v>
      </c>
      <c r="Q458" s="6" t="str">
        <f>IF(A458="","",IF(AND(P458=6,UPPER(L458)&lt;&gt;"Y",C458&lt;&gt;""),"Yes","No"))</f>
        <v>No</v>
      </c>
      <c r="R458" s="5" t="s">
        <v>51</v>
      </c>
      <c r="S458" s="5" t="s">
        <v>1363</v>
      </c>
      <c r="T458" s="5"/>
      <c r="U458" s="5"/>
      <c r="V458" s="5" t="s">
        <v>67</v>
      </c>
      <c r="W458" s="5" t="s">
        <v>43</v>
      </c>
      <c r="X458" s="5" t="s">
        <v>68</v>
      </c>
      <c r="Y458" s="5" t="s">
        <v>392</v>
      </c>
    </row>
    <row r="459" spans="1:25" x14ac:dyDescent="0.25">
      <c r="A459" s="5" t="s">
        <v>1364</v>
      </c>
      <c r="B459" s="5"/>
      <c r="C459" s="5" t="s">
        <v>43</v>
      </c>
      <c r="D459" s="5"/>
      <c r="E459" s="5"/>
      <c r="F459" s="5"/>
      <c r="G459" s="5"/>
      <c r="H459" s="5" t="s">
        <v>1365</v>
      </c>
      <c r="I459" s="5" t="s">
        <v>49</v>
      </c>
      <c r="J459" s="5"/>
      <c r="K459" s="5" t="s">
        <v>49</v>
      </c>
      <c r="L459" s="5"/>
      <c r="M459" s="5"/>
      <c r="N459" s="5" t="s">
        <v>50</v>
      </c>
      <c r="O459" s="5"/>
      <c r="P459" s="6">
        <f>IF(A459="","",COUNTA(D459:F459)+COUNTA(G459:G459)+COUNTA(H459:H459)+COUNTA(I459:I459))</f>
        <v>2</v>
      </c>
      <c r="Q459" s="6" t="str">
        <f>IF(A459="","",IF(AND(P459=6,UPPER(L459)&lt;&gt;"Y",C459&lt;&gt;""),"Yes","No"))</f>
        <v>No</v>
      </c>
      <c r="R459" s="5" t="s">
        <v>51</v>
      </c>
      <c r="S459" s="5"/>
      <c r="T459" s="5" t="s">
        <v>1366</v>
      </c>
      <c r="U459" s="5" t="s">
        <v>1365</v>
      </c>
      <c r="V459" s="5"/>
      <c r="W459" s="5" t="s">
        <v>43</v>
      </c>
      <c r="X459" s="5" t="s">
        <v>1367</v>
      </c>
      <c r="Y459" s="5" t="s">
        <v>587</v>
      </c>
    </row>
    <row r="460" spans="1:25" x14ac:dyDescent="0.25">
      <c r="A460" s="5" t="s">
        <v>1368</v>
      </c>
      <c r="B460" s="5"/>
      <c r="C460" s="5" t="s">
        <v>43</v>
      </c>
      <c r="D460" s="5" t="s">
        <v>76</v>
      </c>
      <c r="E460" s="5"/>
      <c r="F460" s="5" t="s">
        <v>46</v>
      </c>
      <c r="G460" s="5" t="s">
        <v>57</v>
      </c>
      <c r="H460" s="5" t="s">
        <v>83</v>
      </c>
      <c r="I460" s="5" t="s">
        <v>78</v>
      </c>
      <c r="J460" s="5"/>
      <c r="K460" s="5" t="s">
        <v>78</v>
      </c>
      <c r="L460" s="5"/>
      <c r="M460" s="5"/>
      <c r="N460" s="5" t="s">
        <v>50</v>
      </c>
      <c r="O460" s="5"/>
      <c r="P460" s="6">
        <f>IF(A460="","",COUNTA(D460:F460)+COUNTA(G460:G460)+COUNTA(H460:H460)+COUNTA(I460:I460))</f>
        <v>5</v>
      </c>
      <c r="Q460" s="6" t="str">
        <f>IF(A460="","",IF(AND(P460=6,UPPER(L460)&lt;&gt;"Y",C460&lt;&gt;""),"Yes","No"))</f>
        <v>No</v>
      </c>
      <c r="R460" s="5" t="s">
        <v>51</v>
      </c>
      <c r="S460" s="5"/>
      <c r="T460" s="5" t="s">
        <v>1369</v>
      </c>
      <c r="U460" s="5" t="s">
        <v>83</v>
      </c>
      <c r="V460" s="5"/>
      <c r="W460" s="5" t="s">
        <v>43</v>
      </c>
      <c r="X460" s="5"/>
      <c r="Y460" s="5" t="s">
        <v>81</v>
      </c>
    </row>
    <row r="461" spans="1:25" x14ac:dyDescent="0.25">
      <c r="A461" s="5" t="s">
        <v>1370</v>
      </c>
      <c r="B461" s="5"/>
      <c r="C461" s="5"/>
      <c r="D461" s="5"/>
      <c r="E461" s="5" t="s">
        <v>331</v>
      </c>
      <c r="F461" s="5"/>
      <c r="G461" s="5"/>
      <c r="H461" s="5"/>
      <c r="I461" s="5"/>
      <c r="J461" s="5"/>
      <c r="K461" s="5"/>
      <c r="L461" s="5"/>
      <c r="M461" s="5"/>
      <c r="N461" s="5" t="s">
        <v>66</v>
      </c>
      <c r="O461" s="5"/>
      <c r="P461" s="6">
        <f>IF(A461="","",COUNTA(D461:F461)+COUNTA(G461:G461)+COUNTA(H461:H461)+COUNTA(I461:I461))</f>
        <v>1</v>
      </c>
      <c r="Q461" s="6" t="str">
        <f>IF(A461="","",IF(AND(P461=6,UPPER(L461)&lt;&gt;"Y",C461&lt;&gt;""),"Yes","No"))</f>
        <v>No</v>
      </c>
      <c r="R461" s="5" t="s">
        <v>51</v>
      </c>
      <c r="S461" s="5"/>
      <c r="T461" s="5" t="s">
        <v>331</v>
      </c>
      <c r="U461" s="5"/>
      <c r="V461" s="5"/>
      <c r="W461" s="5"/>
      <c r="X461" s="5"/>
      <c r="Y461" s="5" t="s">
        <v>1371</v>
      </c>
    </row>
    <row r="462" spans="1:25" x14ac:dyDescent="0.25">
      <c r="A462" s="5" t="s">
        <v>1372</v>
      </c>
      <c r="B462" s="5"/>
      <c r="C462" s="5" t="s">
        <v>70</v>
      </c>
      <c r="D462" s="5"/>
      <c r="E462" s="5"/>
      <c r="F462" s="5"/>
      <c r="G462" s="5" t="s">
        <v>47</v>
      </c>
      <c r="H462" s="5"/>
      <c r="I462" s="5"/>
      <c r="J462" s="5"/>
      <c r="K462" s="5"/>
      <c r="L462" s="5"/>
      <c r="M462" s="5"/>
      <c r="N462" s="5" t="s">
        <v>50</v>
      </c>
      <c r="O462" s="5"/>
      <c r="P462" s="6">
        <f>IF(A462="","",COUNTA(D462:F462)+COUNTA(G462:G462)+COUNTA(H462:H462)+COUNTA(I462:I462))</f>
        <v>1</v>
      </c>
      <c r="Q462" s="6" t="str">
        <f>IF(A462="","",IF(AND(P462=6,UPPER(L462)&lt;&gt;"Y",C462&lt;&gt;""),"Yes","No"))</f>
        <v>No</v>
      </c>
      <c r="R462" s="5" t="s">
        <v>51</v>
      </c>
      <c r="S462" s="5"/>
      <c r="T462" s="5"/>
      <c r="U462" s="5"/>
      <c r="V462" s="5"/>
      <c r="W462" s="5"/>
      <c r="X462" s="5"/>
      <c r="Y462" s="5" t="s">
        <v>256</v>
      </c>
    </row>
    <row r="463" spans="1:25" x14ac:dyDescent="0.25">
      <c r="A463" s="5" t="s">
        <v>1373</v>
      </c>
      <c r="B463" s="5" t="s">
        <v>1374</v>
      </c>
      <c r="C463" s="5" t="s">
        <v>70</v>
      </c>
      <c r="D463" s="5"/>
      <c r="E463" s="5" t="s">
        <v>593</v>
      </c>
      <c r="F463" s="5"/>
      <c r="G463" s="5" t="s">
        <v>47</v>
      </c>
      <c r="H463" s="5"/>
      <c r="I463" s="5" t="s">
        <v>59</v>
      </c>
      <c r="J463" s="5" t="s">
        <v>133</v>
      </c>
      <c r="K463" s="5" t="s">
        <v>1375</v>
      </c>
      <c r="L463" s="5"/>
      <c r="M463" s="5"/>
      <c r="N463" s="5" t="s">
        <v>254</v>
      </c>
      <c r="O463" s="5"/>
      <c r="P463" s="6">
        <f>IF(A463="","",COUNTA(D463:F463)+COUNTA(G463:G463)+COUNTA(H463:H463)+COUNTA(I463:I463))</f>
        <v>3</v>
      </c>
      <c r="Q463" s="6" t="str">
        <f>IF(A463="","",IF(AND(P463=6,UPPER(L463)&lt;&gt;"Y",C463&lt;&gt;""),"Yes","No"))</f>
        <v>No</v>
      </c>
      <c r="R463" s="5" t="s">
        <v>255</v>
      </c>
      <c r="S463" s="5"/>
      <c r="T463" s="5"/>
      <c r="U463" s="5"/>
      <c r="V463" s="5"/>
      <c r="W463" s="5"/>
      <c r="X463" s="5"/>
      <c r="Y463" s="5" t="s">
        <v>256</v>
      </c>
    </row>
    <row r="464" spans="1:25" x14ac:dyDescent="0.25">
      <c r="A464" s="5" t="s">
        <v>1376</v>
      </c>
      <c r="B464" s="5"/>
      <c r="C464" s="5" t="s">
        <v>43</v>
      </c>
      <c r="D464" s="5" t="s">
        <v>44</v>
      </c>
      <c r="E464" s="5" t="s">
        <v>45</v>
      </c>
      <c r="F464" s="5" t="s">
        <v>107</v>
      </c>
      <c r="G464" s="5" t="s">
        <v>47</v>
      </c>
      <c r="H464" s="5" t="s">
        <v>313</v>
      </c>
      <c r="I464" s="5" t="s">
        <v>91</v>
      </c>
      <c r="J464" s="5" t="s">
        <v>193</v>
      </c>
      <c r="K464" s="5" t="s">
        <v>91</v>
      </c>
      <c r="L464" s="5"/>
      <c r="M464" s="5"/>
      <c r="N464" s="5" t="s">
        <v>50</v>
      </c>
      <c r="O464" s="5"/>
      <c r="P464" s="6">
        <f>IF(A464="","",COUNTA(D464:F464)+COUNTA(G464:G464)+COUNTA(H464:H464)+COUNTA(I464:I464))</f>
        <v>6</v>
      </c>
      <c r="Q464" s="6" t="str">
        <f>IF(A464="","",IF(AND(P464=6,UPPER(L464)&lt;&gt;"Y",C464&lt;&gt;""),"Yes","No"))</f>
        <v>Yes</v>
      </c>
      <c r="R464" s="5" t="s">
        <v>51</v>
      </c>
      <c r="S464" s="5"/>
      <c r="T464" s="5" t="s">
        <v>1377</v>
      </c>
      <c r="U464" s="5" t="s">
        <v>316</v>
      </c>
      <c r="V464" s="5"/>
      <c r="W464" s="5" t="s">
        <v>43</v>
      </c>
      <c r="X464" s="5"/>
      <c r="Y464" s="5" t="s">
        <v>94</v>
      </c>
    </row>
    <row r="465" spans="1:25" x14ac:dyDescent="0.25">
      <c r="A465" s="5" t="s">
        <v>1378</v>
      </c>
      <c r="B465" s="5"/>
      <c r="C465" s="5" t="s">
        <v>43</v>
      </c>
      <c r="D465" s="5"/>
      <c r="E465" s="5"/>
      <c r="F465" s="5"/>
      <c r="G465" s="5"/>
      <c r="H465" s="5" t="s">
        <v>1365</v>
      </c>
      <c r="I465" s="5" t="s">
        <v>49</v>
      </c>
      <c r="J465" s="5"/>
      <c r="K465" s="5" t="s">
        <v>49</v>
      </c>
      <c r="L465" s="5"/>
      <c r="M465" s="5"/>
      <c r="N465" s="5" t="s">
        <v>50</v>
      </c>
      <c r="O465" s="5"/>
      <c r="P465" s="6">
        <f>IF(A465="","",COUNTA(D465:F465)+COUNTA(G465:G465)+COUNTA(H465:H465)+COUNTA(I465:I465))</f>
        <v>2</v>
      </c>
      <c r="Q465" s="6" t="str">
        <f>IF(A465="","",IF(AND(P465=6,UPPER(L465)&lt;&gt;"Y",C465&lt;&gt;""),"Yes","No"))</f>
        <v>No</v>
      </c>
      <c r="R465" s="5" t="s">
        <v>51</v>
      </c>
      <c r="S465" s="5"/>
      <c r="T465" s="5" t="s">
        <v>1379</v>
      </c>
      <c r="U465" s="5" t="s">
        <v>1365</v>
      </c>
      <c r="V465" s="5"/>
      <c r="W465" s="5" t="s">
        <v>43</v>
      </c>
      <c r="X465" s="5" t="s">
        <v>1367</v>
      </c>
      <c r="Y465" s="5" t="s">
        <v>587</v>
      </c>
    </row>
    <row r="466" spans="1:25" x14ac:dyDescent="0.25">
      <c r="A466" s="5" t="s">
        <v>1380</v>
      </c>
      <c r="B466" s="5"/>
      <c r="C466" s="5"/>
      <c r="D466" s="5"/>
      <c r="E466" s="5"/>
      <c r="F466" s="5"/>
      <c r="G466" s="5"/>
      <c r="H466" s="5" t="s">
        <v>77</v>
      </c>
      <c r="I466" s="5"/>
      <c r="J466" s="5"/>
      <c r="K466" s="5"/>
      <c r="L466" s="5"/>
      <c r="M466" s="5"/>
      <c r="N466" s="5" t="s">
        <v>66</v>
      </c>
      <c r="O466" s="5" t="s">
        <v>103</v>
      </c>
      <c r="P466" s="6">
        <f>IF(A466="","",COUNTA(D466:F466)+COUNTA(G466:G466)+COUNTA(H466:H466)+COUNTA(I466:I466))</f>
        <v>1</v>
      </c>
      <c r="Q466" s="6" t="str">
        <f>IF(A466="","",IF(AND(P466=6,UPPER(L466)&lt;&gt;"Y",C466&lt;&gt;""),"Yes","No"))</f>
        <v>No</v>
      </c>
      <c r="R466" s="5" t="s">
        <v>51</v>
      </c>
      <c r="S466" s="5"/>
      <c r="T466" s="5" t="s">
        <v>1381</v>
      </c>
      <c r="U466" s="5" t="s">
        <v>77</v>
      </c>
      <c r="V466" s="5"/>
      <c r="W466" s="5" t="s">
        <v>105</v>
      </c>
      <c r="X466" s="5"/>
      <c r="Y466" s="5"/>
    </row>
    <row r="467" spans="1:25" x14ac:dyDescent="0.25">
      <c r="A467" s="5" t="s">
        <v>1382</v>
      </c>
      <c r="B467" s="5"/>
      <c r="C467" s="5" t="s">
        <v>43</v>
      </c>
      <c r="D467" s="5" t="s">
        <v>44</v>
      </c>
      <c r="E467" s="5"/>
      <c r="F467" s="5"/>
      <c r="G467" s="5" t="s">
        <v>57</v>
      </c>
      <c r="H467" s="5" t="s">
        <v>1125</v>
      </c>
      <c r="I467" s="5" t="s">
        <v>119</v>
      </c>
      <c r="J467" s="5"/>
      <c r="K467" s="5" t="s">
        <v>1383</v>
      </c>
      <c r="L467" s="5"/>
      <c r="M467" s="5"/>
      <c r="N467" s="5" t="s">
        <v>50</v>
      </c>
      <c r="O467" s="5"/>
      <c r="P467" s="6">
        <f>IF(A467="","",COUNTA(D467:F467)+COUNTA(G467:G467)+COUNTA(H467:H467)+COUNTA(I467:I467))</f>
        <v>4</v>
      </c>
      <c r="Q467" s="6" t="str">
        <f>IF(A467="","",IF(AND(P467=6,UPPER(L467)&lt;&gt;"Y",C467&lt;&gt;""),"Yes","No"))</f>
        <v>No</v>
      </c>
      <c r="R467" s="5" t="s">
        <v>51</v>
      </c>
      <c r="S467" s="5"/>
      <c r="T467" s="5" t="s">
        <v>1384</v>
      </c>
      <c r="U467" s="5" t="s">
        <v>1125</v>
      </c>
      <c r="V467" s="5"/>
      <c r="W467" s="5" t="s">
        <v>43</v>
      </c>
      <c r="X467" s="5" t="s">
        <v>1385</v>
      </c>
      <c r="Y467" s="5" t="s">
        <v>237</v>
      </c>
    </row>
    <row r="468" spans="1:25" x14ac:dyDescent="0.25">
      <c r="A468" s="5" t="s">
        <v>1386</v>
      </c>
      <c r="B468" s="5"/>
      <c r="C468" s="5" t="s">
        <v>43</v>
      </c>
      <c r="D468" s="5" t="s">
        <v>76</v>
      </c>
      <c r="E468" s="5"/>
      <c r="F468" s="5" t="s">
        <v>46</v>
      </c>
      <c r="G468" s="5"/>
      <c r="H468" s="5" t="s">
        <v>77</v>
      </c>
      <c r="I468" s="5" t="s">
        <v>91</v>
      </c>
      <c r="J468" s="5"/>
      <c r="K468" s="5" t="s">
        <v>91</v>
      </c>
      <c r="L468" s="5"/>
      <c r="M468" s="5"/>
      <c r="N468" s="5" t="s">
        <v>50</v>
      </c>
      <c r="O468" s="5"/>
      <c r="P468" s="6">
        <f>IF(A468="","",COUNTA(D468:F468)+COUNTA(G468:G468)+COUNTA(H468:H468)+COUNTA(I468:I468))</f>
        <v>4</v>
      </c>
      <c r="Q468" s="6" t="str">
        <f>IF(A468="","",IF(AND(P468=6,UPPER(L468)&lt;&gt;"Y",C468&lt;&gt;""),"Yes","No"))</f>
        <v>No</v>
      </c>
      <c r="R468" s="5" t="s">
        <v>51</v>
      </c>
      <c r="S468" s="5"/>
      <c r="T468" s="5" t="s">
        <v>1387</v>
      </c>
      <c r="U468" s="5" t="s">
        <v>77</v>
      </c>
      <c r="V468" s="5"/>
      <c r="W468" s="5" t="s">
        <v>43</v>
      </c>
      <c r="X468" s="5"/>
      <c r="Y468" s="5" t="s">
        <v>591</v>
      </c>
    </row>
    <row r="469" spans="1:25" x14ac:dyDescent="0.25">
      <c r="A469" s="5" t="s">
        <v>1388</v>
      </c>
      <c r="B469" s="5"/>
      <c r="C469" s="5" t="s">
        <v>43</v>
      </c>
      <c r="D469" s="5" t="s">
        <v>76</v>
      </c>
      <c r="E469" s="5" t="s">
        <v>45</v>
      </c>
      <c r="F469" s="5" t="s">
        <v>107</v>
      </c>
      <c r="G469" s="5" t="s">
        <v>57</v>
      </c>
      <c r="H469" s="5" t="s">
        <v>83</v>
      </c>
      <c r="I469" s="5" t="s">
        <v>59</v>
      </c>
      <c r="J469" s="5" t="s">
        <v>1002</v>
      </c>
      <c r="K469" s="5" t="s">
        <v>1389</v>
      </c>
      <c r="L469" s="5"/>
      <c r="M469" s="5"/>
      <c r="N469" s="5" t="s">
        <v>110</v>
      </c>
      <c r="O469" s="5"/>
      <c r="P469" s="6">
        <f>IF(A469="","",COUNTA(D469:F469)+COUNTA(G469:G469)+COUNTA(H469:H469)+COUNTA(I469:I469))</f>
        <v>6</v>
      </c>
      <c r="Q469" s="6" t="str">
        <f>IF(A469="","",IF(AND(P469=6,UPPER(L469)&lt;&gt;"Y",C469&lt;&gt;""),"Yes","No"))</f>
        <v>Yes</v>
      </c>
      <c r="R469" s="5" t="s">
        <v>112</v>
      </c>
      <c r="S469" s="5" t="s">
        <v>1390</v>
      </c>
      <c r="T469" s="5" t="s">
        <v>1391</v>
      </c>
      <c r="U469" s="5" t="s">
        <v>83</v>
      </c>
      <c r="V469" s="5"/>
      <c r="W469" s="5" t="s">
        <v>43</v>
      </c>
      <c r="X469" s="5" t="s">
        <v>466</v>
      </c>
      <c r="Y469" s="5" t="s">
        <v>101</v>
      </c>
    </row>
    <row r="470" spans="1:25" x14ac:dyDescent="0.25">
      <c r="A470" s="5" t="s">
        <v>1392</v>
      </c>
      <c r="B470" s="5"/>
      <c r="C470" s="5" t="s">
        <v>43</v>
      </c>
      <c r="D470" s="5"/>
      <c r="E470" s="5"/>
      <c r="F470" s="5"/>
      <c r="G470" s="5" t="s">
        <v>47</v>
      </c>
      <c r="H470" s="5"/>
      <c r="I470" s="5"/>
      <c r="J470" s="5"/>
      <c r="K470" s="5"/>
      <c r="L470" s="5"/>
      <c r="M470" s="5"/>
      <c r="N470" s="5" t="s">
        <v>50</v>
      </c>
      <c r="O470" s="5"/>
      <c r="P470" s="6">
        <f>IF(A470="","",COUNTA(D470:F470)+COUNTA(G470:G470)+COUNTA(H470:H470)+COUNTA(I470:I470))</f>
        <v>1</v>
      </c>
      <c r="Q470" s="6" t="str">
        <f>IF(A470="","",IF(AND(P470=6,UPPER(L470)&lt;&gt;"Y",C470&lt;&gt;""),"Yes","No"))</f>
        <v>No</v>
      </c>
      <c r="R470" s="5" t="s">
        <v>51</v>
      </c>
      <c r="S470" s="5"/>
      <c r="T470" s="5"/>
      <c r="U470" s="5"/>
      <c r="V470" s="5"/>
      <c r="W470" s="5" t="s">
        <v>43</v>
      </c>
      <c r="X470" s="5" t="s">
        <v>68</v>
      </c>
      <c r="Y470" s="5" t="s">
        <v>547</v>
      </c>
    </row>
    <row r="471" spans="1:25" x14ac:dyDescent="0.25">
      <c r="A471" s="5" t="s">
        <v>1393</v>
      </c>
      <c r="B471" s="5"/>
      <c r="C471" s="5" t="s">
        <v>43</v>
      </c>
      <c r="D471" s="5" t="s">
        <v>44</v>
      </c>
      <c r="E471" s="5" t="s">
        <v>331</v>
      </c>
      <c r="F471" s="5" t="s">
        <v>107</v>
      </c>
      <c r="G471" s="5" t="s">
        <v>57</v>
      </c>
      <c r="H471" s="5" t="s">
        <v>662</v>
      </c>
      <c r="I471" s="5" t="s">
        <v>49</v>
      </c>
      <c r="J471" s="5"/>
      <c r="K471" s="5" t="s">
        <v>49</v>
      </c>
      <c r="L471" s="5"/>
      <c r="M471" s="5"/>
      <c r="N471" s="5" t="s">
        <v>50</v>
      </c>
      <c r="O471" s="5"/>
      <c r="P471" s="6">
        <f>IF(A471="","",COUNTA(D471:F471)+COUNTA(G471:G471)+COUNTA(H471:H471)+COUNTA(I471:I471))</f>
        <v>6</v>
      </c>
      <c r="Q471" s="6" t="str">
        <f>IF(A471="","",IF(AND(P471=6,UPPER(L471)&lt;&gt;"Y",C471&lt;&gt;""),"Yes","No"))</f>
        <v>Yes</v>
      </c>
      <c r="R471" s="5" t="s">
        <v>51</v>
      </c>
      <c r="S471" s="5"/>
      <c r="T471" s="5" t="s">
        <v>1394</v>
      </c>
      <c r="U471" s="5" t="s">
        <v>662</v>
      </c>
      <c r="V471" s="5"/>
      <c r="W471" s="5" t="s">
        <v>43</v>
      </c>
      <c r="X471" s="5" t="s">
        <v>421</v>
      </c>
      <c r="Y471" s="5" t="s">
        <v>1395</v>
      </c>
    </row>
    <row r="472" spans="1:25" x14ac:dyDescent="0.25">
      <c r="A472" s="5" t="s">
        <v>1396</v>
      </c>
      <c r="B472" s="5"/>
      <c r="C472" s="5" t="s">
        <v>43</v>
      </c>
      <c r="D472" s="5" t="s">
        <v>44</v>
      </c>
      <c r="E472" s="5" t="s">
        <v>45</v>
      </c>
      <c r="F472" s="5" t="s">
        <v>107</v>
      </c>
      <c r="G472" s="5" t="s">
        <v>47</v>
      </c>
      <c r="H472" s="5" t="s">
        <v>313</v>
      </c>
      <c r="I472" s="5" t="s">
        <v>91</v>
      </c>
      <c r="J472" s="5" t="s">
        <v>108</v>
      </c>
      <c r="K472" s="5" t="s">
        <v>1397</v>
      </c>
      <c r="L472" s="5"/>
      <c r="M472" s="5"/>
      <c r="N472" s="5" t="s">
        <v>50</v>
      </c>
      <c r="O472" s="5"/>
      <c r="P472" s="6">
        <f>IF(A472="","",COUNTA(D472:F472)+COUNTA(G472:G472)+COUNTA(H472:H472)+COUNTA(I472:I472))</f>
        <v>6</v>
      </c>
      <c r="Q472" s="6" t="str">
        <f>IF(A472="","",IF(AND(P472=6,UPPER(L472)&lt;&gt;"Y",C472&lt;&gt;""),"Yes","No"))</f>
        <v>Yes</v>
      </c>
      <c r="R472" s="5" t="s">
        <v>51</v>
      </c>
      <c r="S472" s="5"/>
      <c r="T472" s="5" t="s">
        <v>1398</v>
      </c>
      <c r="U472" s="5" t="s">
        <v>316</v>
      </c>
      <c r="V472" s="5"/>
      <c r="W472" s="5" t="s">
        <v>43</v>
      </c>
      <c r="X472" s="5"/>
      <c r="Y472" s="5" t="s">
        <v>94</v>
      </c>
    </row>
    <row r="473" spans="1:25" x14ac:dyDescent="0.25">
      <c r="A473" s="5" t="s">
        <v>1399</v>
      </c>
      <c r="B473" s="5"/>
      <c r="C473" s="5"/>
      <c r="D473" s="5"/>
      <c r="E473" s="5" t="s">
        <v>45</v>
      </c>
      <c r="F473" s="5" t="s">
        <v>107</v>
      </c>
      <c r="G473" s="5"/>
      <c r="H473" s="5"/>
      <c r="I473" s="5" t="s">
        <v>72</v>
      </c>
      <c r="J473" s="5"/>
      <c r="K473" s="5" t="s">
        <v>72</v>
      </c>
      <c r="L473" s="5"/>
      <c r="M473" s="5"/>
      <c r="N473" s="5" t="s">
        <v>66</v>
      </c>
      <c r="O473" s="5" t="s">
        <v>163</v>
      </c>
      <c r="P473" s="6">
        <f>IF(A473="","",COUNTA(D473:F473)+COUNTA(G473:G473)+COUNTA(H473:H473)+COUNTA(I473:I473))</f>
        <v>3</v>
      </c>
      <c r="Q473" s="6" t="str">
        <f>IF(A473="","",IF(AND(P473=6,UPPER(L473)&lt;&gt;"Y",C473&lt;&gt;""),"Yes","No"))</f>
        <v>No</v>
      </c>
      <c r="R473" s="5" t="s">
        <v>51</v>
      </c>
      <c r="S473" s="5" t="s">
        <v>1400</v>
      </c>
      <c r="T473" s="5" t="s">
        <v>1401</v>
      </c>
      <c r="U473" s="5"/>
      <c r="V473" s="5"/>
      <c r="W473" s="5" t="s">
        <v>166</v>
      </c>
      <c r="X473" s="5"/>
      <c r="Y473" s="5" t="s">
        <v>203</v>
      </c>
    </row>
    <row r="474" spans="1:25" x14ac:dyDescent="0.25">
      <c r="A474" s="5" t="s">
        <v>1402</v>
      </c>
      <c r="B474" s="5"/>
      <c r="C474" s="5" t="s">
        <v>43</v>
      </c>
      <c r="D474" s="5"/>
      <c r="E474" s="5"/>
      <c r="F474" s="5"/>
      <c r="G474" s="5"/>
      <c r="H474" s="5" t="s">
        <v>902</v>
      </c>
      <c r="I474" s="5"/>
      <c r="J474" s="5"/>
      <c r="K474" s="5"/>
      <c r="L474" s="5"/>
      <c r="M474" s="5"/>
      <c r="N474" s="5" t="s">
        <v>66</v>
      </c>
      <c r="O474" s="5"/>
      <c r="P474" s="6">
        <f>IF(A474="","",COUNTA(D474:F474)+COUNTA(G474:G474)+COUNTA(H474:H474)+COUNTA(I474:I474))</f>
        <v>1</v>
      </c>
      <c r="Q474" s="6" t="str">
        <f>IF(A474="","",IF(AND(P474=6,UPPER(L474)&lt;&gt;"Y",C474&lt;&gt;""),"Yes","No"))</f>
        <v>No</v>
      </c>
      <c r="R474" s="5" t="s">
        <v>51</v>
      </c>
      <c r="S474" s="5"/>
      <c r="T474" s="5" t="s">
        <v>1403</v>
      </c>
      <c r="U474" s="5" t="s">
        <v>903</v>
      </c>
      <c r="V474" s="5"/>
      <c r="W474" s="5" t="s">
        <v>43</v>
      </c>
      <c r="X474" s="5"/>
      <c r="Y474" s="5"/>
    </row>
    <row r="475" spans="1:25" x14ac:dyDescent="0.25">
      <c r="A475" s="5" t="s">
        <v>1413</v>
      </c>
      <c r="B475" s="5"/>
      <c r="C475" s="5" t="s">
        <v>70</v>
      </c>
      <c r="D475" s="5"/>
      <c r="E475" s="5"/>
      <c r="F475" s="5"/>
      <c r="G475" s="5"/>
      <c r="H475" s="5" t="s">
        <v>902</v>
      </c>
      <c r="I475" s="5" t="s">
        <v>49</v>
      </c>
      <c r="J475" s="5"/>
      <c r="K475" s="5" t="s">
        <v>49</v>
      </c>
      <c r="L475" s="5"/>
      <c r="M475" s="5"/>
      <c r="N475" s="5" t="s">
        <v>124</v>
      </c>
      <c r="O475" s="5"/>
      <c r="P475" s="6">
        <f>IF(A475="","",COUNTA(D475:F475)+COUNTA(G475:G475)+COUNTA(H475:H475)+COUNTA(I475:I475))</f>
        <v>2</v>
      </c>
      <c r="Q475" s="6" t="str">
        <f>IF(A475="","",IF(AND(P475=6,UPPER(L475)&lt;&gt;"Y",C475&lt;&gt;""),"Yes","No"))</f>
        <v>No</v>
      </c>
      <c r="R475" s="5" t="s">
        <v>125</v>
      </c>
      <c r="S475" s="5"/>
      <c r="T475" s="5"/>
      <c r="U475" s="5" t="s">
        <v>902</v>
      </c>
      <c r="V475" s="5"/>
      <c r="W475" s="5"/>
      <c r="X475" s="5"/>
      <c r="Y475" s="5" t="s">
        <v>907</v>
      </c>
    </row>
    <row r="476" spans="1:25" x14ac:dyDescent="0.25">
      <c r="A476" s="5" t="s">
        <v>1404</v>
      </c>
      <c r="B476" s="5"/>
      <c r="C476" s="5" t="s">
        <v>43</v>
      </c>
      <c r="D476" s="5" t="s">
        <v>76</v>
      </c>
      <c r="E476" s="5" t="s">
        <v>45</v>
      </c>
      <c r="F476" s="5" t="s">
        <v>46</v>
      </c>
      <c r="G476" s="5" t="s">
        <v>47</v>
      </c>
      <c r="H476" s="5" t="s">
        <v>322</v>
      </c>
      <c r="I476" s="5" t="s">
        <v>91</v>
      </c>
      <c r="J476" s="5" t="s">
        <v>1405</v>
      </c>
      <c r="K476" s="5" t="s">
        <v>1406</v>
      </c>
      <c r="L476" s="5"/>
      <c r="M476" s="5"/>
      <c r="N476" s="5" t="s">
        <v>50</v>
      </c>
      <c r="O476" s="5"/>
      <c r="P476" s="6">
        <f>IF(A476="","",COUNTA(D476:F476)+COUNTA(G476:G476)+COUNTA(H476:H476)+COUNTA(I476:I476))</f>
        <v>6</v>
      </c>
      <c r="Q476" s="6" t="str">
        <f>IF(A476="","",IF(AND(P476=6,UPPER(L476)&lt;&gt;"Y",C476&lt;&gt;""),"Yes","No"))</f>
        <v>Yes</v>
      </c>
      <c r="R476" s="5" t="s">
        <v>51</v>
      </c>
      <c r="S476" s="5" t="s">
        <v>1407</v>
      </c>
      <c r="T476" s="5" t="s">
        <v>984</v>
      </c>
      <c r="U476" s="5" t="s">
        <v>322</v>
      </c>
      <c r="V476" s="5" t="s">
        <v>67</v>
      </c>
      <c r="W476" s="5" t="s">
        <v>43</v>
      </c>
      <c r="X476" s="5" t="s">
        <v>222</v>
      </c>
      <c r="Y476" s="5" t="s">
        <v>347</v>
      </c>
    </row>
    <row r="477" spans="1:25" x14ac:dyDescent="0.25">
      <c r="A477" s="5" t="s">
        <v>1408</v>
      </c>
      <c r="B477" s="5"/>
      <c r="C477" s="5" t="s">
        <v>128</v>
      </c>
      <c r="D477" s="5"/>
      <c r="E477" s="5"/>
      <c r="F477" s="5"/>
      <c r="G477" s="5" t="s">
        <v>57</v>
      </c>
      <c r="H477" s="5" t="s">
        <v>1409</v>
      </c>
      <c r="I477" s="5"/>
      <c r="J477" s="5"/>
      <c r="K477" s="5"/>
      <c r="L477" s="5"/>
      <c r="M477" s="5"/>
      <c r="N477" s="5" t="s">
        <v>66</v>
      </c>
      <c r="O477" s="5"/>
      <c r="P477" s="6">
        <f>IF(A477="","",COUNTA(D477:F477)+COUNTA(G477:G477)+COUNTA(H477:H477)+COUNTA(I477:I477))</f>
        <v>2</v>
      </c>
      <c r="Q477" s="6" t="str">
        <f>IF(A477="","",IF(AND(P477=6,UPPER(L477)&lt;&gt;"Y",C477&lt;&gt;""),"Yes","No"))</f>
        <v>No</v>
      </c>
      <c r="R477" s="5" t="s">
        <v>51</v>
      </c>
      <c r="S477" s="5"/>
      <c r="T477" s="5"/>
      <c r="U477" s="5" t="s">
        <v>1409</v>
      </c>
      <c r="V477" s="5" t="s">
        <v>57</v>
      </c>
      <c r="W477" s="5" t="s">
        <v>128</v>
      </c>
      <c r="X477" s="5" t="s">
        <v>1410</v>
      </c>
      <c r="Y477" s="5"/>
    </row>
    <row r="478" spans="1:25" x14ac:dyDescent="0.25">
      <c r="A478" s="5" t="s">
        <v>1411</v>
      </c>
      <c r="B478" s="5"/>
      <c r="C478" s="5" t="s">
        <v>70</v>
      </c>
      <c r="D478" s="5" t="s">
        <v>76</v>
      </c>
      <c r="E478" s="5"/>
      <c r="F478" s="5"/>
      <c r="G478" s="5"/>
      <c r="H478" s="5" t="s">
        <v>77</v>
      </c>
      <c r="I478" s="5" t="s">
        <v>71</v>
      </c>
      <c r="J478" s="5"/>
      <c r="K478" s="5" t="s">
        <v>71</v>
      </c>
      <c r="L478" s="5"/>
      <c r="M478" s="5"/>
      <c r="N478" s="5" t="s">
        <v>50</v>
      </c>
      <c r="O478" s="5"/>
      <c r="P478" s="6">
        <f>IF(A478="","",COUNTA(D478:F478)+COUNTA(G478:G478)+COUNTA(H478:H478)+COUNTA(I478:I478))</f>
        <v>3</v>
      </c>
      <c r="Q478" s="6" t="str">
        <f>IF(A478="","",IF(AND(P478=6,UPPER(L478)&lt;&gt;"Y",C478&lt;&gt;""),"Yes","No"))</f>
        <v>No</v>
      </c>
      <c r="R478" s="5" t="s">
        <v>51</v>
      </c>
      <c r="S478" s="5"/>
      <c r="T478" s="5" t="s">
        <v>1412</v>
      </c>
      <c r="U478" s="5"/>
      <c r="V478" s="5"/>
      <c r="W478" s="5"/>
      <c r="X478" s="5"/>
      <c r="Y478" s="5" t="s">
        <v>747</v>
      </c>
    </row>
    <row r="479" spans="1:25" x14ac:dyDescent="0.25">
      <c r="A479" s="5" t="s">
        <v>1419</v>
      </c>
      <c r="B479" s="5"/>
      <c r="C479" s="5" t="s">
        <v>43</v>
      </c>
      <c r="D479" s="5" t="s">
        <v>44</v>
      </c>
      <c r="E479" s="5" t="s">
        <v>45</v>
      </c>
      <c r="F479" s="5" t="s">
        <v>46</v>
      </c>
      <c r="G479" s="5" t="s">
        <v>1851</v>
      </c>
      <c r="H479" s="5" t="s">
        <v>205</v>
      </c>
      <c r="I479" s="5" t="s">
        <v>91</v>
      </c>
      <c r="J479" s="5" t="s">
        <v>71</v>
      </c>
      <c r="K479" s="5"/>
      <c r="L479" s="5"/>
      <c r="M479" s="5"/>
      <c r="N479" s="5" t="s">
        <v>50</v>
      </c>
      <c r="O479" s="5"/>
      <c r="P479" s="6">
        <f>IF(A479="","",COUNTA(D479:F479)+COUNTA(G479:G479)+COUNTA(H479:H479)+COUNTA(I479:I479))</f>
        <v>6</v>
      </c>
      <c r="Q479" s="6" t="str">
        <f>IF(A479="","",IF(AND(P479=6,UPPER(L479)&lt;&gt;"Y",C479&lt;&gt;""),"Yes","No"))</f>
        <v>Yes</v>
      </c>
      <c r="R479" s="5" t="s">
        <v>51</v>
      </c>
      <c r="S479" s="5"/>
      <c r="T479" s="5" t="s">
        <v>1420</v>
      </c>
      <c r="U479" s="5" t="s">
        <v>205</v>
      </c>
      <c r="V479" s="5"/>
      <c r="W479" s="5"/>
      <c r="X479" s="5"/>
      <c r="Y479" s="5" t="s">
        <v>189</v>
      </c>
    </row>
    <row r="480" spans="1:25" x14ac:dyDescent="0.25">
      <c r="A480" s="5" t="s">
        <v>1421</v>
      </c>
      <c r="B480" s="5"/>
      <c r="C480" s="5"/>
      <c r="D480" s="5"/>
      <c r="E480" s="5"/>
      <c r="F480" s="5"/>
      <c r="G480" s="5"/>
      <c r="H480" s="5" t="s">
        <v>259</v>
      </c>
      <c r="I480" s="5"/>
      <c r="J480" s="5"/>
      <c r="K480" s="5"/>
      <c r="L480" s="5"/>
      <c r="M480" s="5"/>
      <c r="N480" s="5" t="s">
        <v>66</v>
      </c>
      <c r="O480" s="5" t="s">
        <v>163</v>
      </c>
      <c r="P480" s="6">
        <f>IF(A480="","",COUNTA(D480:F480)+COUNTA(G480:G480)+COUNTA(H480:H480)+COUNTA(I480:I480))</f>
        <v>1</v>
      </c>
      <c r="Q480" s="6" t="str">
        <f>IF(A480="","",IF(AND(P480=6,UPPER(L480)&lt;&gt;"Y",C480&lt;&gt;""),"Yes","No"))</f>
        <v>No</v>
      </c>
      <c r="R480" s="5" t="s">
        <v>51</v>
      </c>
      <c r="S480" s="5"/>
      <c r="T480" s="5" t="s">
        <v>1422</v>
      </c>
      <c r="U480" s="5" t="s">
        <v>261</v>
      </c>
      <c r="V480" s="5"/>
      <c r="W480" s="5" t="s">
        <v>166</v>
      </c>
      <c r="X480" s="5"/>
      <c r="Y480" s="5"/>
    </row>
    <row r="481" spans="1:25" x14ac:dyDescent="0.25">
      <c r="A481" s="5" t="s">
        <v>1423</v>
      </c>
      <c r="B481" s="5"/>
      <c r="C481" s="5" t="s">
        <v>70</v>
      </c>
      <c r="D481" s="5"/>
      <c r="E481" s="5"/>
      <c r="F481" s="5"/>
      <c r="G481" s="5" t="s">
        <v>57</v>
      </c>
      <c r="H481" s="5"/>
      <c r="I481" s="5" t="s">
        <v>71</v>
      </c>
      <c r="J481" s="5" t="s">
        <v>91</v>
      </c>
      <c r="K481" s="5" t="s">
        <v>589</v>
      </c>
      <c r="L481" s="5"/>
      <c r="M481" s="5"/>
      <c r="N481" s="5" t="s">
        <v>124</v>
      </c>
      <c r="O481" s="5"/>
      <c r="P481" s="6">
        <f>IF(A481="","",COUNTA(D481:F481)+COUNTA(G481:G481)+COUNTA(H481:H481)+COUNTA(I481:I481))</f>
        <v>2</v>
      </c>
      <c r="Q481" s="6" t="str">
        <f>IF(A481="","",IF(AND(P481=6,UPPER(L481)&lt;&gt;"Y",C481&lt;&gt;""),"Yes","No"))</f>
        <v>No</v>
      </c>
      <c r="R481" s="5" t="s">
        <v>125</v>
      </c>
      <c r="S481" s="5"/>
      <c r="T481" s="5"/>
      <c r="U481" s="5"/>
      <c r="V481" s="5" t="s">
        <v>57</v>
      </c>
      <c r="W481" s="5"/>
      <c r="X481" s="5"/>
      <c r="Y481" s="5" t="s">
        <v>1268</v>
      </c>
    </row>
    <row r="482" spans="1:25" x14ac:dyDescent="0.25">
      <c r="A482" s="5" t="s">
        <v>1424</v>
      </c>
      <c r="B482" s="5"/>
      <c r="C482" s="5" t="s">
        <v>43</v>
      </c>
      <c r="D482" s="5"/>
      <c r="E482" s="5"/>
      <c r="F482" s="5"/>
      <c r="G482" s="5"/>
      <c r="H482" s="5"/>
      <c r="I482" s="5"/>
      <c r="J482" s="5"/>
      <c r="K482" s="5"/>
      <c r="L482" s="5"/>
      <c r="M482" s="5"/>
      <c r="N482" s="5" t="s">
        <v>66</v>
      </c>
      <c r="O482" s="5"/>
      <c r="P482" s="6">
        <f>IF(A482="","",COUNTA(D482:F482)+COUNTA(G482:G482)+COUNTA(H482:H482)+COUNTA(I482:I482))</f>
        <v>0</v>
      </c>
      <c r="Q482" s="6" t="str">
        <f>IF(A482="","",IF(AND(P482=6,UPPER(L482)&lt;&gt;"Y",C482&lt;&gt;""),"Yes","No"))</f>
        <v>No</v>
      </c>
      <c r="R482" s="5" t="s">
        <v>51</v>
      </c>
      <c r="S482" s="5"/>
      <c r="T482" s="5" t="s">
        <v>1425</v>
      </c>
      <c r="U482" s="5"/>
      <c r="V482" s="5"/>
      <c r="W482" s="5" t="s">
        <v>43</v>
      </c>
      <c r="X482" s="5"/>
      <c r="Y482" s="5"/>
    </row>
    <row r="483" spans="1:25" x14ac:dyDescent="0.25">
      <c r="A483" s="5" t="s">
        <v>1429</v>
      </c>
      <c r="B483" s="5"/>
      <c r="C483" s="5" t="s">
        <v>43</v>
      </c>
      <c r="D483" s="5" t="s">
        <v>44</v>
      </c>
      <c r="E483" s="5" t="s">
        <v>45</v>
      </c>
      <c r="F483" s="5" t="s">
        <v>46</v>
      </c>
      <c r="G483" s="5" t="s">
        <v>47</v>
      </c>
      <c r="H483" s="5" t="s">
        <v>1125</v>
      </c>
      <c r="I483" s="5" t="s">
        <v>91</v>
      </c>
      <c r="J483" s="5"/>
      <c r="K483" s="5" t="s">
        <v>1430</v>
      </c>
      <c r="L483" s="5"/>
      <c r="M483" s="5"/>
      <c r="N483" s="5" t="s">
        <v>66</v>
      </c>
      <c r="O483" s="5"/>
      <c r="P483" s="6">
        <f>IF(A483="","",COUNTA(D483:F483)+COUNTA(G483:G483)+COUNTA(H483:H483)+COUNTA(I483:I483))</f>
        <v>6</v>
      </c>
      <c r="Q483" s="6" t="str">
        <f>IF(A483="","",IF(AND(P483=6,UPPER(L483)&lt;&gt;"Y",C483&lt;&gt;""),"Yes","No"))</f>
        <v>Yes</v>
      </c>
      <c r="R483" s="5" t="s">
        <v>51</v>
      </c>
      <c r="S483" s="5" t="s">
        <v>1431</v>
      </c>
      <c r="T483" s="5" t="s">
        <v>1432</v>
      </c>
      <c r="U483" s="5" t="s">
        <v>1125</v>
      </c>
      <c r="V483" s="5" t="s">
        <v>1433</v>
      </c>
      <c r="W483" s="5" t="s">
        <v>43</v>
      </c>
      <c r="X483" s="5" t="s">
        <v>675</v>
      </c>
      <c r="Y483" s="5" t="s">
        <v>88</v>
      </c>
    </row>
    <row r="484" spans="1:25" x14ac:dyDescent="0.25">
      <c r="A484" s="5" t="s">
        <v>1434</v>
      </c>
      <c r="B484" s="5"/>
      <c r="C484" s="5" t="s">
        <v>43</v>
      </c>
      <c r="D484" s="5" t="s">
        <v>44</v>
      </c>
      <c r="E484" s="5" t="s">
        <v>45</v>
      </c>
      <c r="F484" s="5" t="s">
        <v>46</v>
      </c>
      <c r="G484" s="5" t="s">
        <v>1851</v>
      </c>
      <c r="H484" s="5" t="s">
        <v>313</v>
      </c>
      <c r="I484" s="5" t="s">
        <v>178</v>
      </c>
      <c r="J484" s="5"/>
      <c r="K484" s="5" t="s">
        <v>178</v>
      </c>
      <c r="L484" s="5"/>
      <c r="M484" s="5"/>
      <c r="N484" s="5" t="s">
        <v>66</v>
      </c>
      <c r="O484" s="5"/>
      <c r="P484" s="6">
        <f>IF(A484="","",COUNTA(D484:F484)+COUNTA(G484:G484)+COUNTA(H484:H484)+COUNTA(I484:I484))</f>
        <v>6</v>
      </c>
      <c r="Q484" s="6" t="str">
        <f>IF(A484="","",IF(AND(P484=6,UPPER(L484)&lt;&gt;"Y",C484&lt;&gt;""),"Yes","No"))</f>
        <v>Yes</v>
      </c>
      <c r="R484" s="5" t="s">
        <v>51</v>
      </c>
      <c r="S484" s="5"/>
      <c r="T484" s="5" t="s">
        <v>1435</v>
      </c>
      <c r="U484" s="5" t="s">
        <v>316</v>
      </c>
      <c r="V484" s="5"/>
      <c r="W484" s="5" t="s">
        <v>43</v>
      </c>
      <c r="X484" s="5"/>
      <c r="Y484" s="5" t="s">
        <v>242</v>
      </c>
    </row>
    <row r="485" spans="1:25" x14ac:dyDescent="0.25">
      <c r="A485" s="5" t="s">
        <v>1436</v>
      </c>
      <c r="B485" s="5" t="s">
        <v>1437</v>
      </c>
      <c r="C485" s="5" t="s">
        <v>43</v>
      </c>
      <c r="D485" s="5" t="s">
        <v>76</v>
      </c>
      <c r="E485" s="5" t="s">
        <v>45</v>
      </c>
      <c r="F485" s="5" t="s">
        <v>107</v>
      </c>
      <c r="G485" s="5" t="s">
        <v>1851</v>
      </c>
      <c r="H485" s="5" t="s">
        <v>271</v>
      </c>
      <c r="I485" s="5" t="s">
        <v>192</v>
      </c>
      <c r="J485" s="5" t="s">
        <v>49</v>
      </c>
      <c r="K485" s="5" t="s">
        <v>1438</v>
      </c>
      <c r="L485" s="5"/>
      <c r="M485" s="5"/>
      <c r="N485" s="5" t="s">
        <v>110</v>
      </c>
      <c r="O485" s="5" t="s">
        <v>1439</v>
      </c>
      <c r="P485" s="6">
        <f>IF(A485="","",COUNTA(D485:F485)+COUNTA(G485:G485)+COUNTA(H485:H485)+COUNTA(I485:I485))</f>
        <v>6</v>
      </c>
      <c r="Q485" s="6" t="str">
        <f>IF(A485="","",IF(AND(P485=6,UPPER(L485)&lt;&gt;"Y",C485&lt;&gt;""),"Yes","No"))</f>
        <v>Yes</v>
      </c>
      <c r="R485" s="5" t="s">
        <v>112</v>
      </c>
      <c r="S485" s="5" t="s">
        <v>929</v>
      </c>
      <c r="T485" s="5" t="s">
        <v>1440</v>
      </c>
      <c r="U485" s="5" t="s">
        <v>1441</v>
      </c>
      <c r="V485" s="5" t="s">
        <v>931</v>
      </c>
      <c r="W485" s="5" t="s">
        <v>43</v>
      </c>
      <c r="X485" s="5" t="s">
        <v>268</v>
      </c>
      <c r="Y485" s="5" t="s">
        <v>1442</v>
      </c>
    </row>
    <row r="486" spans="1:25" x14ac:dyDescent="0.25">
      <c r="A486" s="5" t="s">
        <v>1443</v>
      </c>
      <c r="B486" s="5"/>
      <c r="C486" s="5" t="s">
        <v>43</v>
      </c>
      <c r="D486" s="5" t="s">
        <v>44</v>
      </c>
      <c r="E486" s="5" t="s">
        <v>45</v>
      </c>
      <c r="F486" s="5" t="s">
        <v>46</v>
      </c>
      <c r="G486" s="5" t="s">
        <v>57</v>
      </c>
      <c r="H486" s="5" t="s">
        <v>58</v>
      </c>
      <c r="I486" s="5"/>
      <c r="J486" s="5"/>
      <c r="K486" s="5"/>
      <c r="L486" s="5"/>
      <c r="M486" s="5"/>
      <c r="N486" s="5" t="s">
        <v>66</v>
      </c>
      <c r="O486" s="5"/>
      <c r="P486" s="6">
        <f>IF(A486="","",COUNTA(D486:F486)+COUNTA(G486:G486)+COUNTA(H486:H486)+COUNTA(I486:I486))</f>
        <v>5</v>
      </c>
      <c r="Q486" s="6" t="str">
        <f>IF(A486="","",IF(AND(P486=6,UPPER(L486)&lt;&gt;"Y",C486&lt;&gt;""),"Yes","No"))</f>
        <v>No</v>
      </c>
      <c r="R486" s="5" t="s">
        <v>51</v>
      </c>
      <c r="S486" s="5"/>
      <c r="T486" s="5" t="s">
        <v>1444</v>
      </c>
      <c r="U486" s="5" t="s">
        <v>63</v>
      </c>
      <c r="V486" s="5" t="s">
        <v>57</v>
      </c>
      <c r="W486" s="5" t="s">
        <v>43</v>
      </c>
      <c r="X486" s="5"/>
      <c r="Y486" s="5"/>
    </row>
    <row r="487" spans="1:25" x14ac:dyDescent="0.25">
      <c r="A487" s="5" t="s">
        <v>1445</v>
      </c>
      <c r="B487" s="5"/>
      <c r="C487" s="5" t="s">
        <v>43</v>
      </c>
      <c r="D487" s="5"/>
      <c r="E487" s="5" t="s">
        <v>45</v>
      </c>
      <c r="F487" s="5" t="s">
        <v>107</v>
      </c>
      <c r="G487" s="5" t="s">
        <v>47</v>
      </c>
      <c r="H487" s="5"/>
      <c r="I487" s="5"/>
      <c r="J487" s="5"/>
      <c r="K487" s="5"/>
      <c r="L487" s="5"/>
      <c r="M487" s="5"/>
      <c r="N487" s="5" t="s">
        <v>66</v>
      </c>
      <c r="O487" s="5"/>
      <c r="P487" s="6">
        <f>IF(A487="","",COUNTA(D487:F487)+COUNTA(G487:G487)+COUNTA(H487:H487)+COUNTA(I487:I487))</f>
        <v>3</v>
      </c>
      <c r="Q487" s="6" t="str">
        <f>IF(A487="","",IF(AND(P487=6,UPPER(L487)&lt;&gt;"Y",C487&lt;&gt;""),"Yes","No"))</f>
        <v>No</v>
      </c>
      <c r="R487" s="5" t="s">
        <v>51</v>
      </c>
      <c r="S487" s="5" t="s">
        <v>1446</v>
      </c>
      <c r="T487" s="5"/>
      <c r="U487" s="5"/>
      <c r="V487" s="5" t="s">
        <v>67</v>
      </c>
      <c r="W487" s="5" t="s">
        <v>43</v>
      </c>
      <c r="X487" s="5"/>
      <c r="Y487" s="5" t="s">
        <v>392</v>
      </c>
    </row>
    <row r="488" spans="1:25" x14ac:dyDescent="0.25">
      <c r="A488" s="5" t="s">
        <v>1447</v>
      </c>
      <c r="B488" s="5"/>
      <c r="C488" s="5" t="s">
        <v>128</v>
      </c>
      <c r="D488" s="5" t="s">
        <v>44</v>
      </c>
      <c r="E488" s="5" t="s">
        <v>45</v>
      </c>
      <c r="F488" s="5" t="s">
        <v>46</v>
      </c>
      <c r="G488" s="5" t="s">
        <v>47</v>
      </c>
      <c r="H488" s="5" t="s">
        <v>1889</v>
      </c>
      <c r="I488" s="5" t="s">
        <v>123</v>
      </c>
      <c r="J488" s="5" t="s">
        <v>1890</v>
      </c>
      <c r="K488" s="5"/>
      <c r="L488" s="5"/>
      <c r="M488" s="5"/>
      <c r="N488" s="5" t="s">
        <v>66</v>
      </c>
      <c r="O488" s="5"/>
      <c r="P488" s="6">
        <f>IF(A488="","",COUNTA(D488:F488)+COUNTA(G488:G488)+COUNTA(H488:H488)+COUNTA(I488:I488))</f>
        <v>6</v>
      </c>
      <c r="Q488" s="6" t="str">
        <f>IF(A488="","",IF(AND(P488=6,UPPER(L488)&lt;&gt;"Y",C488&lt;&gt;""),"Yes","No"))</f>
        <v>Yes</v>
      </c>
      <c r="R488" s="5" t="s">
        <v>51</v>
      </c>
      <c r="S488" s="5"/>
      <c r="T488" s="5" t="s">
        <v>1891</v>
      </c>
      <c r="U488" s="5" t="s">
        <v>1889</v>
      </c>
      <c r="V488" s="5" t="s">
        <v>47</v>
      </c>
      <c r="W488" s="5" t="s">
        <v>128</v>
      </c>
      <c r="X488" s="5" t="s">
        <v>293</v>
      </c>
      <c r="Y488" s="5"/>
    </row>
    <row r="489" spans="1:25" x14ac:dyDescent="0.25">
      <c r="A489" s="5" t="s">
        <v>1448</v>
      </c>
      <c r="B489" s="5"/>
      <c r="C489" s="5"/>
      <c r="D489" s="5"/>
      <c r="E489" s="5" t="s">
        <v>45</v>
      </c>
      <c r="F489" s="5" t="s">
        <v>46</v>
      </c>
      <c r="G489" s="5"/>
      <c r="H489" s="5" t="s">
        <v>77</v>
      </c>
      <c r="I489" s="5" t="s">
        <v>91</v>
      </c>
      <c r="J489" s="5" t="s">
        <v>71</v>
      </c>
      <c r="K489" s="5" t="s">
        <v>1449</v>
      </c>
      <c r="L489" s="5"/>
      <c r="M489" s="5"/>
      <c r="N489" s="5" t="s">
        <v>66</v>
      </c>
      <c r="O489" s="5" t="s">
        <v>103</v>
      </c>
      <c r="P489" s="6">
        <f>IF(A489="","",COUNTA(D489:F489)+COUNTA(G489:G489)+COUNTA(H489:H489)+COUNTA(I489:I489))</f>
        <v>4</v>
      </c>
      <c r="Q489" s="6" t="str">
        <f>IF(A489="","",IF(AND(P489=6,UPPER(L489)&lt;&gt;"Y",C489&lt;&gt;""),"Yes","No"))</f>
        <v>No</v>
      </c>
      <c r="R489" s="5" t="s">
        <v>51</v>
      </c>
      <c r="S489" s="5" t="s">
        <v>1450</v>
      </c>
      <c r="T489" s="5" t="s">
        <v>1451</v>
      </c>
      <c r="U489" s="5" t="s">
        <v>77</v>
      </c>
      <c r="V489" s="5"/>
      <c r="W489" s="5" t="s">
        <v>105</v>
      </c>
      <c r="X489" s="5"/>
      <c r="Y489" s="5" t="s">
        <v>167</v>
      </c>
    </row>
    <row r="490" spans="1:25" x14ac:dyDescent="0.25">
      <c r="A490" s="5" t="s">
        <v>1452</v>
      </c>
      <c r="B490" s="5"/>
      <c r="C490" s="5" t="s">
        <v>43</v>
      </c>
      <c r="D490" s="5"/>
      <c r="E490" s="5" t="s">
        <v>45</v>
      </c>
      <c r="F490" s="5" t="s">
        <v>107</v>
      </c>
      <c r="G490" s="5" t="s">
        <v>47</v>
      </c>
      <c r="H490" s="5"/>
      <c r="I490" s="5"/>
      <c r="J490" s="5"/>
      <c r="K490" s="5"/>
      <c r="L490" s="5"/>
      <c r="M490" s="5"/>
      <c r="N490" s="5" t="s">
        <v>66</v>
      </c>
      <c r="O490" s="5"/>
      <c r="P490" s="6">
        <f>IF(A490="","",COUNTA(D490:F490)+COUNTA(G490:G490)+COUNTA(H490:H490)+COUNTA(I490:I490))</f>
        <v>3</v>
      </c>
      <c r="Q490" s="6" t="str">
        <f>IF(A490="","",IF(AND(P490=6,UPPER(L490)&lt;&gt;"Y",C490&lt;&gt;""),"Yes","No"))</f>
        <v>No</v>
      </c>
      <c r="R490" s="5" t="s">
        <v>51</v>
      </c>
      <c r="S490" s="5" t="s">
        <v>1453</v>
      </c>
      <c r="T490" s="5"/>
      <c r="U490" s="5"/>
      <c r="V490" s="5" t="s">
        <v>67</v>
      </c>
      <c r="W490" s="5" t="s">
        <v>43</v>
      </c>
      <c r="X490" s="5" t="s">
        <v>68</v>
      </c>
      <c r="Y490" s="5" t="s">
        <v>392</v>
      </c>
    </row>
    <row r="491" spans="1:25" x14ac:dyDescent="0.25">
      <c r="A491" s="5" t="s">
        <v>1454</v>
      </c>
      <c r="B491" s="5"/>
      <c r="C491" s="5" t="s">
        <v>70</v>
      </c>
      <c r="D491" s="5" t="s">
        <v>44</v>
      </c>
      <c r="E491" s="5"/>
      <c r="F491" s="5"/>
      <c r="G491" s="5" t="s">
        <v>47</v>
      </c>
      <c r="H491" s="5" t="s">
        <v>313</v>
      </c>
      <c r="I491" s="5" t="s">
        <v>123</v>
      </c>
      <c r="J491" s="5" t="s">
        <v>91</v>
      </c>
      <c r="K491" s="5" t="s">
        <v>1455</v>
      </c>
      <c r="L491" s="5"/>
      <c r="M491" s="5"/>
      <c r="N491" s="5" t="s">
        <v>124</v>
      </c>
      <c r="O491" s="5"/>
      <c r="P491" s="6">
        <f>IF(A491="","",COUNTA(D491:F491)+COUNTA(G491:G491)+COUNTA(H491:H491)+COUNTA(I491:I491))</f>
        <v>4</v>
      </c>
      <c r="Q491" s="6" t="str">
        <f>IF(A491="","",IF(AND(P491=6,UPPER(L491)&lt;&gt;"Y",C491&lt;&gt;""),"Yes","No"))</f>
        <v>No</v>
      </c>
      <c r="R491" s="5" t="s">
        <v>125</v>
      </c>
      <c r="S491" s="5" t="s">
        <v>138</v>
      </c>
      <c r="T491" s="5"/>
      <c r="U491" s="5" t="s">
        <v>313</v>
      </c>
      <c r="V491" s="5" t="s">
        <v>47</v>
      </c>
      <c r="W491" s="5"/>
      <c r="X491" s="5"/>
      <c r="Y491" s="5" t="s">
        <v>285</v>
      </c>
    </row>
    <row r="492" spans="1:25" x14ac:dyDescent="0.25">
      <c r="A492" s="5" t="s">
        <v>1456</v>
      </c>
      <c r="B492" s="5"/>
      <c r="C492" s="5"/>
      <c r="D492" s="5"/>
      <c r="E492" s="5" t="s">
        <v>45</v>
      </c>
      <c r="F492" s="5" t="s">
        <v>107</v>
      </c>
      <c r="G492" s="5"/>
      <c r="H492" s="5" t="s">
        <v>77</v>
      </c>
      <c r="I492" s="5" t="s">
        <v>119</v>
      </c>
      <c r="J492" s="5" t="s">
        <v>72</v>
      </c>
      <c r="K492" s="5" t="s">
        <v>1457</v>
      </c>
      <c r="L492" s="5"/>
      <c r="M492" s="5"/>
      <c r="N492" s="5" t="s">
        <v>66</v>
      </c>
      <c r="O492" s="5" t="s">
        <v>103</v>
      </c>
      <c r="P492" s="6">
        <f>IF(A492="","",COUNTA(D492:F492)+COUNTA(G492:G492)+COUNTA(H492:H492)+COUNTA(I492:I492))</f>
        <v>4</v>
      </c>
      <c r="Q492" s="6" t="str">
        <f>IF(A492="","",IF(AND(P492=6,UPPER(L492)&lt;&gt;"Y",C492&lt;&gt;""),"Yes","No"))</f>
        <v>No</v>
      </c>
      <c r="R492" s="5" t="s">
        <v>51</v>
      </c>
      <c r="S492" s="5" t="s">
        <v>1458</v>
      </c>
      <c r="T492" s="5" t="s">
        <v>1459</v>
      </c>
      <c r="U492" s="5" t="s">
        <v>77</v>
      </c>
      <c r="V492" s="5"/>
      <c r="W492" s="5" t="s">
        <v>105</v>
      </c>
      <c r="X492" s="5"/>
      <c r="Y492" s="5" t="s">
        <v>203</v>
      </c>
    </row>
    <row r="493" spans="1:25" x14ac:dyDescent="0.25">
      <c r="A493" s="5" t="s">
        <v>1460</v>
      </c>
      <c r="B493" s="5"/>
      <c r="C493" s="5" t="s">
        <v>128</v>
      </c>
      <c r="D493" s="5"/>
      <c r="E493" s="5"/>
      <c r="F493" s="5"/>
      <c r="G493" s="5" t="s">
        <v>57</v>
      </c>
      <c r="H493" s="5"/>
      <c r="I493" s="5"/>
      <c r="J493" s="5"/>
      <c r="K493" s="5"/>
      <c r="L493" s="5"/>
      <c r="M493" s="5"/>
      <c r="N493" s="5" t="s">
        <v>66</v>
      </c>
      <c r="O493" s="5"/>
      <c r="P493" s="6">
        <f>IF(A493="","",COUNTA(D493:F493)+COUNTA(G493:G493)+COUNTA(H493:H493)+COUNTA(I493:I493))</f>
        <v>1</v>
      </c>
      <c r="Q493" s="6" t="str">
        <f>IF(A493="","",IF(AND(P493=6,UPPER(L493)&lt;&gt;"Y",C493&lt;&gt;""),"Yes","No"))</f>
        <v>No</v>
      </c>
      <c r="R493" s="5" t="s">
        <v>51</v>
      </c>
      <c r="S493" s="5"/>
      <c r="T493" s="5"/>
      <c r="U493" s="5"/>
      <c r="V493" s="5" t="s">
        <v>57</v>
      </c>
      <c r="W493" s="5" t="s">
        <v>128</v>
      </c>
      <c r="X493" s="5" t="s">
        <v>1461</v>
      </c>
      <c r="Y493" s="5"/>
    </row>
    <row r="494" spans="1:25" x14ac:dyDescent="0.25">
      <c r="A494" s="5" t="s">
        <v>1462</v>
      </c>
      <c r="B494" s="5"/>
      <c r="C494" s="5" t="s">
        <v>70</v>
      </c>
      <c r="D494" s="5" t="s">
        <v>44</v>
      </c>
      <c r="E494" s="5"/>
      <c r="F494" s="5"/>
      <c r="G494" s="5" t="s">
        <v>57</v>
      </c>
      <c r="H494" s="5" t="s">
        <v>313</v>
      </c>
      <c r="I494" s="5" t="s">
        <v>72</v>
      </c>
      <c r="J494" s="5" t="s">
        <v>1463</v>
      </c>
      <c r="K494" s="5" t="s">
        <v>1464</v>
      </c>
      <c r="L494" s="5"/>
      <c r="M494" s="5"/>
      <c r="N494" s="5" t="s">
        <v>124</v>
      </c>
      <c r="O494" s="5"/>
      <c r="P494" s="6">
        <f>IF(A494="","",COUNTA(D494:F494)+COUNTA(G494:G494)+COUNTA(H494:H494)+COUNTA(I494:I494))</f>
        <v>4</v>
      </c>
      <c r="Q494" s="6" t="str">
        <f>IF(A494="","",IF(AND(P494=6,UPPER(L494)&lt;&gt;"Y",C494&lt;&gt;""),"Yes","No"))</f>
        <v>No</v>
      </c>
      <c r="R494" s="5" t="s">
        <v>125</v>
      </c>
      <c r="S494" s="5" t="s">
        <v>138</v>
      </c>
      <c r="T494" s="5"/>
      <c r="U494" s="5" t="s">
        <v>313</v>
      </c>
      <c r="V494" s="5" t="s">
        <v>57</v>
      </c>
      <c r="W494" s="5"/>
      <c r="X494" s="5"/>
      <c r="Y494" s="5" t="s">
        <v>285</v>
      </c>
    </row>
    <row r="495" spans="1:25" x14ac:dyDescent="0.25">
      <c r="A495" s="5" t="s">
        <v>1465</v>
      </c>
      <c r="B495" s="5"/>
      <c r="C495" s="5"/>
      <c r="D495" s="5"/>
      <c r="E495" s="5" t="s">
        <v>45</v>
      </c>
      <c r="F495" s="5" t="s">
        <v>107</v>
      </c>
      <c r="G495" s="5"/>
      <c r="H495" s="5" t="s">
        <v>90</v>
      </c>
      <c r="I495" s="5"/>
      <c r="J495" s="5"/>
      <c r="K495" s="5"/>
      <c r="L495" s="5"/>
      <c r="M495" s="5"/>
      <c r="N495" s="5" t="s">
        <v>66</v>
      </c>
      <c r="O495" s="5" t="s">
        <v>103</v>
      </c>
      <c r="P495" s="6">
        <f>IF(A495="","",COUNTA(D495:F495)+COUNTA(G495:G495)+COUNTA(H495:H495)+COUNTA(I495:I495))</f>
        <v>3</v>
      </c>
      <c r="Q495" s="6" t="str">
        <f>IF(A495="","",IF(AND(P495=6,UPPER(L495)&lt;&gt;"Y",C495&lt;&gt;""),"Yes","No"))</f>
        <v>No</v>
      </c>
      <c r="R495" s="5" t="s">
        <v>51</v>
      </c>
      <c r="S495" s="5" t="s">
        <v>1466</v>
      </c>
      <c r="T495" s="5" t="s">
        <v>1467</v>
      </c>
      <c r="U495" s="5" t="s">
        <v>90</v>
      </c>
      <c r="V495" s="5"/>
      <c r="W495" s="5" t="s">
        <v>105</v>
      </c>
      <c r="X495" s="5"/>
      <c r="Y495" s="5" t="s">
        <v>1468</v>
      </c>
    </row>
    <row r="496" spans="1:25" x14ac:dyDescent="0.25">
      <c r="A496" s="5" t="s">
        <v>1469</v>
      </c>
      <c r="B496" s="5"/>
      <c r="C496" s="5" t="s">
        <v>128</v>
      </c>
      <c r="D496" s="5"/>
      <c r="E496" s="5"/>
      <c r="F496" s="5"/>
      <c r="G496" s="5" t="s">
        <v>57</v>
      </c>
      <c r="H496" s="5" t="s">
        <v>563</v>
      </c>
      <c r="I496" s="5"/>
      <c r="J496" s="5"/>
      <c r="K496" s="5"/>
      <c r="L496" s="5"/>
      <c r="M496" s="5"/>
      <c r="N496" s="5" t="s">
        <v>66</v>
      </c>
      <c r="O496" s="5"/>
      <c r="P496" s="6">
        <f>IF(A496="","",COUNTA(D496:F496)+COUNTA(G496:G496)+COUNTA(H496:H496)+COUNTA(I496:I496))</f>
        <v>2</v>
      </c>
      <c r="Q496" s="6" t="str">
        <f>IF(A496="","",IF(AND(P496=6,UPPER(L496)&lt;&gt;"Y",C496&lt;&gt;""),"Yes","No"))</f>
        <v>No</v>
      </c>
      <c r="R496" s="5" t="s">
        <v>51</v>
      </c>
      <c r="S496" s="5"/>
      <c r="T496" s="5"/>
      <c r="U496" s="5" t="s">
        <v>563</v>
      </c>
      <c r="V496" s="5" t="s">
        <v>57</v>
      </c>
      <c r="W496" s="5" t="s">
        <v>128</v>
      </c>
      <c r="X496" s="5" t="s">
        <v>130</v>
      </c>
      <c r="Y496" s="5"/>
    </row>
    <row r="497" spans="1:25" x14ac:dyDescent="0.25">
      <c r="A497" s="5" t="s">
        <v>1470</v>
      </c>
      <c r="B497" s="5"/>
      <c r="C497" s="5" t="s">
        <v>70</v>
      </c>
      <c r="D497" s="5" t="s">
        <v>76</v>
      </c>
      <c r="E497" s="5"/>
      <c r="F497" s="5"/>
      <c r="G497" s="5"/>
      <c r="H497" s="5" t="s">
        <v>77</v>
      </c>
      <c r="I497" s="5"/>
      <c r="J497" s="5"/>
      <c r="K497" s="5"/>
      <c r="L497" s="5"/>
      <c r="M497" s="5"/>
      <c r="N497" s="5" t="s">
        <v>50</v>
      </c>
      <c r="O497" s="5"/>
      <c r="P497" s="6">
        <f>IF(A497="","",COUNTA(D497:F497)+COUNTA(G497:G497)+COUNTA(H497:H497)+COUNTA(I497:I497))</f>
        <v>2</v>
      </c>
      <c r="Q497" s="6" t="str">
        <f>IF(A497="","",IF(AND(P497=6,UPPER(L497)&lt;&gt;"Y",C497&lt;&gt;""),"Yes","No"))</f>
        <v>No</v>
      </c>
      <c r="R497" s="5" t="s">
        <v>51</v>
      </c>
      <c r="S497" s="5"/>
      <c r="T497" s="5"/>
      <c r="U497" s="5" t="s">
        <v>77</v>
      </c>
      <c r="V497" s="5"/>
      <c r="W497" s="5"/>
      <c r="X497" s="5"/>
      <c r="Y497" s="5" t="s">
        <v>189</v>
      </c>
    </row>
    <row r="498" spans="1:25" x14ac:dyDescent="0.25">
      <c r="A498" s="5" t="s">
        <v>1471</v>
      </c>
      <c r="B498" s="5"/>
      <c r="C498" s="5" t="s">
        <v>43</v>
      </c>
      <c r="D498" s="5" t="s">
        <v>44</v>
      </c>
      <c r="E498" s="5" t="s">
        <v>45</v>
      </c>
      <c r="F498" s="5" t="s">
        <v>107</v>
      </c>
      <c r="G498" s="5" t="s">
        <v>57</v>
      </c>
      <c r="H498" s="5" t="s">
        <v>662</v>
      </c>
      <c r="I498" s="5" t="s">
        <v>119</v>
      </c>
      <c r="J498" s="5"/>
      <c r="K498" s="5" t="s">
        <v>119</v>
      </c>
      <c r="L498" s="5"/>
      <c r="M498" s="5"/>
      <c r="N498" s="5" t="s">
        <v>50</v>
      </c>
      <c r="O498" s="5"/>
      <c r="P498" s="6">
        <f>IF(A498="","",COUNTA(D498:F498)+COUNTA(G498:G498)+COUNTA(H498:H498)+COUNTA(I498:I498))</f>
        <v>6</v>
      </c>
      <c r="Q498" s="6" t="str">
        <f>IF(A498="","",IF(AND(P498=6,UPPER(L498)&lt;&gt;"Y",C498&lt;&gt;""),"Yes","No"))</f>
        <v>Yes</v>
      </c>
      <c r="R498" s="5" t="s">
        <v>51</v>
      </c>
      <c r="S498" s="5" t="s">
        <v>1472</v>
      </c>
      <c r="T498" s="5" t="s">
        <v>1473</v>
      </c>
      <c r="U498" s="5" t="s">
        <v>662</v>
      </c>
      <c r="V498" s="5"/>
      <c r="W498" s="5" t="s">
        <v>43</v>
      </c>
      <c r="X498" s="5" t="s">
        <v>450</v>
      </c>
      <c r="Y498" s="5" t="s">
        <v>347</v>
      </c>
    </row>
    <row r="499" spans="1:25" x14ac:dyDescent="0.25">
      <c r="A499" s="5" t="s">
        <v>1474</v>
      </c>
      <c r="B499" s="5"/>
      <c r="C499" s="5"/>
      <c r="D499" s="5"/>
      <c r="E499" s="5"/>
      <c r="F499" s="5"/>
      <c r="G499" s="5"/>
      <c r="H499" s="5" t="s">
        <v>377</v>
      </c>
      <c r="I499" s="5" t="s">
        <v>91</v>
      </c>
      <c r="J499" s="5" t="s">
        <v>1475</v>
      </c>
      <c r="K499" s="5" t="s">
        <v>1476</v>
      </c>
      <c r="L499" s="5"/>
      <c r="M499" s="5"/>
      <c r="N499" s="5" t="s">
        <v>66</v>
      </c>
      <c r="O499" s="5" t="s">
        <v>103</v>
      </c>
      <c r="P499" s="6">
        <f>IF(A499="","",COUNTA(D499:F499)+COUNTA(G499:G499)+COUNTA(H499:H499)+COUNTA(I499:I499))</f>
        <v>2</v>
      </c>
      <c r="Q499" s="6" t="str">
        <f>IF(A499="","",IF(AND(P499=6,UPPER(L499)&lt;&gt;"Y",C499&lt;&gt;""),"Yes","No"))</f>
        <v>No</v>
      </c>
      <c r="R499" s="5" t="s">
        <v>51</v>
      </c>
      <c r="S499" s="5"/>
      <c r="T499" s="5" t="s">
        <v>1477</v>
      </c>
      <c r="U499" s="5" t="s">
        <v>377</v>
      </c>
      <c r="V499" s="5"/>
      <c r="W499" s="5" t="s">
        <v>105</v>
      </c>
      <c r="X499" s="5"/>
      <c r="Y499" s="5"/>
    </row>
    <row r="500" spans="1:25" x14ac:dyDescent="0.25">
      <c r="A500" s="5" t="s">
        <v>1478</v>
      </c>
      <c r="B500" s="5"/>
      <c r="C500" s="5" t="s">
        <v>43</v>
      </c>
      <c r="D500" s="5" t="s">
        <v>44</v>
      </c>
      <c r="E500" s="5" t="s">
        <v>45</v>
      </c>
      <c r="F500" s="5" t="s">
        <v>46</v>
      </c>
      <c r="G500" s="5" t="s">
        <v>1851</v>
      </c>
      <c r="H500" s="5" t="s">
        <v>132</v>
      </c>
      <c r="I500" s="5" t="s">
        <v>192</v>
      </c>
      <c r="J500" s="5"/>
      <c r="K500" s="5" t="s">
        <v>192</v>
      </c>
      <c r="L500" s="5"/>
      <c r="M500" s="5"/>
      <c r="N500" s="5" t="s">
        <v>50</v>
      </c>
      <c r="O500" s="5"/>
      <c r="P500" s="6">
        <f>IF(A500="","",COUNTA(D500:F500)+COUNTA(G500:G500)+COUNTA(H500:H500)+COUNTA(I500:I500))</f>
        <v>6</v>
      </c>
      <c r="Q500" s="6" t="str">
        <f>IF(A500="","",IF(AND(P500=6,UPPER(L500)&lt;&gt;"Y",C500&lt;&gt;""),"Yes","No"))</f>
        <v>Yes</v>
      </c>
      <c r="R500" s="5" t="s">
        <v>51</v>
      </c>
      <c r="S500" s="5"/>
      <c r="T500" s="5" t="s">
        <v>1479</v>
      </c>
      <c r="U500" s="5" t="s">
        <v>132</v>
      </c>
      <c r="V500" s="5"/>
      <c r="W500" s="5" t="s">
        <v>43</v>
      </c>
      <c r="X500" s="5"/>
      <c r="Y500" s="5" t="s">
        <v>352</v>
      </c>
    </row>
    <row r="501" spans="1:25" x14ac:dyDescent="0.25">
      <c r="A501" s="5" t="s">
        <v>1480</v>
      </c>
      <c r="B501" s="5"/>
      <c r="C501" s="5" t="s">
        <v>128</v>
      </c>
      <c r="D501" s="5"/>
      <c r="E501" s="5"/>
      <c r="F501" s="5"/>
      <c r="G501" s="5" t="s">
        <v>57</v>
      </c>
      <c r="H501" s="5" t="s">
        <v>1409</v>
      </c>
      <c r="I501" s="5"/>
      <c r="J501" s="5"/>
      <c r="K501" s="5"/>
      <c r="L501" s="5"/>
      <c r="M501" s="5"/>
      <c r="N501" s="5" t="s">
        <v>66</v>
      </c>
      <c r="O501" s="5"/>
      <c r="P501" s="6">
        <f>IF(A501="","",COUNTA(D501:F501)+COUNTA(G501:G501)+COUNTA(H501:H501)+COUNTA(I501:I501))</f>
        <v>2</v>
      </c>
      <c r="Q501" s="6" t="str">
        <f>IF(A501="","",IF(AND(P501=6,UPPER(L501)&lt;&gt;"Y",C501&lt;&gt;""),"Yes","No"))</f>
        <v>No</v>
      </c>
      <c r="R501" s="5" t="s">
        <v>51</v>
      </c>
      <c r="S501" s="5"/>
      <c r="T501" s="5"/>
      <c r="U501" s="5" t="s">
        <v>1409</v>
      </c>
      <c r="V501" s="5" t="s">
        <v>57</v>
      </c>
      <c r="W501" s="5" t="s">
        <v>128</v>
      </c>
      <c r="X501" s="5" t="s">
        <v>1410</v>
      </c>
      <c r="Y501" s="5"/>
    </row>
    <row r="502" spans="1:25" x14ac:dyDescent="0.25">
      <c r="A502" s="5" t="s">
        <v>1481</v>
      </c>
      <c r="B502" s="5"/>
      <c r="C502" s="5" t="s">
        <v>43</v>
      </c>
      <c r="D502" s="5" t="s">
        <v>44</v>
      </c>
      <c r="E502" s="5"/>
      <c r="F502" s="5"/>
      <c r="G502" s="5" t="s">
        <v>57</v>
      </c>
      <c r="H502" s="5" t="s">
        <v>437</v>
      </c>
      <c r="I502" s="5"/>
      <c r="J502" s="5"/>
      <c r="K502" s="5"/>
      <c r="L502" s="5"/>
      <c r="M502" s="5"/>
      <c r="N502" s="5" t="s">
        <v>50</v>
      </c>
      <c r="O502" s="5"/>
      <c r="P502" s="6">
        <f>IF(A502="","",COUNTA(D502:F502)+COUNTA(G502:G502)+COUNTA(H502:H502)+COUNTA(I502:I502))</f>
        <v>3</v>
      </c>
      <c r="Q502" s="6" t="str">
        <f>IF(A502="","",IF(AND(P502=6,UPPER(L502)&lt;&gt;"Y",C502&lt;&gt;""),"Yes","No"))</f>
        <v>No</v>
      </c>
      <c r="R502" s="5" t="s">
        <v>51</v>
      </c>
      <c r="S502" s="5"/>
      <c r="T502" s="5" t="s">
        <v>1482</v>
      </c>
      <c r="U502" s="5" t="s">
        <v>437</v>
      </c>
      <c r="V502" s="5"/>
      <c r="W502" s="5" t="s">
        <v>43</v>
      </c>
      <c r="X502" s="5"/>
      <c r="Y502" s="5" t="s">
        <v>64</v>
      </c>
    </row>
    <row r="503" spans="1:25" x14ac:dyDescent="0.25">
      <c r="A503" s="5" t="s">
        <v>1483</v>
      </c>
      <c r="B503" s="5"/>
      <c r="C503" s="5" t="s">
        <v>70</v>
      </c>
      <c r="D503" s="5" t="s">
        <v>76</v>
      </c>
      <c r="E503" s="5"/>
      <c r="F503" s="5"/>
      <c r="G503" s="5"/>
      <c r="H503" s="5" t="s">
        <v>77</v>
      </c>
      <c r="I503" s="5" t="s">
        <v>49</v>
      </c>
      <c r="J503" s="5"/>
      <c r="K503" s="5" t="s">
        <v>49</v>
      </c>
      <c r="L503" s="5"/>
      <c r="M503" s="5"/>
      <c r="N503" s="5" t="s">
        <v>50</v>
      </c>
      <c r="O503" s="5" t="s">
        <v>225</v>
      </c>
      <c r="P503" s="6">
        <f>IF(A503="","",COUNTA(D503:F503)+COUNTA(G503:G503)+COUNTA(H503:H503)+COUNTA(I503:I503))</f>
        <v>3</v>
      </c>
      <c r="Q503" s="6" t="str">
        <f>IF(A503="","",IF(AND(P503=6,UPPER(L503)&lt;&gt;"Y",C503&lt;&gt;""),"Yes","No"))</f>
        <v>No</v>
      </c>
      <c r="R503" s="5" t="s">
        <v>51</v>
      </c>
      <c r="S503" s="5"/>
      <c r="T503" s="5" t="s">
        <v>1484</v>
      </c>
      <c r="U503" s="5" t="s">
        <v>115</v>
      </c>
      <c r="V503" s="5"/>
      <c r="W503" s="5"/>
      <c r="X503" s="5"/>
      <c r="Y503" s="5" t="s">
        <v>327</v>
      </c>
    </row>
    <row r="504" spans="1:25" x14ac:dyDescent="0.25">
      <c r="A504" s="5" t="s">
        <v>1485</v>
      </c>
      <c r="B504" s="5"/>
      <c r="C504" s="5" t="s">
        <v>43</v>
      </c>
      <c r="D504" s="5" t="s">
        <v>44</v>
      </c>
      <c r="E504" s="5" t="s">
        <v>45</v>
      </c>
      <c r="F504" s="5" t="s">
        <v>107</v>
      </c>
      <c r="G504" s="5" t="s">
        <v>47</v>
      </c>
      <c r="H504" s="5" t="s">
        <v>1125</v>
      </c>
      <c r="I504" s="5" t="s">
        <v>123</v>
      </c>
      <c r="J504" s="5" t="s">
        <v>71</v>
      </c>
      <c r="K504" s="5" t="s">
        <v>1486</v>
      </c>
      <c r="L504" s="5"/>
      <c r="M504" s="5"/>
      <c r="N504" s="5" t="s">
        <v>50</v>
      </c>
      <c r="O504" s="5"/>
      <c r="P504" s="6">
        <f>IF(A504="","",COUNTA(D504:F504)+COUNTA(G504:G504)+COUNTA(H504:H504)+COUNTA(I504:I504))</f>
        <v>6</v>
      </c>
      <c r="Q504" s="6" t="str">
        <f>IF(A504="","",IF(AND(P504=6,UPPER(L504)&lt;&gt;"Y",C504&lt;&gt;""),"Yes","No"))</f>
        <v>Yes</v>
      </c>
      <c r="R504" s="5" t="s">
        <v>51</v>
      </c>
      <c r="S504" s="5" t="s">
        <v>1487</v>
      </c>
      <c r="T504" s="5" t="s">
        <v>1488</v>
      </c>
      <c r="U504" s="5" t="s">
        <v>1125</v>
      </c>
      <c r="V504" s="5"/>
      <c r="W504" s="5" t="s">
        <v>43</v>
      </c>
      <c r="X504" s="5" t="s">
        <v>87</v>
      </c>
      <c r="Y504" s="5" t="s">
        <v>101</v>
      </c>
    </row>
    <row r="505" spans="1:25" x14ac:dyDescent="0.25">
      <c r="A505" s="5" t="s">
        <v>1489</v>
      </c>
      <c r="B505" s="5"/>
      <c r="C505" s="5" t="s">
        <v>128</v>
      </c>
      <c r="D505" s="5"/>
      <c r="E505" s="5"/>
      <c r="F505" s="5"/>
      <c r="G505" s="5"/>
      <c r="H505" s="5"/>
      <c r="I505" s="5" t="s">
        <v>49</v>
      </c>
      <c r="J505" s="5"/>
      <c r="K505" s="5" t="s">
        <v>49</v>
      </c>
      <c r="L505" s="5"/>
      <c r="M505" s="5"/>
      <c r="N505" s="5" t="s">
        <v>66</v>
      </c>
      <c r="O505" s="5"/>
      <c r="P505" s="6">
        <f>IF(A505="","",COUNTA(D505:F505)+COUNTA(G505:G505)+COUNTA(H505:H505)+COUNTA(I505:I505))</f>
        <v>1</v>
      </c>
      <c r="Q505" s="6" t="str">
        <f>IF(A505="","",IF(AND(P505=6,UPPER(L505)&lt;&gt;"Y",C505&lt;&gt;""),"Yes","No"))</f>
        <v>No</v>
      </c>
      <c r="R505" s="5" t="s">
        <v>51</v>
      </c>
      <c r="S505" s="5"/>
      <c r="T505" s="5" t="s">
        <v>1490</v>
      </c>
      <c r="U505" s="5"/>
      <c r="V505" s="5"/>
      <c r="W505" s="5" t="s">
        <v>319</v>
      </c>
      <c r="X505" s="5" t="s">
        <v>543</v>
      </c>
      <c r="Y505" s="5"/>
    </row>
    <row r="506" spans="1:25" x14ac:dyDescent="0.25">
      <c r="A506" s="5" t="s">
        <v>1491</v>
      </c>
      <c r="B506" s="5"/>
      <c r="C506" s="5" t="s">
        <v>70</v>
      </c>
      <c r="D506" s="5" t="s">
        <v>44</v>
      </c>
      <c r="E506" s="5"/>
      <c r="F506" s="5"/>
      <c r="G506" s="5"/>
      <c r="H506" s="5" t="s">
        <v>1125</v>
      </c>
      <c r="I506" s="5"/>
      <c r="J506" s="5"/>
      <c r="K506" s="5"/>
      <c r="L506" s="5"/>
      <c r="M506" s="5"/>
      <c r="N506" s="5" t="s">
        <v>50</v>
      </c>
      <c r="O506" s="5"/>
      <c r="P506" s="6">
        <f>IF(A506="","",COUNTA(D506:F506)+COUNTA(G506:G506)+COUNTA(H506:H506)+COUNTA(I506:I506))</f>
        <v>2</v>
      </c>
      <c r="Q506" s="6" t="str">
        <f>IF(A506="","",IF(AND(P506=6,UPPER(L506)&lt;&gt;"Y",C506&lt;&gt;""),"Yes","No"))</f>
        <v>No</v>
      </c>
      <c r="R506" s="5" t="s">
        <v>51</v>
      </c>
      <c r="S506" s="5"/>
      <c r="T506" s="5"/>
      <c r="U506" s="5" t="s">
        <v>1125</v>
      </c>
      <c r="V506" s="5"/>
      <c r="W506" s="5"/>
      <c r="X506" s="5" t="s">
        <v>87</v>
      </c>
      <c r="Y506" s="5" t="s">
        <v>189</v>
      </c>
    </row>
    <row r="507" spans="1:25" x14ac:dyDescent="0.25">
      <c r="A507" s="5" t="s">
        <v>1492</v>
      </c>
      <c r="B507" s="5" t="s">
        <v>1493</v>
      </c>
      <c r="C507" s="5" t="s">
        <v>43</v>
      </c>
      <c r="D507" s="5" t="s">
        <v>44</v>
      </c>
      <c r="E507" s="5"/>
      <c r="F507" s="5" t="s">
        <v>107</v>
      </c>
      <c r="G507" s="5"/>
      <c r="H507" s="5" t="s">
        <v>645</v>
      </c>
      <c r="I507" s="5" t="s">
        <v>192</v>
      </c>
      <c r="J507" s="5"/>
      <c r="K507" s="5" t="s">
        <v>192</v>
      </c>
      <c r="L507" s="5"/>
      <c r="M507" s="5"/>
      <c r="N507" s="5" t="s">
        <v>50</v>
      </c>
      <c r="O507" s="5"/>
      <c r="P507" s="6">
        <f>IF(A507="","",COUNTA(D507:F507)+COUNTA(G507:G507)+COUNTA(H507:H507)+COUNTA(I507:I507))</f>
        <v>4</v>
      </c>
      <c r="Q507" s="6" t="str">
        <f>IF(A507="","",IF(AND(P507=6,UPPER(L507)&lt;&gt;"Y",C507&lt;&gt;""),"Yes","No"))</f>
        <v>No</v>
      </c>
      <c r="R507" s="5" t="s">
        <v>51</v>
      </c>
      <c r="S507" s="5"/>
      <c r="T507" s="5" t="s">
        <v>1494</v>
      </c>
      <c r="U507" s="5" t="s">
        <v>645</v>
      </c>
      <c r="V507" s="5"/>
      <c r="W507" s="5" t="s">
        <v>43</v>
      </c>
      <c r="X507" s="5"/>
      <c r="Y507" s="5" t="s">
        <v>591</v>
      </c>
    </row>
    <row r="508" spans="1:25" x14ac:dyDescent="0.25">
      <c r="A508" s="5" t="s">
        <v>1495</v>
      </c>
      <c r="B508" s="5"/>
      <c r="C508" s="5" t="s">
        <v>70</v>
      </c>
      <c r="D508" s="5" t="s">
        <v>76</v>
      </c>
      <c r="E508" s="5"/>
      <c r="F508" s="5"/>
      <c r="G508" s="5" t="s">
        <v>47</v>
      </c>
      <c r="H508" s="5" t="s">
        <v>77</v>
      </c>
      <c r="I508" s="5"/>
      <c r="J508" s="5"/>
      <c r="K508" s="5"/>
      <c r="L508" s="5"/>
      <c r="M508" s="5"/>
      <c r="N508" s="5" t="s">
        <v>50</v>
      </c>
      <c r="O508" s="5"/>
      <c r="P508" s="6">
        <f>IF(A508="","",COUNTA(D508:F508)+COUNTA(G508:G508)+COUNTA(H508:H508)+COUNTA(I508:I508))</f>
        <v>3</v>
      </c>
      <c r="Q508" s="6" t="str">
        <f>IF(A508="","",IF(AND(P508=6,UPPER(L508)&lt;&gt;"Y",C508&lt;&gt;""),"Yes","No"))</f>
        <v>No</v>
      </c>
      <c r="R508" s="5" t="s">
        <v>51</v>
      </c>
      <c r="S508" s="5"/>
      <c r="T508" s="5"/>
      <c r="U508" s="5" t="s">
        <v>77</v>
      </c>
      <c r="V508" s="5"/>
      <c r="W508" s="5"/>
      <c r="X508" s="5"/>
      <c r="Y508" s="5" t="s">
        <v>886</v>
      </c>
    </row>
    <row r="509" spans="1:25" x14ac:dyDescent="0.25">
      <c r="A509" s="5" t="s">
        <v>1496</v>
      </c>
      <c r="B509" s="5"/>
      <c r="C509" s="5" t="s">
        <v>70</v>
      </c>
      <c r="D509" s="5" t="s">
        <v>44</v>
      </c>
      <c r="E509" s="5"/>
      <c r="F509" s="5"/>
      <c r="G509" s="5"/>
      <c r="H509" s="5" t="s">
        <v>191</v>
      </c>
      <c r="I509" s="5" t="s">
        <v>119</v>
      </c>
      <c r="J509" s="5" t="s">
        <v>91</v>
      </c>
      <c r="K509" s="5" t="s">
        <v>1497</v>
      </c>
      <c r="L509" s="5"/>
      <c r="M509" s="5"/>
      <c r="N509" s="5" t="s">
        <v>124</v>
      </c>
      <c r="O509" s="5"/>
      <c r="P509" s="6">
        <f>IF(A509="","",COUNTA(D509:F509)+COUNTA(G509:G509)+COUNTA(H509:H509)+COUNTA(I509:I509))</f>
        <v>3</v>
      </c>
      <c r="Q509" s="6" t="str">
        <f>IF(A509="","",IF(AND(P509=6,UPPER(L509)&lt;&gt;"Y",C509&lt;&gt;""),"Yes","No"))</f>
        <v>No</v>
      </c>
      <c r="R509" s="5" t="s">
        <v>125</v>
      </c>
      <c r="S509" s="5"/>
      <c r="T509" s="5"/>
      <c r="U509" s="5" t="s">
        <v>191</v>
      </c>
      <c r="V509" s="5"/>
      <c r="W509" s="5"/>
      <c r="X509" s="5"/>
      <c r="Y509" s="5" t="s">
        <v>155</v>
      </c>
    </row>
    <row r="510" spans="1:25" x14ac:dyDescent="0.25">
      <c r="A510" s="5" t="s">
        <v>1498</v>
      </c>
      <c r="B510" s="5"/>
      <c r="C510" s="5" t="s">
        <v>128</v>
      </c>
      <c r="D510" s="5"/>
      <c r="E510" s="5"/>
      <c r="F510" s="5"/>
      <c r="G510" s="5"/>
      <c r="H510" s="5" t="s">
        <v>318</v>
      </c>
      <c r="I510" s="5"/>
      <c r="J510" s="5"/>
      <c r="K510" s="5"/>
      <c r="L510" s="5"/>
      <c r="M510" s="5"/>
      <c r="N510" s="5" t="s">
        <v>66</v>
      </c>
      <c r="O510" s="5"/>
      <c r="P510" s="6">
        <f>IF(A510="","",COUNTA(D510:F510)+COUNTA(G510:G510)+COUNTA(H510:H510)+COUNTA(I510:I510))</f>
        <v>1</v>
      </c>
      <c r="Q510" s="6" t="str">
        <f>IF(A510="","",IF(AND(P510=6,UPPER(L510)&lt;&gt;"Y",C510&lt;&gt;""),"Yes","No"))</f>
        <v>No</v>
      </c>
      <c r="R510" s="5" t="s">
        <v>51</v>
      </c>
      <c r="S510" s="5"/>
      <c r="T510" s="5"/>
      <c r="U510" s="5" t="s">
        <v>318</v>
      </c>
      <c r="V510" s="5"/>
      <c r="W510" s="5" t="s">
        <v>319</v>
      </c>
      <c r="X510" s="5" t="s">
        <v>320</v>
      </c>
      <c r="Y510" s="5"/>
    </row>
    <row r="511" spans="1:25" x14ac:dyDescent="0.25">
      <c r="A511" s="5" t="s">
        <v>1499</v>
      </c>
      <c r="B511" s="5"/>
      <c r="C511" s="5" t="s">
        <v>43</v>
      </c>
      <c r="D511" s="5"/>
      <c r="E511" s="5"/>
      <c r="F511" s="5"/>
      <c r="G511" s="5"/>
      <c r="H511" s="5"/>
      <c r="I511" s="5"/>
      <c r="J511" s="5"/>
      <c r="K511" s="5"/>
      <c r="L511" s="5"/>
      <c r="M511" s="5"/>
      <c r="N511" s="5" t="s">
        <v>66</v>
      </c>
      <c r="O511" s="5"/>
      <c r="P511" s="6">
        <f>IF(A511="","",COUNTA(D511:F511)+COUNTA(G511:G511)+COUNTA(H511:H511)+COUNTA(I511:I511))</f>
        <v>0</v>
      </c>
      <c r="Q511" s="6" t="str">
        <f>IF(A511="","",IF(AND(P511=6,UPPER(L511)&lt;&gt;"Y",C511&lt;&gt;""),"Yes","No"))</f>
        <v>No</v>
      </c>
      <c r="R511" s="5" t="s">
        <v>51</v>
      </c>
      <c r="S511" s="5"/>
      <c r="T511" s="5"/>
      <c r="U511" s="5"/>
      <c r="V511" s="5"/>
      <c r="W511" s="5" t="s">
        <v>43</v>
      </c>
      <c r="X511" s="5"/>
      <c r="Y511" s="5"/>
    </row>
    <row r="512" spans="1:25" x14ac:dyDescent="0.25">
      <c r="A512" s="5" t="s">
        <v>1500</v>
      </c>
      <c r="B512" s="5"/>
      <c r="C512" s="5" t="s">
        <v>43</v>
      </c>
      <c r="D512" s="5" t="s">
        <v>44</v>
      </c>
      <c r="E512" s="5"/>
      <c r="F512" s="5"/>
      <c r="G512" s="5"/>
      <c r="H512" s="5"/>
      <c r="I512" s="5" t="s">
        <v>123</v>
      </c>
      <c r="J512" s="5"/>
      <c r="K512" s="5" t="s">
        <v>123</v>
      </c>
      <c r="L512" s="5"/>
      <c r="M512" s="5"/>
      <c r="N512" s="5" t="s">
        <v>50</v>
      </c>
      <c r="O512" s="5"/>
      <c r="P512" s="6">
        <f>IF(A512="","",COUNTA(D512:F512)+COUNTA(G512:G512)+COUNTA(H512:H512)+COUNTA(I512:I512))</f>
        <v>2</v>
      </c>
      <c r="Q512" s="6" t="str">
        <f>IF(A512="","",IF(AND(P512=6,UPPER(L512)&lt;&gt;"Y",C512&lt;&gt;""),"Yes","No"))</f>
        <v>No</v>
      </c>
      <c r="R512" s="5" t="s">
        <v>51</v>
      </c>
      <c r="S512" s="5"/>
      <c r="T512" s="5" t="s">
        <v>1501</v>
      </c>
      <c r="U512" s="5"/>
      <c r="V512" s="5"/>
      <c r="W512" s="5" t="s">
        <v>43</v>
      </c>
      <c r="X512" s="5" t="s">
        <v>1502</v>
      </c>
      <c r="Y512" s="5" t="s">
        <v>136</v>
      </c>
    </row>
    <row r="513" spans="1:25" x14ac:dyDescent="0.25">
      <c r="A513" s="5" t="s">
        <v>1503</v>
      </c>
      <c r="B513" s="5"/>
      <c r="C513" s="5" t="s">
        <v>43</v>
      </c>
      <c r="D513" s="5" t="s">
        <v>44</v>
      </c>
      <c r="E513" s="5"/>
      <c r="F513" s="5"/>
      <c r="G513" s="5"/>
      <c r="H513" s="5" t="s">
        <v>96</v>
      </c>
      <c r="I513" s="5" t="s">
        <v>91</v>
      </c>
      <c r="J513" s="5" t="s">
        <v>1504</v>
      </c>
      <c r="K513" s="5" t="s">
        <v>1505</v>
      </c>
      <c r="L513" s="5"/>
      <c r="M513" s="5"/>
      <c r="N513" s="5" t="s">
        <v>50</v>
      </c>
      <c r="O513" s="5"/>
      <c r="P513" s="6">
        <f>IF(A513="","",COUNTA(D513:F513)+COUNTA(G513:G513)+COUNTA(H513:H513)+COUNTA(I513:I513))</f>
        <v>3</v>
      </c>
      <c r="Q513" s="6" t="str">
        <f>IF(A513="","",IF(AND(P513=6,UPPER(L513)&lt;&gt;"Y",C513&lt;&gt;""),"Yes","No"))</f>
        <v>No</v>
      </c>
      <c r="R513" s="5" t="s">
        <v>51</v>
      </c>
      <c r="S513" s="5"/>
      <c r="T513" s="5" t="s">
        <v>1506</v>
      </c>
      <c r="U513" s="5" t="s">
        <v>99</v>
      </c>
      <c r="V513" s="5"/>
      <c r="W513" s="5" t="s">
        <v>43</v>
      </c>
      <c r="X513" s="5" t="s">
        <v>508</v>
      </c>
      <c r="Y513" s="5" t="s">
        <v>352</v>
      </c>
    </row>
    <row r="514" spans="1:25" x14ac:dyDescent="0.25">
      <c r="A514" s="5" t="s">
        <v>1507</v>
      </c>
      <c r="B514" s="5"/>
      <c r="C514" s="5" t="s">
        <v>70</v>
      </c>
      <c r="D514" s="5" t="s">
        <v>76</v>
      </c>
      <c r="E514" s="5"/>
      <c r="F514" s="5"/>
      <c r="G514" s="5"/>
      <c r="H514" s="5" t="s">
        <v>83</v>
      </c>
      <c r="I514" s="5"/>
      <c r="J514" s="5"/>
      <c r="K514" s="5"/>
      <c r="L514" s="5"/>
      <c r="M514" s="5"/>
      <c r="N514" s="5" t="s">
        <v>124</v>
      </c>
      <c r="O514" s="5"/>
      <c r="P514" s="6">
        <f>IF(A514="","",COUNTA(D514:F514)+COUNTA(G514:G514)+COUNTA(H514:H514)+COUNTA(I514:I514))</f>
        <v>2</v>
      </c>
      <c r="Q514" s="6" t="str">
        <f>IF(A514="","",IF(AND(P514=6,UPPER(L514)&lt;&gt;"Y",C514&lt;&gt;""),"Yes","No"))</f>
        <v>No</v>
      </c>
      <c r="R514" s="5" t="s">
        <v>125</v>
      </c>
      <c r="S514" s="5"/>
      <c r="T514" s="5"/>
      <c r="U514" s="5" t="s">
        <v>83</v>
      </c>
      <c r="V514" s="5"/>
      <c r="W514" s="5"/>
      <c r="X514" s="5"/>
      <c r="Y514" s="5" t="s">
        <v>155</v>
      </c>
    </row>
    <row r="515" spans="1:25" x14ac:dyDescent="0.25">
      <c r="A515" s="5" t="s">
        <v>1508</v>
      </c>
      <c r="B515" s="5"/>
      <c r="C515" s="5" t="s">
        <v>43</v>
      </c>
      <c r="D515" s="5" t="s">
        <v>76</v>
      </c>
      <c r="E515" s="5" t="s">
        <v>45</v>
      </c>
      <c r="F515" s="5" t="s">
        <v>46</v>
      </c>
      <c r="G515" s="5" t="s">
        <v>47</v>
      </c>
      <c r="H515" s="5" t="s">
        <v>58</v>
      </c>
      <c r="I515" s="5" t="s">
        <v>71</v>
      </c>
      <c r="J515" s="5"/>
      <c r="K515" s="5" t="s">
        <v>71</v>
      </c>
      <c r="L515" s="5"/>
      <c r="M515" s="5"/>
      <c r="N515" s="5" t="s">
        <v>50</v>
      </c>
      <c r="O515" s="5"/>
      <c r="P515" s="6">
        <f>IF(A515="","",COUNTA(D515:F515)+COUNTA(G515:G515)+COUNTA(H515:H515)+COUNTA(I515:I515))</f>
        <v>6</v>
      </c>
      <c r="Q515" s="6" t="str">
        <f>IF(A515="","",IF(AND(P515=6,UPPER(L515)&lt;&gt;"Y",C515&lt;&gt;""),"Yes","No"))</f>
        <v>Yes</v>
      </c>
      <c r="R515" s="5" t="s">
        <v>51</v>
      </c>
      <c r="S515" s="5" t="s">
        <v>1509</v>
      </c>
      <c r="T515" s="5" t="s">
        <v>1510</v>
      </c>
      <c r="U515" s="5" t="s">
        <v>63</v>
      </c>
      <c r="V515" s="5" t="s">
        <v>67</v>
      </c>
      <c r="W515" s="5" t="s">
        <v>43</v>
      </c>
      <c r="X515" s="5" t="s">
        <v>222</v>
      </c>
      <c r="Y515" s="5" t="s">
        <v>55</v>
      </c>
    </row>
    <row r="516" spans="1:25" x14ac:dyDescent="0.25">
      <c r="A516" s="5" t="s">
        <v>1511</v>
      </c>
      <c r="B516" s="5"/>
      <c r="C516" s="5" t="s">
        <v>43</v>
      </c>
      <c r="D516" s="5" t="s">
        <v>44</v>
      </c>
      <c r="E516" s="5"/>
      <c r="F516" s="5"/>
      <c r="G516" s="5" t="s">
        <v>47</v>
      </c>
      <c r="H516" s="5" t="s">
        <v>58</v>
      </c>
      <c r="I516" s="5" t="s">
        <v>123</v>
      </c>
      <c r="J516" s="5"/>
      <c r="K516" s="5" t="s">
        <v>123</v>
      </c>
      <c r="L516" s="5"/>
      <c r="M516" s="5"/>
      <c r="N516" s="5" t="s">
        <v>50</v>
      </c>
      <c r="O516" s="5"/>
      <c r="P516" s="6">
        <f>IF(A516="","",COUNTA(D516:F516)+COUNTA(G516:G516)+COUNTA(H516:H516)+COUNTA(I516:I516))</f>
        <v>4</v>
      </c>
      <c r="Q516" s="6" t="str">
        <f>IF(A516="","",IF(AND(P516=6,UPPER(L516)&lt;&gt;"Y",C516&lt;&gt;""),"Yes","No"))</f>
        <v>No</v>
      </c>
      <c r="R516" s="5" t="s">
        <v>51</v>
      </c>
      <c r="S516" s="5"/>
      <c r="T516" s="5" t="s">
        <v>1512</v>
      </c>
      <c r="U516" s="5" t="s">
        <v>63</v>
      </c>
      <c r="V516" s="5"/>
      <c r="W516" s="5" t="s">
        <v>43</v>
      </c>
      <c r="X516" s="5"/>
      <c r="Y516" s="5" t="s">
        <v>64</v>
      </c>
    </row>
    <row r="517" spans="1:25" x14ac:dyDescent="0.25">
      <c r="A517" s="5" t="s">
        <v>1513</v>
      </c>
      <c r="B517" s="5"/>
      <c r="C517" s="5" t="s">
        <v>70</v>
      </c>
      <c r="D517" s="5" t="s">
        <v>44</v>
      </c>
      <c r="E517" s="5"/>
      <c r="F517" s="5"/>
      <c r="G517" s="5"/>
      <c r="H517" s="5"/>
      <c r="I517" s="5"/>
      <c r="J517" s="5"/>
      <c r="K517" s="5"/>
      <c r="L517" s="5"/>
      <c r="M517" s="5"/>
      <c r="N517" s="5" t="s">
        <v>124</v>
      </c>
      <c r="O517" s="5"/>
      <c r="P517" s="6">
        <f>IF(A517="","",COUNTA(D517:F517)+COUNTA(G517:G517)+COUNTA(H517:H517)+COUNTA(I517:I517))</f>
        <v>1</v>
      </c>
      <c r="Q517" s="6" t="str">
        <f>IF(A517="","",IF(AND(P517=6,UPPER(L517)&lt;&gt;"Y",C517&lt;&gt;""),"Yes","No"))</f>
        <v>No</v>
      </c>
      <c r="R517" s="5" t="s">
        <v>125</v>
      </c>
      <c r="S517" s="5"/>
      <c r="T517" s="5"/>
      <c r="U517" s="5"/>
      <c r="V517" s="5"/>
      <c r="W517" s="5"/>
      <c r="X517" s="5"/>
      <c r="Y517" s="5" t="s">
        <v>553</v>
      </c>
    </row>
    <row r="518" spans="1:25" x14ac:dyDescent="0.25">
      <c r="A518" s="5" t="s">
        <v>1514</v>
      </c>
      <c r="B518" s="5"/>
      <c r="C518" s="5" t="s">
        <v>43</v>
      </c>
      <c r="D518" s="5"/>
      <c r="E518" s="5"/>
      <c r="F518" s="5"/>
      <c r="G518" s="5"/>
      <c r="H518" s="5"/>
      <c r="I518" s="5"/>
      <c r="J518" s="5"/>
      <c r="K518" s="5"/>
      <c r="L518" s="5"/>
      <c r="M518" s="5"/>
      <c r="N518" s="5" t="s">
        <v>66</v>
      </c>
      <c r="O518" s="5"/>
      <c r="P518" s="6">
        <f>IF(A518="","",COUNTA(D518:F518)+COUNTA(G518:G518)+COUNTA(H518:H518)+COUNTA(I518:I518))</f>
        <v>0</v>
      </c>
      <c r="Q518" s="6" t="str">
        <f>IF(A518="","",IF(AND(P518=6,UPPER(L518)&lt;&gt;"Y",C518&lt;&gt;""),"Yes","No"))</f>
        <v>No</v>
      </c>
      <c r="R518" s="5" t="s">
        <v>51</v>
      </c>
      <c r="S518" s="5"/>
      <c r="T518" s="5" t="s">
        <v>1515</v>
      </c>
      <c r="U518" s="5"/>
      <c r="V518" s="5"/>
      <c r="W518" s="5" t="s">
        <v>43</v>
      </c>
      <c r="X518" s="5"/>
      <c r="Y518" s="5"/>
    </row>
    <row r="519" spans="1:25" x14ac:dyDescent="0.25">
      <c r="A519" s="5" t="s">
        <v>1516</v>
      </c>
      <c r="B519" s="5"/>
      <c r="C519" s="5" t="s">
        <v>43</v>
      </c>
      <c r="D519" s="5"/>
      <c r="E519" s="5" t="s">
        <v>331</v>
      </c>
      <c r="F519" s="5" t="s">
        <v>46</v>
      </c>
      <c r="G519" s="5"/>
      <c r="H519" s="5" t="s">
        <v>456</v>
      </c>
      <c r="I519" s="5"/>
      <c r="J519" s="5"/>
      <c r="K519" s="5"/>
      <c r="L519" s="5"/>
      <c r="M519" s="5"/>
      <c r="N519" s="5" t="s">
        <v>50</v>
      </c>
      <c r="O519" s="5"/>
      <c r="P519" s="6">
        <f>IF(A519="","",COUNTA(D519:F519)+COUNTA(G519:G519)+COUNTA(H519:H519)+COUNTA(I519:I519))</f>
        <v>3</v>
      </c>
      <c r="Q519" s="6" t="str">
        <f>IF(A519="","",IF(AND(P519=6,UPPER(L519)&lt;&gt;"Y",C519&lt;&gt;""),"Yes","No"))</f>
        <v>No</v>
      </c>
      <c r="R519" s="5" t="s">
        <v>51</v>
      </c>
      <c r="S519" s="5" t="s">
        <v>1517</v>
      </c>
      <c r="T519" s="5" t="s">
        <v>1518</v>
      </c>
      <c r="U519" s="5" t="s">
        <v>456</v>
      </c>
      <c r="V519" s="5"/>
      <c r="W519" s="5" t="s">
        <v>43</v>
      </c>
      <c r="X519" s="5"/>
      <c r="Y519" s="5" t="s">
        <v>1519</v>
      </c>
    </row>
    <row r="520" spans="1:25" x14ac:dyDescent="0.25">
      <c r="A520" s="5" t="s">
        <v>1520</v>
      </c>
      <c r="B520" s="5"/>
      <c r="C520" s="5" t="s">
        <v>43</v>
      </c>
      <c r="D520" s="5" t="s">
        <v>44</v>
      </c>
      <c r="E520" s="5" t="s">
        <v>45</v>
      </c>
      <c r="F520" s="5" t="s">
        <v>107</v>
      </c>
      <c r="G520" s="5" t="s">
        <v>57</v>
      </c>
      <c r="H520" s="5" t="s">
        <v>214</v>
      </c>
      <c r="I520" s="5" t="s">
        <v>119</v>
      </c>
      <c r="J520" s="5"/>
      <c r="K520" s="5" t="s">
        <v>119</v>
      </c>
      <c r="L520" s="5"/>
      <c r="M520" s="5"/>
      <c r="N520" s="5" t="s">
        <v>50</v>
      </c>
      <c r="O520" s="5"/>
      <c r="P520" s="6">
        <f>IF(A520="","",COUNTA(D520:F520)+COUNTA(G520:G520)+COUNTA(H520:H520)+COUNTA(I520:I520))</f>
        <v>6</v>
      </c>
      <c r="Q520" s="6" t="str">
        <f>IF(A520="","",IF(AND(P520=6,UPPER(L520)&lt;&gt;"Y",C520&lt;&gt;""),"Yes","No"))</f>
        <v>Yes</v>
      </c>
      <c r="R520" s="5" t="s">
        <v>51</v>
      </c>
      <c r="S520" s="5" t="s">
        <v>1521</v>
      </c>
      <c r="T520" s="5" t="s">
        <v>1522</v>
      </c>
      <c r="U520" s="5" t="s">
        <v>214</v>
      </c>
      <c r="V520" s="5"/>
      <c r="W520" s="5" t="s">
        <v>43</v>
      </c>
      <c r="X520" s="5" t="s">
        <v>1523</v>
      </c>
      <c r="Y520" s="5" t="s">
        <v>219</v>
      </c>
    </row>
    <row r="521" spans="1:25" x14ac:dyDescent="0.25">
      <c r="A521" s="5" t="s">
        <v>1867</v>
      </c>
      <c r="B521" s="5"/>
      <c r="C521" s="5" t="s">
        <v>128</v>
      </c>
      <c r="D521" s="5" t="s">
        <v>44</v>
      </c>
      <c r="E521" s="5" t="s">
        <v>45</v>
      </c>
      <c r="F521" s="5" t="s">
        <v>107</v>
      </c>
      <c r="G521" s="5" t="s">
        <v>47</v>
      </c>
      <c r="H521" s="5" t="s">
        <v>1866</v>
      </c>
      <c r="I521" s="5" t="s">
        <v>71</v>
      </c>
      <c r="J521" s="5" t="s">
        <v>91</v>
      </c>
      <c r="K521" s="5" t="s">
        <v>535</v>
      </c>
      <c r="L521" s="5"/>
      <c r="M521" s="5"/>
      <c r="N521" s="5" t="s">
        <v>50</v>
      </c>
      <c r="O521" s="5" t="s">
        <v>225</v>
      </c>
      <c r="P521" s="6">
        <f>IF(A521="","",COUNTA(D521:F521)+COUNTA(G521:G521)+COUNTA(H521:H521)+COUNTA(I521:I521))</f>
        <v>6</v>
      </c>
      <c r="Q521" s="6" t="str">
        <f>IF(A521="","",IF(AND(P521=6,UPPER(L521)&lt;&gt;"Y",C521&lt;&gt;""),"Yes","No"))</f>
        <v>Yes</v>
      </c>
      <c r="R521" s="5" t="s">
        <v>51</v>
      </c>
      <c r="S521" s="5" t="s">
        <v>536</v>
      </c>
      <c r="T521" s="5" t="s">
        <v>1869</v>
      </c>
      <c r="U521" s="5" t="s">
        <v>538</v>
      </c>
      <c r="V521" s="5" t="s">
        <v>1868</v>
      </c>
      <c r="W521" s="5" t="s">
        <v>43</v>
      </c>
      <c r="X521" s="5"/>
      <c r="Y521" s="5" t="s">
        <v>540</v>
      </c>
    </row>
    <row r="522" spans="1:25" x14ac:dyDescent="0.25">
      <c r="A522" s="5" t="s">
        <v>1525</v>
      </c>
      <c r="B522" s="5"/>
      <c r="C522" s="5"/>
      <c r="D522" s="5"/>
      <c r="E522" s="5" t="s">
        <v>331</v>
      </c>
      <c r="F522" s="5"/>
      <c r="G522" s="5"/>
      <c r="H522" s="5"/>
      <c r="I522" s="5"/>
      <c r="J522" s="5"/>
      <c r="K522" s="5"/>
      <c r="L522" s="5"/>
      <c r="M522" s="5"/>
      <c r="N522" s="5" t="s">
        <v>66</v>
      </c>
      <c r="O522" s="5"/>
      <c r="P522" s="6">
        <f>IF(A522="","",COUNTA(D522:F522)+COUNTA(G522:G522)+COUNTA(H522:H522)+COUNTA(I522:I522))</f>
        <v>1</v>
      </c>
      <c r="Q522" s="6" t="str">
        <f>IF(A522="","",IF(AND(P522=6,UPPER(L522)&lt;&gt;"Y",C522&lt;&gt;""),"Yes","No"))</f>
        <v>No</v>
      </c>
      <c r="R522" s="5" t="s">
        <v>51</v>
      </c>
      <c r="S522" s="5"/>
      <c r="T522" s="5" t="s">
        <v>331</v>
      </c>
      <c r="U522" s="5"/>
      <c r="V522" s="5"/>
      <c r="W522" s="5"/>
      <c r="X522" s="5"/>
      <c r="Y522" s="5" t="s">
        <v>1371</v>
      </c>
    </row>
    <row r="523" spans="1:25" x14ac:dyDescent="0.25">
      <c r="A523" s="5" t="s">
        <v>1526</v>
      </c>
      <c r="B523" s="5"/>
      <c r="C523" s="5" t="s">
        <v>128</v>
      </c>
      <c r="D523" s="5"/>
      <c r="E523" s="5"/>
      <c r="F523" s="5"/>
      <c r="G523" s="5" t="s">
        <v>57</v>
      </c>
      <c r="H523" s="5" t="s">
        <v>1409</v>
      </c>
      <c r="I523" s="5"/>
      <c r="J523" s="5"/>
      <c r="K523" s="5"/>
      <c r="L523" s="5"/>
      <c r="M523" s="5"/>
      <c r="N523" s="5" t="s">
        <v>66</v>
      </c>
      <c r="O523" s="5"/>
      <c r="P523" s="6">
        <f>IF(A523="","",COUNTA(D523:F523)+COUNTA(G523:G523)+COUNTA(H523:H523)+COUNTA(I523:I523))</f>
        <v>2</v>
      </c>
      <c r="Q523" s="6" t="str">
        <f>IF(A523="","",IF(AND(P523=6,UPPER(L523)&lt;&gt;"Y",C523&lt;&gt;""),"Yes","No"))</f>
        <v>No</v>
      </c>
      <c r="R523" s="5" t="s">
        <v>51</v>
      </c>
      <c r="S523" s="5"/>
      <c r="T523" s="5"/>
      <c r="U523" s="5" t="s">
        <v>1409</v>
      </c>
      <c r="V523" s="5" t="s">
        <v>57</v>
      </c>
      <c r="W523" s="5" t="s">
        <v>128</v>
      </c>
      <c r="X523" s="5" t="s">
        <v>1410</v>
      </c>
      <c r="Y523" s="5"/>
    </row>
    <row r="524" spans="1:25" x14ac:dyDescent="0.25">
      <c r="A524" s="5" t="s">
        <v>1527</v>
      </c>
      <c r="B524" s="5"/>
      <c r="C524" s="5" t="s">
        <v>43</v>
      </c>
      <c r="D524" s="5" t="s">
        <v>44</v>
      </c>
      <c r="E524" s="5" t="s">
        <v>45</v>
      </c>
      <c r="F524" s="5" t="s">
        <v>107</v>
      </c>
      <c r="G524" s="5" t="s">
        <v>57</v>
      </c>
      <c r="H524" s="5" t="s">
        <v>271</v>
      </c>
      <c r="I524" s="5" t="s">
        <v>49</v>
      </c>
      <c r="J524" s="5"/>
      <c r="K524" s="5" t="s">
        <v>1528</v>
      </c>
      <c r="L524" s="5"/>
      <c r="M524" s="5"/>
      <c r="N524" s="5" t="s">
        <v>110</v>
      </c>
      <c r="O524" s="5"/>
      <c r="P524" s="6">
        <f>IF(A524="","",COUNTA(D524:F524)+COUNTA(G524:G524)+COUNTA(H524:H524)+COUNTA(I524:I524))</f>
        <v>6</v>
      </c>
      <c r="Q524" s="6" t="str">
        <f>IF(A524="","",IF(AND(P524=6,UPPER(L524)&lt;&gt;"Y",C524&lt;&gt;""),"Yes","No"))</f>
        <v>Yes</v>
      </c>
      <c r="R524" s="5" t="s">
        <v>112</v>
      </c>
      <c r="S524" s="5" t="s">
        <v>1529</v>
      </c>
      <c r="T524" s="5" t="s">
        <v>1530</v>
      </c>
      <c r="U524" s="5" t="s">
        <v>271</v>
      </c>
      <c r="V524" s="5" t="s">
        <v>57</v>
      </c>
      <c r="W524" s="5" t="s">
        <v>43</v>
      </c>
      <c r="X524" s="5" t="s">
        <v>275</v>
      </c>
      <c r="Y524" s="5" t="s">
        <v>55</v>
      </c>
    </row>
    <row r="525" spans="1:25" x14ac:dyDescent="0.25">
      <c r="A525" s="5" t="s">
        <v>1365</v>
      </c>
      <c r="B525" s="5"/>
      <c r="C525" s="5" t="s">
        <v>43</v>
      </c>
      <c r="D525" s="5" t="s">
        <v>44</v>
      </c>
      <c r="E525" s="5" t="s">
        <v>45</v>
      </c>
      <c r="F525" s="5" t="s">
        <v>46</v>
      </c>
      <c r="G525" s="5" t="s">
        <v>57</v>
      </c>
      <c r="H525" s="5" t="s">
        <v>1531</v>
      </c>
      <c r="I525" s="5" t="s">
        <v>192</v>
      </c>
      <c r="J525" s="5" t="s">
        <v>133</v>
      </c>
      <c r="K525" s="5" t="s">
        <v>234</v>
      </c>
      <c r="L525" s="5"/>
      <c r="M525" s="5"/>
      <c r="N525" s="5" t="s">
        <v>50</v>
      </c>
      <c r="O525" s="5"/>
      <c r="P525" s="6">
        <f>IF(A525="","",COUNTA(D525:F525)+COUNTA(G525:G525)+COUNTA(H525:H525)+COUNTA(I525:I525))</f>
        <v>6</v>
      </c>
      <c r="Q525" s="6" t="str">
        <f>IF(A525="","",IF(AND(P525=6,UPPER(L525)&lt;&gt;"Y",C525&lt;&gt;""),"Yes","No"))</f>
        <v>Yes</v>
      </c>
      <c r="R525" s="5" t="s">
        <v>51</v>
      </c>
      <c r="S525" s="5"/>
      <c r="T525" s="5" t="s">
        <v>1532</v>
      </c>
      <c r="U525" s="5"/>
      <c r="V525" s="5" t="s">
        <v>57</v>
      </c>
      <c r="W525" s="5" t="s">
        <v>43</v>
      </c>
      <c r="X525" s="5"/>
      <c r="Y525" s="5" t="s">
        <v>1533</v>
      </c>
    </row>
    <row r="526" spans="1:25" x14ac:dyDescent="0.25">
      <c r="A526" s="5" t="s">
        <v>1534</v>
      </c>
      <c r="B526" s="5"/>
      <c r="C526" s="5" t="s">
        <v>43</v>
      </c>
      <c r="D526" s="5" t="s">
        <v>76</v>
      </c>
      <c r="E526" s="5" t="s">
        <v>45</v>
      </c>
      <c r="F526" s="5" t="s">
        <v>46</v>
      </c>
      <c r="G526" s="5"/>
      <c r="H526" s="5" t="s">
        <v>83</v>
      </c>
      <c r="I526" s="5" t="s">
        <v>123</v>
      </c>
      <c r="J526" s="5" t="s">
        <v>49</v>
      </c>
      <c r="K526" s="5" t="s">
        <v>1535</v>
      </c>
      <c r="L526" s="5"/>
      <c r="M526" s="5"/>
      <c r="N526" s="5" t="s">
        <v>66</v>
      </c>
      <c r="O526" s="5"/>
      <c r="P526" s="6">
        <f>IF(A526="","",COUNTA(D526:F526)+COUNTA(G526:G526)+COUNTA(H526:H526)+COUNTA(I526:I526))</f>
        <v>5</v>
      </c>
      <c r="Q526" s="6" t="str">
        <f>IF(A526="","",IF(AND(P526=6,UPPER(L526)&lt;&gt;"Y",C526&lt;&gt;""),"Yes","No"))</f>
        <v>No</v>
      </c>
      <c r="R526" s="5" t="s">
        <v>51</v>
      </c>
      <c r="S526" s="5" t="s">
        <v>1536</v>
      </c>
      <c r="T526" s="5" t="s">
        <v>1537</v>
      </c>
      <c r="U526" s="5" t="s">
        <v>83</v>
      </c>
      <c r="V526" s="5"/>
      <c r="W526" s="5" t="s">
        <v>43</v>
      </c>
      <c r="X526" s="5"/>
      <c r="Y526" s="5" t="s">
        <v>88</v>
      </c>
    </row>
    <row r="527" spans="1:25" x14ac:dyDescent="0.25">
      <c r="A527" s="5" t="s">
        <v>1538</v>
      </c>
      <c r="B527" s="5"/>
      <c r="C527" s="5" t="s">
        <v>128</v>
      </c>
      <c r="D527" s="5"/>
      <c r="E527" s="5"/>
      <c r="F527" s="5"/>
      <c r="G527" s="5" t="s">
        <v>57</v>
      </c>
      <c r="H527" s="5" t="s">
        <v>718</v>
      </c>
      <c r="I527" s="5"/>
      <c r="J527" s="5"/>
      <c r="K527" s="5"/>
      <c r="L527" s="5"/>
      <c r="M527" s="5"/>
      <c r="N527" s="5" t="s">
        <v>66</v>
      </c>
      <c r="O527" s="5"/>
      <c r="P527" s="6">
        <f>IF(A527="","",COUNTA(D527:F527)+COUNTA(G527:G527)+COUNTA(H527:H527)+COUNTA(I527:I527))</f>
        <v>2</v>
      </c>
      <c r="Q527" s="6" t="str">
        <f>IF(A527="","",IF(AND(P527=6,UPPER(L527)&lt;&gt;"Y",C527&lt;&gt;""),"Yes","No"))</f>
        <v>No</v>
      </c>
      <c r="R527" s="5" t="s">
        <v>51</v>
      </c>
      <c r="S527" s="5"/>
      <c r="T527" s="5"/>
      <c r="U527" s="5" t="s">
        <v>718</v>
      </c>
      <c r="V527" s="5" t="s">
        <v>57</v>
      </c>
      <c r="W527" s="5" t="s">
        <v>128</v>
      </c>
      <c r="X527" s="5" t="s">
        <v>1031</v>
      </c>
      <c r="Y527" s="5"/>
    </row>
    <row r="528" spans="1:25" x14ac:dyDescent="0.25">
      <c r="A528" s="5" t="s">
        <v>1539</v>
      </c>
      <c r="B528" s="5"/>
      <c r="C528" s="5" t="s">
        <v>70</v>
      </c>
      <c r="D528" s="5" t="s">
        <v>76</v>
      </c>
      <c r="E528" s="5"/>
      <c r="F528" s="5"/>
      <c r="G528" s="5" t="s">
        <v>47</v>
      </c>
      <c r="H528" s="5"/>
      <c r="I528" s="5"/>
      <c r="J528" s="5"/>
      <c r="K528" s="5"/>
      <c r="L528" s="5"/>
      <c r="M528" s="5"/>
      <c r="N528" s="5" t="s">
        <v>124</v>
      </c>
      <c r="O528" s="5"/>
      <c r="P528" s="6">
        <f>IF(A528="","",COUNTA(D528:F528)+COUNTA(G528:G528)+COUNTA(H528:H528)+COUNTA(I528:I528))</f>
        <v>2</v>
      </c>
      <c r="Q528" s="6" t="str">
        <f>IF(A528="","",IF(AND(P528=6,UPPER(L528)&lt;&gt;"Y",C528&lt;&gt;""),"Yes","No"))</f>
        <v>No</v>
      </c>
      <c r="R528" s="5" t="s">
        <v>125</v>
      </c>
      <c r="S528" s="5"/>
      <c r="T528" s="5"/>
      <c r="U528" s="5"/>
      <c r="V528" s="5" t="s">
        <v>47</v>
      </c>
      <c r="W528" s="5"/>
      <c r="X528" s="5"/>
      <c r="Y528" s="5" t="s">
        <v>126</v>
      </c>
    </row>
    <row r="529" spans="1:25" x14ac:dyDescent="0.25">
      <c r="A529" s="5" t="s">
        <v>528</v>
      </c>
      <c r="B529" s="5"/>
      <c r="C529" s="5" t="s">
        <v>43</v>
      </c>
      <c r="D529" s="5"/>
      <c r="E529" s="5" t="s">
        <v>45</v>
      </c>
      <c r="F529" s="5" t="s">
        <v>107</v>
      </c>
      <c r="G529" s="5"/>
      <c r="H529" s="5" t="s">
        <v>456</v>
      </c>
      <c r="I529" s="5" t="s">
        <v>192</v>
      </c>
      <c r="J529" s="5" t="s">
        <v>59</v>
      </c>
      <c r="K529" s="5" t="s">
        <v>529</v>
      </c>
      <c r="L529" s="5"/>
      <c r="M529" s="5"/>
      <c r="N529" s="5" t="s">
        <v>66</v>
      </c>
      <c r="O529" s="5"/>
      <c r="P529" s="6">
        <f>IF(A529="","",COUNTA(D529:F529)+COUNTA(G529:G529)+COUNTA(H529:H529)+COUNTA(I529:I529))</f>
        <v>4</v>
      </c>
      <c r="Q529" s="6" t="str">
        <f>IF(A529="","",IF(AND(P529=6,UPPER(L529)&lt;&gt;"Y",C529&lt;&gt;""),"Yes","No"))</f>
        <v>No</v>
      </c>
      <c r="R529" s="5" t="s">
        <v>51</v>
      </c>
      <c r="S529" s="5"/>
      <c r="T529" s="5" t="s">
        <v>530</v>
      </c>
      <c r="U529" s="5" t="s">
        <v>456</v>
      </c>
      <c r="V529" s="5"/>
      <c r="W529" s="5" t="s">
        <v>43</v>
      </c>
      <c r="X529" s="5"/>
      <c r="Y529" s="5" t="s">
        <v>167</v>
      </c>
    </row>
    <row r="530" spans="1:25" x14ac:dyDescent="0.25">
      <c r="A530" s="5" t="s">
        <v>546</v>
      </c>
      <c r="B530" s="5"/>
      <c r="C530" s="5" t="s">
        <v>43</v>
      </c>
      <c r="D530" s="5"/>
      <c r="E530" s="5"/>
      <c r="F530" s="5"/>
      <c r="G530" s="5" t="s">
        <v>47</v>
      </c>
      <c r="H530" s="5"/>
      <c r="I530" s="5"/>
      <c r="J530" s="5"/>
      <c r="K530" s="5"/>
      <c r="L530" s="5"/>
      <c r="M530" s="5"/>
      <c r="N530" s="5" t="s">
        <v>50</v>
      </c>
      <c r="O530" s="5"/>
      <c r="P530" s="6">
        <f>IF(A530="","",COUNTA(D530:F530)+COUNTA(G530:G530)+COUNTA(H530:H530)+COUNTA(I530:I530))</f>
        <v>1</v>
      </c>
      <c r="Q530" s="6" t="str">
        <f>IF(A530="","",IF(AND(P530=6,UPPER(L530)&lt;&gt;"Y",C530&lt;&gt;""),"Yes","No"))</f>
        <v>No</v>
      </c>
      <c r="R530" s="5" t="s">
        <v>51</v>
      </c>
      <c r="S530" s="5"/>
      <c r="T530" s="5"/>
      <c r="U530" s="5"/>
      <c r="V530" s="5"/>
      <c r="W530" s="5" t="s">
        <v>43</v>
      </c>
      <c r="X530" s="5" t="s">
        <v>68</v>
      </c>
      <c r="Y530" s="5" t="s">
        <v>547</v>
      </c>
    </row>
    <row r="531" spans="1:25" x14ac:dyDescent="0.25">
      <c r="A531" s="5" t="s">
        <v>551</v>
      </c>
      <c r="B531" s="5"/>
      <c r="C531" s="5" t="s">
        <v>70</v>
      </c>
      <c r="D531" s="5" t="s">
        <v>244</v>
      </c>
      <c r="E531" s="5"/>
      <c r="F531" s="5"/>
      <c r="G531" s="5"/>
      <c r="H531" s="5"/>
      <c r="I531" s="5"/>
      <c r="J531" s="5"/>
      <c r="K531" s="5"/>
      <c r="L531" s="5"/>
      <c r="M531" s="5"/>
      <c r="N531" s="5" t="s">
        <v>124</v>
      </c>
      <c r="O531" s="5"/>
      <c r="P531" s="6">
        <f>IF(A531="","",COUNTA(D531:F531)+COUNTA(G531:G531)+COUNTA(H531:H531)+COUNTA(I531:I531))</f>
        <v>1</v>
      </c>
      <c r="Q531" s="6" t="str">
        <f>IF(A531="","",IF(AND(P531=6,UPPER(L531)&lt;&gt;"Y",C531&lt;&gt;""),"Yes","No"))</f>
        <v>No</v>
      </c>
      <c r="R531" s="5" t="s">
        <v>125</v>
      </c>
      <c r="S531" s="5"/>
      <c r="T531" s="5"/>
      <c r="U531" s="5" t="s">
        <v>552</v>
      </c>
      <c r="V531" s="5"/>
      <c r="W531" s="5"/>
      <c r="X531" s="5"/>
      <c r="Y531" s="5" t="s">
        <v>553</v>
      </c>
    </row>
    <row r="532" spans="1:25" x14ac:dyDescent="0.25">
      <c r="A532" s="5" t="s">
        <v>748</v>
      </c>
      <c r="B532" s="5"/>
      <c r="C532" s="5"/>
      <c r="D532" s="5"/>
      <c r="E532" s="5"/>
      <c r="F532" s="5"/>
      <c r="G532" s="5"/>
      <c r="H532" s="5" t="s">
        <v>90</v>
      </c>
      <c r="I532" s="5"/>
      <c r="J532" s="5"/>
      <c r="K532" s="5"/>
      <c r="L532" s="5"/>
      <c r="M532" s="5"/>
      <c r="N532" s="5" t="s">
        <v>66</v>
      </c>
      <c r="O532" s="5" t="s">
        <v>103</v>
      </c>
      <c r="P532" s="6">
        <f>IF(A532="","",COUNTA(D532:F532)+COUNTA(G532:G532)+COUNTA(H532:H532)+COUNTA(I532:I532))</f>
        <v>1</v>
      </c>
      <c r="Q532" s="6" t="str">
        <f>IF(A532="","",IF(AND(P532=6,UPPER(L532)&lt;&gt;"Y",C532&lt;&gt;""),"Yes","No"))</f>
        <v>No</v>
      </c>
      <c r="R532" s="5" t="s">
        <v>51</v>
      </c>
      <c r="S532" s="5"/>
      <c r="T532" s="5"/>
      <c r="U532" s="5" t="s">
        <v>90</v>
      </c>
      <c r="V532" s="5"/>
      <c r="W532" s="5" t="s">
        <v>105</v>
      </c>
      <c r="X532" s="5"/>
      <c r="Y532" s="5"/>
    </row>
    <row r="533" spans="1:25" x14ac:dyDescent="0.25">
      <c r="A533" s="5" t="s">
        <v>1021</v>
      </c>
      <c r="B533" s="5"/>
      <c r="C533" s="5"/>
      <c r="D533" s="5"/>
      <c r="E533" s="5"/>
      <c r="F533" s="5"/>
      <c r="G533" s="5"/>
      <c r="H533" s="5" t="s">
        <v>77</v>
      </c>
      <c r="I533" s="5" t="s">
        <v>49</v>
      </c>
      <c r="J533" s="5" t="s">
        <v>91</v>
      </c>
      <c r="K533" s="5" t="s">
        <v>1022</v>
      </c>
      <c r="L533" s="5"/>
      <c r="M533" s="5"/>
      <c r="N533" s="5" t="s">
        <v>66</v>
      </c>
      <c r="O533" s="5"/>
      <c r="P533" s="6">
        <f>IF(A533="","",COUNTA(D533:F533)+COUNTA(G533:G533)+COUNTA(H533:H533)+COUNTA(I533:I533))</f>
        <v>2</v>
      </c>
      <c r="Q533" s="6" t="str">
        <f>IF(A533="","",IF(AND(P533=6,UPPER(L533)&lt;&gt;"Y",C533&lt;&gt;""),"Yes","No"))</f>
        <v>No</v>
      </c>
      <c r="R533" s="5" t="s">
        <v>51</v>
      </c>
      <c r="S533" s="5"/>
      <c r="T533" s="5" t="s">
        <v>1023</v>
      </c>
      <c r="U533" s="5" t="s">
        <v>77</v>
      </c>
      <c r="V533" s="5"/>
      <c r="W533" s="5"/>
      <c r="X533" s="5"/>
      <c r="Y533" s="5"/>
    </row>
    <row r="534" spans="1:25" x14ac:dyDescent="0.25">
      <c r="A534" s="5" t="s">
        <v>1171</v>
      </c>
      <c r="B534" s="5" t="s">
        <v>1172</v>
      </c>
      <c r="C534" s="5" t="s">
        <v>43</v>
      </c>
      <c r="D534" s="5" t="s">
        <v>44</v>
      </c>
      <c r="E534" s="5" t="s">
        <v>45</v>
      </c>
      <c r="F534" s="5" t="s">
        <v>46</v>
      </c>
      <c r="G534" s="5" t="s">
        <v>57</v>
      </c>
      <c r="H534" s="5" t="s">
        <v>313</v>
      </c>
      <c r="I534" s="5" t="s">
        <v>49</v>
      </c>
      <c r="J534" s="5"/>
      <c r="K534" s="5" t="s">
        <v>49</v>
      </c>
      <c r="L534" s="5"/>
      <c r="M534" s="5"/>
      <c r="N534" s="5" t="s">
        <v>110</v>
      </c>
      <c r="O534" s="5"/>
      <c r="P534" s="6">
        <f>IF(A534="","",COUNTA(D534:F534)+COUNTA(G534:G534)+COUNTA(H534:H534)+COUNTA(I534:I534))</f>
        <v>6</v>
      </c>
      <c r="Q534" s="6" t="str">
        <f>IF(A534="","",IF(AND(P534=6,UPPER(L534)&lt;&gt;"Y",C534&lt;&gt;""),"Yes","No"))</f>
        <v>Yes</v>
      </c>
      <c r="R534" s="5" t="s">
        <v>112</v>
      </c>
      <c r="S534" s="5"/>
      <c r="T534" s="5" t="s">
        <v>1173</v>
      </c>
      <c r="U534" s="5" t="s">
        <v>316</v>
      </c>
      <c r="V534" s="5"/>
      <c r="W534" s="5" t="s">
        <v>43</v>
      </c>
      <c r="X534" s="5"/>
      <c r="Y534" s="5" t="s">
        <v>101</v>
      </c>
    </row>
    <row r="535" spans="1:25" x14ac:dyDescent="0.25">
      <c r="A535" s="5" t="s">
        <v>1414</v>
      </c>
      <c r="B535" s="5"/>
      <c r="C535" s="5" t="s">
        <v>43</v>
      </c>
      <c r="D535" s="5" t="s">
        <v>44</v>
      </c>
      <c r="E535" s="5" t="s">
        <v>1908</v>
      </c>
      <c r="F535" s="5" t="s">
        <v>107</v>
      </c>
      <c r="G535" s="5" t="s">
        <v>47</v>
      </c>
      <c r="H535" s="5" t="s">
        <v>313</v>
      </c>
      <c r="I535" s="5" t="s">
        <v>192</v>
      </c>
      <c r="J535" s="5"/>
      <c r="K535" s="5" t="s">
        <v>192</v>
      </c>
      <c r="L535" s="5"/>
      <c r="M535" s="5"/>
      <c r="N535" s="5" t="s">
        <v>66</v>
      </c>
      <c r="O535" s="5"/>
      <c r="P535" s="6">
        <f>IF(A535="","",COUNTA(D535:F535)+COUNTA(G535:G535)+COUNTA(H535:H535)+COUNTA(I535:I535))</f>
        <v>6</v>
      </c>
      <c r="Q535" s="6" t="str">
        <f>IF(A535="","",IF(AND(P535=6,UPPER(L535)&lt;&gt;"Y",C535&lt;&gt;""),"Yes","No"))</f>
        <v>Yes</v>
      </c>
      <c r="R535" s="5" t="s">
        <v>51</v>
      </c>
      <c r="S535" s="5" t="s">
        <v>1415</v>
      </c>
      <c r="T535" s="5" t="s">
        <v>1416</v>
      </c>
      <c r="U535" s="5" t="s">
        <v>316</v>
      </c>
      <c r="V535" s="5" t="s">
        <v>1417</v>
      </c>
      <c r="W535" s="5" t="s">
        <v>43</v>
      </c>
      <c r="X535" s="5"/>
      <c r="Y535" s="5" t="s">
        <v>1418</v>
      </c>
    </row>
    <row r="536" spans="1:25" x14ac:dyDescent="0.25">
      <c r="A536" s="5" t="s">
        <v>1426</v>
      </c>
      <c r="B536" s="5" t="s">
        <v>1427</v>
      </c>
      <c r="C536" s="5" t="s">
        <v>70</v>
      </c>
      <c r="D536" s="5"/>
      <c r="E536" s="5" t="s">
        <v>252</v>
      </c>
      <c r="F536" s="5"/>
      <c r="G536" s="5" t="s">
        <v>57</v>
      </c>
      <c r="H536" s="5"/>
      <c r="I536" s="5" t="s">
        <v>49</v>
      </c>
      <c r="J536" s="5" t="s">
        <v>595</v>
      </c>
      <c r="K536" s="5" t="s">
        <v>1428</v>
      </c>
      <c r="L536" s="5"/>
      <c r="M536" s="5"/>
      <c r="N536" s="5" t="s">
        <v>254</v>
      </c>
      <c r="O536" s="5"/>
      <c r="P536" s="6">
        <f>IF(A536="","",COUNTA(D536:F536)+COUNTA(G536:G536)+COUNTA(H536:H536)+COUNTA(I536:I536))</f>
        <v>3</v>
      </c>
      <c r="Q536" s="6" t="str">
        <f>IF(A536="","",IF(AND(P536=6,UPPER(L536)&lt;&gt;"Y",C536&lt;&gt;""),"Yes","No"))</f>
        <v>No</v>
      </c>
      <c r="R536" s="5" t="s">
        <v>255</v>
      </c>
      <c r="S536" s="5"/>
      <c r="T536" s="5"/>
      <c r="U536" s="5"/>
      <c r="V536" s="5"/>
      <c r="W536" s="5"/>
      <c r="X536" s="5"/>
      <c r="Y536" s="5" t="s">
        <v>256</v>
      </c>
    </row>
    <row r="537" spans="1:25" x14ac:dyDescent="0.25">
      <c r="A537" s="5" t="s">
        <v>1905</v>
      </c>
      <c r="B537" s="5" t="s">
        <v>1906</v>
      </c>
      <c r="C537" s="5" t="s">
        <v>43</v>
      </c>
      <c r="D537" s="5" t="s">
        <v>44</v>
      </c>
      <c r="E537" s="5" t="s">
        <v>331</v>
      </c>
      <c r="F537" s="5" t="s">
        <v>46</v>
      </c>
      <c r="G537" s="5" t="s">
        <v>47</v>
      </c>
      <c r="H537" s="5" t="s">
        <v>456</v>
      </c>
      <c r="I537" s="5" t="s">
        <v>192</v>
      </c>
      <c r="J537" s="5"/>
      <c r="K537" s="5"/>
      <c r="L537" s="5"/>
      <c r="M537" s="5"/>
      <c r="N537" s="5"/>
      <c r="O537" s="5"/>
      <c r="P537" s="6">
        <f>IF(A537="","",COUNTA(D537:F537)+COUNTA(G537:G537)+COUNTA(H537:H537)+COUNTA(I537:I537))</f>
        <v>6</v>
      </c>
      <c r="Q537" s="6" t="str">
        <f>IF(A537="","",IF(AND(P537=6,UPPER(L537)&lt;&gt;"Y",C537&lt;&gt;""),"Yes","No"))</f>
        <v>Yes</v>
      </c>
      <c r="R537" s="5"/>
      <c r="S537" s="5"/>
      <c r="T537" s="5" t="s">
        <v>1907</v>
      </c>
      <c r="U537" s="5"/>
      <c r="V537" s="5"/>
      <c r="W537" s="5"/>
      <c r="X537" s="5"/>
      <c r="Y537" s="5"/>
    </row>
    <row r="538" spans="1:25" x14ac:dyDescent="0.25">
      <c r="A538" s="5" t="s">
        <v>1546</v>
      </c>
      <c r="B538" s="5"/>
      <c r="C538" s="5" t="s">
        <v>70</v>
      </c>
      <c r="D538" s="5"/>
      <c r="E538" s="5"/>
      <c r="F538" s="5"/>
      <c r="G538" s="5"/>
      <c r="H538" s="5"/>
      <c r="I538" s="5"/>
      <c r="J538" s="5"/>
      <c r="K538" s="5"/>
      <c r="L538" s="5"/>
      <c r="M538" s="5"/>
      <c r="N538" s="5" t="s">
        <v>124</v>
      </c>
      <c r="O538" s="5"/>
      <c r="P538" s="6">
        <f>IF(A538="","",COUNTA(D538:F538)+COUNTA(G538:G538)+COUNTA(H538:H538)+COUNTA(I538:I538))</f>
        <v>0</v>
      </c>
      <c r="Q538" s="6" t="str">
        <f>IF(A538="","",IF(AND(P538=6,UPPER(L538)&lt;&gt;"Y",C538&lt;&gt;""),"Yes","No"))</f>
        <v>No</v>
      </c>
      <c r="R538" s="5" t="s">
        <v>125</v>
      </c>
      <c r="S538" s="5"/>
      <c r="T538" s="5"/>
      <c r="U538" s="5"/>
      <c r="V538" s="5"/>
      <c r="W538" s="5"/>
      <c r="X538" s="5"/>
      <c r="Y538" s="5" t="s">
        <v>1105</v>
      </c>
    </row>
    <row r="539" spans="1:25" x14ac:dyDescent="0.25">
      <c r="A539" s="5" t="s">
        <v>1540</v>
      </c>
      <c r="B539" s="5"/>
      <c r="C539" s="5" t="s">
        <v>43</v>
      </c>
      <c r="D539" s="5"/>
      <c r="E539" s="5"/>
      <c r="F539" s="5"/>
      <c r="G539" s="5"/>
      <c r="H539" s="5" t="s">
        <v>902</v>
      </c>
      <c r="I539" s="5"/>
      <c r="J539" s="5"/>
      <c r="K539" s="5"/>
      <c r="L539" s="5"/>
      <c r="M539" s="5"/>
      <c r="N539" s="5" t="s">
        <v>66</v>
      </c>
      <c r="O539" s="5"/>
      <c r="P539" s="6">
        <f>IF(A539="","",COUNTA(D539:F539)+COUNTA(G539:G539)+COUNTA(H539:H539)+COUNTA(I539:I539))</f>
        <v>1</v>
      </c>
      <c r="Q539" s="6" t="str">
        <f>IF(A539="","",IF(AND(P539=6,UPPER(L539)&lt;&gt;"Y",C539&lt;&gt;""),"Yes","No"))</f>
        <v>No</v>
      </c>
      <c r="R539" s="5" t="s">
        <v>51</v>
      </c>
      <c r="S539" s="5"/>
      <c r="T539" s="5" t="s">
        <v>1541</v>
      </c>
      <c r="U539" s="5" t="s">
        <v>903</v>
      </c>
      <c r="V539" s="5"/>
      <c r="W539" s="5" t="s">
        <v>43</v>
      </c>
      <c r="X539" s="5"/>
      <c r="Y539" s="5"/>
    </row>
    <row r="540" spans="1:25" x14ac:dyDescent="0.25">
      <c r="A540" s="5" t="s">
        <v>1542</v>
      </c>
      <c r="B540" s="5"/>
      <c r="C540" s="5" t="s">
        <v>43</v>
      </c>
      <c r="D540" s="5"/>
      <c r="E540" s="5"/>
      <c r="F540" s="5"/>
      <c r="G540" s="5"/>
      <c r="H540" s="5" t="s">
        <v>902</v>
      </c>
      <c r="I540" s="5"/>
      <c r="J540" s="5"/>
      <c r="K540" s="5"/>
      <c r="L540" s="5"/>
      <c r="M540" s="5"/>
      <c r="N540" s="5" t="s">
        <v>66</v>
      </c>
      <c r="O540" s="5"/>
      <c r="P540" s="6">
        <f>IF(A540="","",COUNTA(D540:F540)+COUNTA(G540:G540)+COUNTA(H540:H540)+COUNTA(I540:I540))</f>
        <v>1</v>
      </c>
      <c r="Q540" s="6" t="str">
        <f>IF(A540="","",IF(AND(P540=6,UPPER(L540)&lt;&gt;"Y",C540&lt;&gt;""),"Yes","No"))</f>
        <v>No</v>
      </c>
      <c r="R540" s="5" t="s">
        <v>51</v>
      </c>
      <c r="S540" s="5"/>
      <c r="T540" s="5" t="s">
        <v>1543</v>
      </c>
      <c r="U540" s="5" t="s">
        <v>903</v>
      </c>
      <c r="V540" s="5"/>
      <c r="W540" s="5" t="s">
        <v>43</v>
      </c>
      <c r="X540" s="5"/>
      <c r="Y540" s="5"/>
    </row>
    <row r="541" spans="1:25" x14ac:dyDescent="0.25">
      <c r="A541" s="5" t="s">
        <v>1544</v>
      </c>
      <c r="B541" s="5"/>
      <c r="C541" s="5" t="s">
        <v>43</v>
      </c>
      <c r="D541" s="5"/>
      <c r="E541" s="5"/>
      <c r="F541" s="5"/>
      <c r="G541" s="5"/>
      <c r="H541" s="5" t="s">
        <v>902</v>
      </c>
      <c r="I541" s="5"/>
      <c r="J541" s="5"/>
      <c r="K541" s="5"/>
      <c r="L541" s="5"/>
      <c r="M541" s="5"/>
      <c r="N541" s="5" t="s">
        <v>66</v>
      </c>
      <c r="O541" s="5"/>
      <c r="P541" s="6">
        <f>IF(A541="","",COUNTA(D541:F541)+COUNTA(G541:G541)+COUNTA(H541:H541)+COUNTA(I541:I541))</f>
        <v>1</v>
      </c>
      <c r="Q541" s="6" t="str">
        <f>IF(A541="","",IF(AND(P541=6,UPPER(L541)&lt;&gt;"Y",C541&lt;&gt;""),"Yes","No"))</f>
        <v>No</v>
      </c>
      <c r="R541" s="5" t="s">
        <v>51</v>
      </c>
      <c r="S541" s="5"/>
      <c r="T541" s="5" t="s">
        <v>1545</v>
      </c>
      <c r="U541" s="5" t="s">
        <v>903</v>
      </c>
      <c r="V541" s="5"/>
      <c r="W541" s="5" t="s">
        <v>43</v>
      </c>
      <c r="X541" s="5"/>
      <c r="Y541" s="5"/>
    </row>
    <row r="542" spans="1:25" x14ac:dyDescent="0.25">
      <c r="A542" s="5" t="s">
        <v>1547</v>
      </c>
      <c r="B542" s="5"/>
      <c r="C542" s="5" t="s">
        <v>70</v>
      </c>
      <c r="D542" s="5" t="s">
        <v>76</v>
      </c>
      <c r="E542" s="5"/>
      <c r="F542" s="5"/>
      <c r="G542" s="5"/>
      <c r="H542" s="5" t="s">
        <v>83</v>
      </c>
      <c r="I542" s="5" t="s">
        <v>192</v>
      </c>
      <c r="J542" s="5"/>
      <c r="K542" s="5" t="s">
        <v>192</v>
      </c>
      <c r="L542" s="5"/>
      <c r="M542" s="5"/>
      <c r="N542" s="5" t="s">
        <v>50</v>
      </c>
      <c r="O542" s="5"/>
      <c r="P542" s="6">
        <f>IF(A542="","",COUNTA(D542:F542)+COUNTA(G542:G542)+COUNTA(H542:H542)+COUNTA(I542:I542))</f>
        <v>3</v>
      </c>
      <c r="Q542" s="6" t="str">
        <f>IF(A542="","",IF(AND(P542=6,UPPER(L542)&lt;&gt;"Y",C542&lt;&gt;""),"Yes","No"))</f>
        <v>No</v>
      </c>
      <c r="R542" s="5" t="s">
        <v>51</v>
      </c>
      <c r="S542" s="5"/>
      <c r="T542" s="5"/>
      <c r="U542" s="5" t="s">
        <v>83</v>
      </c>
      <c r="V542" s="5"/>
      <c r="W542" s="5"/>
      <c r="X542" s="5"/>
      <c r="Y542" s="5" t="s">
        <v>428</v>
      </c>
    </row>
    <row r="543" spans="1:25" x14ac:dyDescent="0.25">
      <c r="A543" s="5" t="s">
        <v>1548</v>
      </c>
      <c r="B543" s="5"/>
      <c r="C543" s="5" t="s">
        <v>70</v>
      </c>
      <c r="D543" s="5"/>
      <c r="E543" s="5" t="s">
        <v>252</v>
      </c>
      <c r="F543" s="5"/>
      <c r="G543" s="5" t="s">
        <v>57</v>
      </c>
      <c r="H543" s="5"/>
      <c r="I543" s="5"/>
      <c r="J543" s="5"/>
      <c r="K543" s="5"/>
      <c r="L543" s="5"/>
      <c r="M543" s="5"/>
      <c r="N543" s="5" t="s">
        <v>124</v>
      </c>
      <c r="O543" s="5" t="s">
        <v>308</v>
      </c>
      <c r="P543" s="6">
        <f>IF(A543="","",COUNTA(D543:F543)+COUNTA(G543:G543)+COUNTA(H543:H543)+COUNTA(I543:I543))</f>
        <v>2</v>
      </c>
      <c r="Q543" s="6" t="str">
        <f>IF(A543="","",IF(AND(P543=6,UPPER(L543)&lt;&gt;"Y",C543&lt;&gt;""),"Yes","No"))</f>
        <v>No</v>
      </c>
      <c r="R543" s="5" t="s">
        <v>125</v>
      </c>
      <c r="S543" s="5" t="s">
        <v>138</v>
      </c>
      <c r="T543" s="5"/>
      <c r="U543" s="5" t="s">
        <v>309</v>
      </c>
      <c r="V543" s="5" t="s">
        <v>310</v>
      </c>
      <c r="W543" s="5"/>
      <c r="X543" s="5"/>
      <c r="Y543" s="5" t="s">
        <v>311</v>
      </c>
    </row>
    <row r="544" spans="1:25" x14ac:dyDescent="0.25">
      <c r="A544" s="5" t="s">
        <v>1549</v>
      </c>
      <c r="B544" s="5"/>
      <c r="C544" s="5"/>
      <c r="D544" s="5"/>
      <c r="E544" s="5"/>
      <c r="F544" s="5" t="s">
        <v>46</v>
      </c>
      <c r="G544" s="5"/>
      <c r="H544" s="5" t="s">
        <v>77</v>
      </c>
      <c r="I544" s="5"/>
      <c r="J544" s="5"/>
      <c r="K544" s="5"/>
      <c r="L544" s="5"/>
      <c r="M544" s="5"/>
      <c r="N544" s="5" t="s">
        <v>66</v>
      </c>
      <c r="O544" s="5" t="s">
        <v>103</v>
      </c>
      <c r="P544" s="6">
        <f>IF(A544="","",COUNTA(D544:F544)+COUNTA(G544:G544)+COUNTA(H544:H544)+COUNTA(I544:I544))</f>
        <v>2</v>
      </c>
      <c r="Q544" s="6" t="str">
        <f>IF(A544="","",IF(AND(P544=6,UPPER(L544)&lt;&gt;"Y",C544&lt;&gt;""),"Yes","No"))</f>
        <v>No</v>
      </c>
      <c r="R544" s="5" t="s">
        <v>51</v>
      </c>
      <c r="S544" s="5"/>
      <c r="T544" s="5" t="s">
        <v>1550</v>
      </c>
      <c r="U544" s="5" t="s">
        <v>77</v>
      </c>
      <c r="V544" s="5"/>
      <c r="W544" s="5" t="s">
        <v>105</v>
      </c>
      <c r="X544" s="5"/>
      <c r="Y544" s="5" t="s">
        <v>583</v>
      </c>
    </row>
    <row r="545" spans="1:25" x14ac:dyDescent="0.25">
      <c r="A545" s="5" t="s">
        <v>1551</v>
      </c>
      <c r="B545" s="5" t="s">
        <v>1552</v>
      </c>
      <c r="C545" s="5" t="s">
        <v>43</v>
      </c>
      <c r="D545" s="5"/>
      <c r="E545" s="5"/>
      <c r="F545" s="5"/>
      <c r="G545" s="5"/>
      <c r="H545" s="5" t="s">
        <v>902</v>
      </c>
      <c r="I545" s="5" t="s">
        <v>91</v>
      </c>
      <c r="J545" s="5"/>
      <c r="K545" s="5" t="s">
        <v>91</v>
      </c>
      <c r="L545" s="5"/>
      <c r="M545" s="5"/>
      <c r="N545" s="5" t="s">
        <v>50</v>
      </c>
      <c r="O545" s="5"/>
      <c r="P545" s="6">
        <f>IF(A545="","",COUNTA(D545:F545)+COUNTA(G545:G545)+COUNTA(H545:H545)+COUNTA(I545:I545))</f>
        <v>2</v>
      </c>
      <c r="Q545" s="6" t="str">
        <f>IF(A545="","",IF(AND(P545=6,UPPER(L545)&lt;&gt;"Y",C545&lt;&gt;""),"Yes","No"))</f>
        <v>No</v>
      </c>
      <c r="R545" s="5" t="s">
        <v>51</v>
      </c>
      <c r="S545" s="5"/>
      <c r="T545" s="5" t="s">
        <v>1553</v>
      </c>
      <c r="U545" s="5" t="s">
        <v>903</v>
      </c>
      <c r="V545" s="5"/>
      <c r="W545" s="5" t="s">
        <v>43</v>
      </c>
      <c r="X545" s="5"/>
      <c r="Y545" s="5" t="s">
        <v>587</v>
      </c>
    </row>
    <row r="546" spans="1:25" x14ac:dyDescent="0.25">
      <c r="A546" s="5" t="s">
        <v>1554</v>
      </c>
      <c r="B546" s="5"/>
      <c r="C546" s="5" t="s">
        <v>43</v>
      </c>
      <c r="D546" s="5" t="s">
        <v>44</v>
      </c>
      <c r="E546" s="5" t="s">
        <v>45</v>
      </c>
      <c r="F546" s="5" t="s">
        <v>46</v>
      </c>
      <c r="G546" s="5"/>
      <c r="H546" s="5" t="s">
        <v>1089</v>
      </c>
      <c r="I546" s="5" t="s">
        <v>91</v>
      </c>
      <c r="J546" s="5"/>
      <c r="K546" s="5" t="s">
        <v>91</v>
      </c>
      <c r="L546" s="5"/>
      <c r="M546" s="5"/>
      <c r="N546" s="5" t="s">
        <v>50</v>
      </c>
      <c r="O546" s="5"/>
      <c r="P546" s="6">
        <f>IF(A546="","",COUNTA(D546:F546)+COUNTA(G546:G546)+COUNTA(H546:H546)+COUNTA(I546:I546))</f>
        <v>5</v>
      </c>
      <c r="Q546" s="6" t="str">
        <f>IF(A546="","",IF(AND(P546=6,UPPER(L546)&lt;&gt;"Y",C546&lt;&gt;""),"Yes","No"))</f>
        <v>No</v>
      </c>
      <c r="R546" s="5" t="s">
        <v>51</v>
      </c>
      <c r="S546" s="5" t="s">
        <v>1555</v>
      </c>
      <c r="T546" s="5" t="s">
        <v>1556</v>
      </c>
      <c r="U546" s="5" t="s">
        <v>1093</v>
      </c>
      <c r="V546" s="5"/>
      <c r="W546" s="5" t="s">
        <v>43</v>
      </c>
      <c r="X546" s="5"/>
      <c r="Y546" s="5" t="s">
        <v>347</v>
      </c>
    </row>
    <row r="547" spans="1:25" x14ac:dyDescent="0.25">
      <c r="A547" s="5" t="s">
        <v>1557</v>
      </c>
      <c r="B547" s="5"/>
      <c r="C547" s="5"/>
      <c r="D547" s="5"/>
      <c r="E547" s="5"/>
      <c r="F547" s="5"/>
      <c r="G547" s="5"/>
      <c r="H547" s="5"/>
      <c r="I547" s="5"/>
      <c r="J547" s="5"/>
      <c r="K547" s="5"/>
      <c r="L547" s="5"/>
      <c r="M547" s="5"/>
      <c r="N547" s="5" t="s">
        <v>66</v>
      </c>
      <c r="O547" s="5" t="s">
        <v>103</v>
      </c>
      <c r="P547" s="6">
        <f>IF(A547="","",COUNTA(D547:F547)+COUNTA(G547:G547)+COUNTA(H547:H547)+COUNTA(I547:I547))</f>
        <v>0</v>
      </c>
      <c r="Q547" s="6" t="str">
        <f>IF(A547="","",IF(AND(P547=6,UPPER(L547)&lt;&gt;"Y",C547&lt;&gt;""),"Yes","No"))</f>
        <v>No</v>
      </c>
      <c r="R547" s="5" t="s">
        <v>51</v>
      </c>
      <c r="S547" s="5"/>
      <c r="T547" s="5" t="s">
        <v>1558</v>
      </c>
      <c r="U547" s="5"/>
      <c r="V547" s="5"/>
      <c r="W547" s="5" t="s">
        <v>105</v>
      </c>
      <c r="X547" s="5"/>
      <c r="Y547" s="5"/>
    </row>
    <row r="548" spans="1:25" x14ac:dyDescent="0.25">
      <c r="A548" s="5" t="s">
        <v>1559</v>
      </c>
      <c r="B548" s="5"/>
      <c r="C548" s="5" t="s">
        <v>70</v>
      </c>
      <c r="D548" s="5" t="s">
        <v>244</v>
      </c>
      <c r="E548" s="5"/>
      <c r="F548" s="5"/>
      <c r="G548" s="5" t="s">
        <v>47</v>
      </c>
      <c r="H548" s="5" t="s">
        <v>245</v>
      </c>
      <c r="I548" s="5" t="s">
        <v>123</v>
      </c>
      <c r="J548" s="5"/>
      <c r="K548" s="5" t="s">
        <v>123</v>
      </c>
      <c r="L548" s="5"/>
      <c r="M548" s="5"/>
      <c r="N548" s="5" t="s">
        <v>124</v>
      </c>
      <c r="O548" s="5"/>
      <c r="P548" s="6">
        <f>IF(A548="","",COUNTA(D548:F548)+COUNTA(G548:G548)+COUNTA(H548:H548)+COUNTA(I548:I548))</f>
        <v>4</v>
      </c>
      <c r="Q548" s="6" t="str">
        <f>IF(A548="","",IF(AND(P548=6,UPPER(L548)&lt;&gt;"Y",C548&lt;&gt;""),"Yes","No"))</f>
        <v>No</v>
      </c>
      <c r="R548" s="5" t="s">
        <v>125</v>
      </c>
      <c r="S548" s="5"/>
      <c r="T548" s="5"/>
      <c r="U548" s="5" t="s">
        <v>1560</v>
      </c>
      <c r="V548" s="5" t="s">
        <v>47</v>
      </c>
      <c r="W548" s="5"/>
      <c r="X548" s="5"/>
      <c r="Y548" s="5" t="s">
        <v>285</v>
      </c>
    </row>
    <row r="549" spans="1:25" x14ac:dyDescent="0.25">
      <c r="A549" s="5" t="s">
        <v>1561</v>
      </c>
      <c r="B549" s="5"/>
      <c r="C549" s="5" t="s">
        <v>43</v>
      </c>
      <c r="D549" s="5" t="s">
        <v>44</v>
      </c>
      <c r="E549" s="5" t="s">
        <v>331</v>
      </c>
      <c r="F549" s="5" t="s">
        <v>46</v>
      </c>
      <c r="G549" s="5" t="s">
        <v>47</v>
      </c>
      <c r="H549" s="5" t="s">
        <v>1125</v>
      </c>
      <c r="I549" s="5" t="s">
        <v>123</v>
      </c>
      <c r="J549" s="5"/>
      <c r="K549" s="5" t="s">
        <v>123</v>
      </c>
      <c r="L549" s="5"/>
      <c r="M549" s="5"/>
      <c r="N549" s="5" t="s">
        <v>50</v>
      </c>
      <c r="O549" s="5" t="s">
        <v>225</v>
      </c>
      <c r="P549" s="6">
        <f>IF(A549="","",COUNTA(D549:F549)+COUNTA(G549:G549)+COUNTA(H549:H549)+COUNTA(I549:I549))</f>
        <v>6</v>
      </c>
      <c r="Q549" s="6" t="str">
        <f>IF(A549="","",IF(AND(P549=6,UPPER(L549)&lt;&gt;"Y",C549&lt;&gt;""),"Yes","No"))</f>
        <v>Yes</v>
      </c>
      <c r="R549" s="5" t="s">
        <v>51</v>
      </c>
      <c r="S549" s="5"/>
      <c r="T549" s="5" t="s">
        <v>1563</v>
      </c>
      <c r="U549" s="5" t="s">
        <v>1562</v>
      </c>
      <c r="V549" s="5" t="s">
        <v>1433</v>
      </c>
      <c r="W549" s="5" t="s">
        <v>43</v>
      </c>
      <c r="X549" s="5" t="s">
        <v>87</v>
      </c>
      <c r="Y549" s="5" t="s">
        <v>1564</v>
      </c>
    </row>
    <row r="550" spans="1:25" x14ac:dyDescent="0.25">
      <c r="A550" s="5" t="s">
        <v>1901</v>
      </c>
      <c r="B550" s="5" t="s">
        <v>730</v>
      </c>
      <c r="C550" s="5" t="s">
        <v>43</v>
      </c>
      <c r="D550" s="5" t="s">
        <v>76</v>
      </c>
      <c r="E550" s="5" t="s">
        <v>331</v>
      </c>
      <c r="F550" s="5" t="s">
        <v>107</v>
      </c>
      <c r="G550" s="5" t="s">
        <v>57</v>
      </c>
      <c r="H550" s="5" t="s">
        <v>1866</v>
      </c>
      <c r="I550" s="5" t="s">
        <v>72</v>
      </c>
      <c r="J550" s="5" t="s">
        <v>71</v>
      </c>
      <c r="K550" s="5" t="s">
        <v>72</v>
      </c>
      <c r="L550" s="5"/>
      <c r="M550" s="5"/>
      <c r="N550" s="5" t="s">
        <v>124</v>
      </c>
      <c r="O550" s="5"/>
      <c r="P550" s="6">
        <f>IF(A550="","",COUNTA(D550:F550)+COUNTA(G550:G550)+COUNTA(H550:H550)+COUNTA(I550:I550))</f>
        <v>6</v>
      </c>
      <c r="Q550" s="6" t="str">
        <f>IF(A550="","",IF(AND(P550=6,UPPER(L550)&lt;&gt;"Y",C550&lt;&gt;""),"Yes","No"))</f>
        <v>Yes</v>
      </c>
      <c r="R550" s="5" t="s">
        <v>125</v>
      </c>
      <c r="S550" s="5" t="s">
        <v>1883</v>
      </c>
      <c r="T550" s="5" t="s">
        <v>1900</v>
      </c>
      <c r="U550" s="5" t="s">
        <v>332</v>
      </c>
      <c r="V550" s="5" t="s">
        <v>57</v>
      </c>
      <c r="W550" s="5"/>
      <c r="X550" s="5"/>
      <c r="Y550" s="5" t="s">
        <v>1524</v>
      </c>
    </row>
    <row r="551" spans="1:25" x14ac:dyDescent="0.25">
      <c r="A551" s="5" t="s">
        <v>1565</v>
      </c>
      <c r="B551" s="5"/>
      <c r="C551" s="5" t="s">
        <v>128</v>
      </c>
      <c r="D551" s="5"/>
      <c r="E551" s="5"/>
      <c r="F551" s="5"/>
      <c r="G551" s="5"/>
      <c r="H551" s="5" t="s">
        <v>318</v>
      </c>
      <c r="I551" s="5"/>
      <c r="J551" s="5"/>
      <c r="K551" s="5"/>
      <c r="L551" s="5"/>
      <c r="M551" s="5"/>
      <c r="N551" s="5" t="s">
        <v>66</v>
      </c>
      <c r="O551" s="5"/>
      <c r="P551" s="6">
        <f>IF(A551="","",COUNTA(D551:F551)+COUNTA(G551:G551)+COUNTA(H551:H551)+COUNTA(I551:I551))</f>
        <v>1</v>
      </c>
      <c r="Q551" s="6" t="str">
        <f>IF(A551="","",IF(AND(P551=6,UPPER(L551)&lt;&gt;"Y",C551&lt;&gt;""),"Yes","No"))</f>
        <v>No</v>
      </c>
      <c r="R551" s="5" t="s">
        <v>51</v>
      </c>
      <c r="S551" s="5"/>
      <c r="T551" s="5"/>
      <c r="U551" s="5" t="s">
        <v>318</v>
      </c>
      <c r="V551" s="5"/>
      <c r="W551" s="5" t="s">
        <v>319</v>
      </c>
      <c r="X551" s="5" t="s">
        <v>320</v>
      </c>
      <c r="Y551" s="5"/>
    </row>
    <row r="552" spans="1:25" x14ac:dyDescent="0.25">
      <c r="A552" s="5" t="s">
        <v>1566</v>
      </c>
      <c r="B552" s="5"/>
      <c r="C552" s="5" t="s">
        <v>43</v>
      </c>
      <c r="D552" s="5" t="s">
        <v>44</v>
      </c>
      <c r="E552" s="5" t="s">
        <v>45</v>
      </c>
      <c r="F552" s="5" t="s">
        <v>46</v>
      </c>
      <c r="G552" s="5" t="s">
        <v>47</v>
      </c>
      <c r="H552" s="5" t="s">
        <v>214</v>
      </c>
      <c r="I552" s="5" t="s">
        <v>71</v>
      </c>
      <c r="J552" s="5"/>
      <c r="K552" s="5" t="s">
        <v>71</v>
      </c>
      <c r="L552" s="5"/>
      <c r="M552" s="5"/>
      <c r="N552" s="5" t="s">
        <v>50</v>
      </c>
      <c r="O552" s="5"/>
      <c r="P552" s="6">
        <f>IF(A552="","",COUNTA(D552:F552)+COUNTA(G552:G552)+COUNTA(H552:H552)+COUNTA(I552:I552))</f>
        <v>6</v>
      </c>
      <c r="Q552" s="6" t="str">
        <f>IF(A552="","",IF(AND(P552=6,UPPER(L552)&lt;&gt;"Y",C552&lt;&gt;""),"Yes","No"))</f>
        <v>Yes</v>
      </c>
      <c r="R552" s="5" t="s">
        <v>51</v>
      </c>
      <c r="S552" s="5" t="s">
        <v>1567</v>
      </c>
      <c r="T552" s="5" t="s">
        <v>1568</v>
      </c>
      <c r="U552" s="5" t="s">
        <v>214</v>
      </c>
      <c r="V552" s="5" t="s">
        <v>181</v>
      </c>
      <c r="W552" s="5" t="s">
        <v>43</v>
      </c>
      <c r="X552" s="5" t="s">
        <v>675</v>
      </c>
      <c r="Y552" s="5" t="s">
        <v>55</v>
      </c>
    </row>
    <row r="553" spans="1:25" x14ac:dyDescent="0.25">
      <c r="A553" s="5" t="s">
        <v>1569</v>
      </c>
      <c r="B553" s="5"/>
      <c r="C553" s="5" t="s">
        <v>43</v>
      </c>
      <c r="D553" s="5" t="s">
        <v>76</v>
      </c>
      <c r="E553" s="5" t="s">
        <v>45</v>
      </c>
      <c r="F553" s="5" t="s">
        <v>46</v>
      </c>
      <c r="G553" s="5" t="s">
        <v>1851</v>
      </c>
      <c r="H553" s="5" t="s">
        <v>77</v>
      </c>
      <c r="I553" s="5" t="s">
        <v>119</v>
      </c>
      <c r="J553" s="5" t="s">
        <v>91</v>
      </c>
      <c r="K553" s="5" t="s">
        <v>1570</v>
      </c>
      <c r="L553" s="5"/>
      <c r="M553" s="5"/>
      <c r="N553" s="5" t="s">
        <v>66</v>
      </c>
      <c r="O553" s="5"/>
      <c r="P553" s="6">
        <f>IF(A553="","",COUNTA(D553:F553)+COUNTA(G553:G553)+COUNTA(H553:H553)+COUNTA(I553:I553))</f>
        <v>6</v>
      </c>
      <c r="Q553" s="6" t="str">
        <f>IF(A553="","",IF(AND(P553=6,UPPER(L553)&lt;&gt;"Y",C553&lt;&gt;""),"Yes","No"))</f>
        <v>Yes</v>
      </c>
      <c r="R553" s="5" t="s">
        <v>51</v>
      </c>
      <c r="S553" s="5" t="s">
        <v>1571</v>
      </c>
      <c r="T553" s="5" t="s">
        <v>1572</v>
      </c>
      <c r="U553" s="5" t="s">
        <v>77</v>
      </c>
      <c r="V553" s="5"/>
      <c r="W553" s="5" t="s">
        <v>43</v>
      </c>
      <c r="X553" s="5" t="s">
        <v>471</v>
      </c>
      <c r="Y553" s="5" t="s">
        <v>242</v>
      </c>
    </row>
    <row r="554" spans="1:25" x14ac:dyDescent="0.25">
      <c r="A554" s="5" t="s">
        <v>1573</v>
      </c>
      <c r="B554" s="5"/>
      <c r="C554" s="5"/>
      <c r="D554" s="5"/>
      <c r="E554" s="5"/>
      <c r="F554" s="5"/>
      <c r="G554" s="5"/>
      <c r="H554" s="5" t="s">
        <v>557</v>
      </c>
      <c r="I554" s="5" t="s">
        <v>119</v>
      </c>
      <c r="J554" s="5" t="s">
        <v>91</v>
      </c>
      <c r="K554" s="5" t="s">
        <v>1574</v>
      </c>
      <c r="L554" s="5"/>
      <c r="M554" s="5"/>
      <c r="N554" s="5" t="s">
        <v>66</v>
      </c>
      <c r="O554" s="5" t="s">
        <v>103</v>
      </c>
      <c r="P554" s="6">
        <f>IF(A554="","",COUNTA(D554:F554)+COUNTA(G554:G554)+COUNTA(H554:H554)+COUNTA(I554:I554))</f>
        <v>2</v>
      </c>
      <c r="Q554" s="6" t="str">
        <f>IF(A554="","",IF(AND(P554=6,UPPER(L554)&lt;&gt;"Y",C554&lt;&gt;""),"Yes","No"))</f>
        <v>No</v>
      </c>
      <c r="R554" s="5" t="s">
        <v>51</v>
      </c>
      <c r="S554" s="5"/>
      <c r="T554" s="5" t="s">
        <v>1575</v>
      </c>
      <c r="U554" s="5" t="s">
        <v>557</v>
      </c>
      <c r="V554" s="5"/>
      <c r="W554" s="5" t="s">
        <v>105</v>
      </c>
      <c r="X554" s="5"/>
      <c r="Y554" s="5"/>
    </row>
    <row r="555" spans="1:25" x14ac:dyDescent="0.25">
      <c r="A555" s="5" t="s">
        <v>1576</v>
      </c>
      <c r="B555" s="5"/>
      <c r="C555" s="5" t="s">
        <v>70</v>
      </c>
      <c r="D555" s="5"/>
      <c r="E555" s="5"/>
      <c r="F555" s="5"/>
      <c r="G555" s="5"/>
      <c r="H555" s="5" t="s">
        <v>205</v>
      </c>
      <c r="I555" s="5"/>
      <c r="J555" s="5"/>
      <c r="K555" s="5"/>
      <c r="L555" s="5"/>
      <c r="M555" s="5"/>
      <c r="N555" s="5" t="s">
        <v>50</v>
      </c>
      <c r="O555" s="5"/>
      <c r="P555" s="6">
        <f>IF(A555="","",COUNTA(D555:F555)+COUNTA(G555:G555)+COUNTA(H555:H555)+COUNTA(I555:I555))</f>
        <v>1</v>
      </c>
      <c r="Q555" s="6" t="str">
        <f>IF(A555="","",IF(AND(P555=6,UPPER(L555)&lt;&gt;"Y",C555&lt;&gt;""),"Yes","No"))</f>
        <v>No</v>
      </c>
      <c r="R555" s="5" t="s">
        <v>51</v>
      </c>
      <c r="S555" s="5"/>
      <c r="T555" s="5" t="s">
        <v>1577</v>
      </c>
      <c r="U555" s="5" t="s">
        <v>205</v>
      </c>
      <c r="V555" s="5"/>
      <c r="W555" s="5"/>
      <c r="X555" s="5"/>
      <c r="Y555" s="5" t="s">
        <v>74</v>
      </c>
    </row>
    <row r="556" spans="1:25" x14ac:dyDescent="0.25">
      <c r="A556" s="5" t="s">
        <v>1578</v>
      </c>
      <c r="B556" s="5"/>
      <c r="C556" s="5" t="s">
        <v>43</v>
      </c>
      <c r="D556" s="5"/>
      <c r="E556" s="5"/>
      <c r="F556" s="5"/>
      <c r="G556" s="5"/>
      <c r="H556" s="5" t="s">
        <v>902</v>
      </c>
      <c r="I556" s="5"/>
      <c r="J556" s="5"/>
      <c r="K556" s="5"/>
      <c r="L556" s="5"/>
      <c r="M556" s="5"/>
      <c r="N556" s="5" t="s">
        <v>66</v>
      </c>
      <c r="O556" s="5"/>
      <c r="P556" s="6">
        <f>IF(A556="","",COUNTA(D556:F556)+COUNTA(G556:G556)+COUNTA(H556:H556)+COUNTA(I556:I556))</f>
        <v>1</v>
      </c>
      <c r="Q556" s="6" t="str">
        <f>IF(A556="","",IF(AND(P556=6,UPPER(L556)&lt;&gt;"Y",C556&lt;&gt;""),"Yes","No"))</f>
        <v>No</v>
      </c>
      <c r="R556" s="5" t="s">
        <v>51</v>
      </c>
      <c r="S556" s="5"/>
      <c r="T556" s="5" t="s">
        <v>1579</v>
      </c>
      <c r="U556" s="5" t="s">
        <v>903</v>
      </c>
      <c r="V556" s="5"/>
      <c r="W556" s="5" t="s">
        <v>43</v>
      </c>
      <c r="X556" s="5"/>
      <c r="Y556" s="5"/>
    </row>
    <row r="557" spans="1:25" x14ac:dyDescent="0.25">
      <c r="A557" s="5" t="s">
        <v>1580</v>
      </c>
      <c r="B557" s="5"/>
      <c r="C557" s="5" t="s">
        <v>43</v>
      </c>
      <c r="D557" s="5"/>
      <c r="E557" s="5"/>
      <c r="F557" s="5"/>
      <c r="G557" s="5"/>
      <c r="H557" s="5" t="s">
        <v>902</v>
      </c>
      <c r="I557" s="5" t="s">
        <v>133</v>
      </c>
      <c r="J557" s="5"/>
      <c r="K557" s="5" t="s">
        <v>133</v>
      </c>
      <c r="L557" s="5"/>
      <c r="M557" s="5"/>
      <c r="N557" s="5" t="s">
        <v>66</v>
      </c>
      <c r="O557" s="5"/>
      <c r="P557" s="6">
        <f>IF(A557="","",COUNTA(D557:F557)+COUNTA(G557:G557)+COUNTA(H557:H557)+COUNTA(I557:I557))</f>
        <v>2</v>
      </c>
      <c r="Q557" s="6" t="str">
        <f>IF(A557="","",IF(AND(P557=6,UPPER(L557)&lt;&gt;"Y",C557&lt;&gt;""),"Yes","No"))</f>
        <v>No</v>
      </c>
      <c r="R557" s="5" t="s">
        <v>51</v>
      </c>
      <c r="S557" s="5"/>
      <c r="T557" s="5" t="s">
        <v>1581</v>
      </c>
      <c r="U557" s="5" t="s">
        <v>903</v>
      </c>
      <c r="V557" s="5"/>
      <c r="W557" s="5" t="s">
        <v>43</v>
      </c>
      <c r="X557" s="5"/>
      <c r="Y557" s="5"/>
    </row>
    <row r="558" spans="1:25" x14ac:dyDescent="0.25">
      <c r="A558" s="5" t="s">
        <v>1582</v>
      </c>
      <c r="B558" s="5"/>
      <c r="C558" s="5" t="s">
        <v>128</v>
      </c>
      <c r="D558" s="5"/>
      <c r="E558" s="5"/>
      <c r="F558" s="5"/>
      <c r="G558" s="5" t="s">
        <v>57</v>
      </c>
      <c r="H558" s="5" t="s">
        <v>1325</v>
      </c>
      <c r="I558" s="5"/>
      <c r="J558" s="5"/>
      <c r="K558" s="5"/>
      <c r="L558" s="5"/>
      <c r="M558" s="5"/>
      <c r="N558" s="5" t="s">
        <v>66</v>
      </c>
      <c r="O558" s="5"/>
      <c r="P558" s="6">
        <f>IF(A558="","",COUNTA(D558:F558)+COUNTA(G558:G558)+COUNTA(H558:H558)+COUNTA(I558:I558))</f>
        <v>2</v>
      </c>
      <c r="Q558" s="6" t="str">
        <f>IF(A558="","",IF(AND(P558=6,UPPER(L558)&lt;&gt;"Y",C558&lt;&gt;""),"Yes","No"))</f>
        <v>No</v>
      </c>
      <c r="R558" s="5" t="s">
        <v>51</v>
      </c>
      <c r="S558" s="5"/>
      <c r="T558" s="5"/>
      <c r="U558" s="5" t="s">
        <v>1325</v>
      </c>
      <c r="V558" s="5" t="s">
        <v>57</v>
      </c>
      <c r="W558" s="5" t="s">
        <v>128</v>
      </c>
      <c r="X558" s="5" t="s">
        <v>1326</v>
      </c>
      <c r="Y558" s="5"/>
    </row>
    <row r="559" spans="1:25" x14ac:dyDescent="0.25">
      <c r="A559" s="5" t="s">
        <v>1583</v>
      </c>
      <c r="B559" s="5"/>
      <c r="C559" s="5" t="s">
        <v>43</v>
      </c>
      <c r="D559" s="5" t="s">
        <v>44</v>
      </c>
      <c r="E559" s="5"/>
      <c r="F559" s="5"/>
      <c r="G559" s="5" t="s">
        <v>47</v>
      </c>
      <c r="H559" s="5" t="s">
        <v>313</v>
      </c>
      <c r="I559" s="5" t="s">
        <v>72</v>
      </c>
      <c r="J559" s="5" t="s">
        <v>1584</v>
      </c>
      <c r="K559" s="5" t="s">
        <v>1585</v>
      </c>
      <c r="L559" s="5"/>
      <c r="M559" s="5"/>
      <c r="N559" s="5" t="s">
        <v>50</v>
      </c>
      <c r="O559" s="5"/>
      <c r="P559" s="6">
        <f>IF(A559="","",COUNTA(D559:F559)+COUNTA(G559:G559)+COUNTA(H559:H559)+COUNTA(I559:I559))</f>
        <v>4</v>
      </c>
      <c r="Q559" s="6" t="str">
        <f>IF(A559="","",IF(AND(P559=6,UPPER(L559)&lt;&gt;"Y",C559&lt;&gt;""),"Yes","No"))</f>
        <v>No</v>
      </c>
      <c r="R559" s="5" t="s">
        <v>51</v>
      </c>
      <c r="S559" s="5"/>
      <c r="T559" s="5" t="s">
        <v>1586</v>
      </c>
      <c r="U559" s="5" t="s">
        <v>316</v>
      </c>
      <c r="V559" s="5"/>
      <c r="W559" s="5" t="s">
        <v>43</v>
      </c>
      <c r="X559" s="5"/>
      <c r="Y559" s="5" t="s">
        <v>94</v>
      </c>
    </row>
    <row r="560" spans="1:25" x14ac:dyDescent="0.25">
      <c r="A560" s="5" t="s">
        <v>1664</v>
      </c>
      <c r="B560" s="5"/>
      <c r="C560" s="5" t="s">
        <v>43</v>
      </c>
      <c r="D560" s="5" t="s">
        <v>44</v>
      </c>
      <c r="E560" s="5" t="s">
        <v>45</v>
      </c>
      <c r="F560" s="5" t="s">
        <v>46</v>
      </c>
      <c r="G560" s="5" t="s">
        <v>1851</v>
      </c>
      <c r="H560" s="5" t="s">
        <v>1162</v>
      </c>
      <c r="I560" s="5" t="s">
        <v>49</v>
      </c>
      <c r="J560" s="5"/>
      <c r="K560" s="5" t="s">
        <v>49</v>
      </c>
      <c r="L560" s="5"/>
      <c r="M560" s="5"/>
      <c r="N560" s="5" t="s">
        <v>124</v>
      </c>
      <c r="O560" s="5"/>
      <c r="P560" s="6">
        <f>IF(A560="","",COUNTA(D560:F560)+COUNTA(G560:G560)+COUNTA(H560:H560)+COUNTA(I560:I560))</f>
        <v>6</v>
      </c>
      <c r="Q560" s="6" t="str">
        <f>IF(A560="","",IF(AND(P560=6,UPPER(L560)&lt;&gt;"Y",C560&lt;&gt;""),"Yes","No"))</f>
        <v>Yes</v>
      </c>
      <c r="R560" s="5" t="s">
        <v>125</v>
      </c>
      <c r="S560" s="5"/>
      <c r="T560" s="5" t="s">
        <v>1587</v>
      </c>
      <c r="U560" s="5" t="s">
        <v>1665</v>
      </c>
      <c r="V560" s="5"/>
      <c r="W560" s="5" t="s">
        <v>43</v>
      </c>
      <c r="X560" s="5" t="s">
        <v>130</v>
      </c>
      <c r="Y560" s="5" t="s">
        <v>1666</v>
      </c>
    </row>
    <row r="561" spans="1:25" x14ac:dyDescent="0.25">
      <c r="A561" s="5" t="s">
        <v>1588</v>
      </c>
      <c r="B561" s="5"/>
      <c r="C561" s="5" t="s">
        <v>43</v>
      </c>
      <c r="D561" s="5"/>
      <c r="E561" s="5"/>
      <c r="F561" s="5"/>
      <c r="G561" s="5" t="s">
        <v>47</v>
      </c>
      <c r="H561" s="5"/>
      <c r="I561" s="5"/>
      <c r="J561" s="5"/>
      <c r="K561" s="5"/>
      <c r="L561" s="5"/>
      <c r="M561" s="5"/>
      <c r="N561" s="5" t="s">
        <v>50</v>
      </c>
      <c r="O561" s="5"/>
      <c r="P561" s="6">
        <f>IF(A561="","",COUNTA(D561:F561)+COUNTA(G561:G561)+COUNTA(H561:H561)+COUNTA(I561:I561))</f>
        <v>1</v>
      </c>
      <c r="Q561" s="6" t="str">
        <f>IF(A561="","",IF(AND(P561=6,UPPER(L561)&lt;&gt;"Y",C561&lt;&gt;""),"Yes","No"))</f>
        <v>No</v>
      </c>
      <c r="R561" s="5" t="s">
        <v>51</v>
      </c>
      <c r="S561" s="5"/>
      <c r="T561" s="5"/>
      <c r="U561" s="5"/>
      <c r="V561" s="5"/>
      <c r="W561" s="5" t="s">
        <v>43</v>
      </c>
      <c r="X561" s="5" t="s">
        <v>68</v>
      </c>
      <c r="Y561" s="5" t="s">
        <v>547</v>
      </c>
    </row>
    <row r="562" spans="1:25" x14ac:dyDescent="0.25">
      <c r="A562" s="5" t="s">
        <v>1589</v>
      </c>
      <c r="B562" s="5"/>
      <c r="C562" s="5"/>
      <c r="D562" s="5"/>
      <c r="E562" s="5"/>
      <c r="F562" s="5"/>
      <c r="G562" s="5"/>
      <c r="H562" s="5" t="s">
        <v>90</v>
      </c>
      <c r="I562" s="5"/>
      <c r="J562" s="5"/>
      <c r="K562" s="5"/>
      <c r="L562" s="5"/>
      <c r="M562" s="5"/>
      <c r="N562" s="5" t="s">
        <v>66</v>
      </c>
      <c r="O562" s="5" t="s">
        <v>103</v>
      </c>
      <c r="P562" s="6">
        <f>IF(A562="","",COUNTA(D562:F562)+COUNTA(G562:G562)+COUNTA(H562:H562)+COUNTA(I562:I562))</f>
        <v>1</v>
      </c>
      <c r="Q562" s="6" t="str">
        <f>IF(A562="","",IF(AND(P562=6,UPPER(L562)&lt;&gt;"Y",C562&lt;&gt;""),"Yes","No"))</f>
        <v>No</v>
      </c>
      <c r="R562" s="5" t="s">
        <v>51</v>
      </c>
      <c r="S562" s="5"/>
      <c r="T562" s="5"/>
      <c r="U562" s="5" t="s">
        <v>90</v>
      </c>
      <c r="V562" s="5"/>
      <c r="W562" s="5" t="s">
        <v>105</v>
      </c>
      <c r="X562" s="5"/>
      <c r="Y562" s="5"/>
    </row>
    <row r="563" spans="1:25" x14ac:dyDescent="0.25">
      <c r="A563" s="5" t="s">
        <v>1590</v>
      </c>
      <c r="B563" s="5"/>
      <c r="C563" s="5"/>
      <c r="D563" s="5"/>
      <c r="E563" s="5" t="s">
        <v>45</v>
      </c>
      <c r="F563" s="5" t="s">
        <v>46</v>
      </c>
      <c r="G563" s="5"/>
      <c r="H563" s="5" t="s">
        <v>90</v>
      </c>
      <c r="I563" s="5" t="s">
        <v>133</v>
      </c>
      <c r="J563" s="5"/>
      <c r="K563" s="5" t="s">
        <v>133</v>
      </c>
      <c r="L563" s="5"/>
      <c r="M563" s="5"/>
      <c r="N563" s="5" t="s">
        <v>66</v>
      </c>
      <c r="O563" s="5" t="s">
        <v>103</v>
      </c>
      <c r="P563" s="6">
        <f>IF(A563="","",COUNTA(D563:F563)+COUNTA(G563:G563)+COUNTA(H563:H563)+COUNTA(I563:I563))</f>
        <v>4</v>
      </c>
      <c r="Q563" s="6" t="str">
        <f>IF(A563="","",IF(AND(P563=6,UPPER(L563)&lt;&gt;"Y",C563&lt;&gt;""),"Yes","No"))</f>
        <v>No</v>
      </c>
      <c r="R563" s="5" t="s">
        <v>51</v>
      </c>
      <c r="S563" s="5" t="s">
        <v>1591</v>
      </c>
      <c r="T563" s="5" t="s">
        <v>1592</v>
      </c>
      <c r="U563" s="5" t="s">
        <v>90</v>
      </c>
      <c r="V563" s="5"/>
      <c r="W563" s="5" t="s">
        <v>105</v>
      </c>
      <c r="X563" s="5"/>
      <c r="Y563" s="5" t="s">
        <v>203</v>
      </c>
    </row>
    <row r="564" spans="1:25" x14ac:dyDescent="0.25">
      <c r="A564" s="5" t="s">
        <v>1593</v>
      </c>
      <c r="B564" s="5"/>
      <c r="C564" s="5"/>
      <c r="D564" s="5"/>
      <c r="E564" s="5"/>
      <c r="F564" s="5"/>
      <c r="G564" s="5"/>
      <c r="H564" s="5" t="s">
        <v>259</v>
      </c>
      <c r="I564" s="5"/>
      <c r="J564" s="5"/>
      <c r="K564" s="5"/>
      <c r="L564" s="5"/>
      <c r="M564" s="5"/>
      <c r="N564" s="5" t="s">
        <v>66</v>
      </c>
      <c r="O564" s="5" t="s">
        <v>103</v>
      </c>
      <c r="P564" s="6">
        <f>IF(A564="","",COUNTA(D564:F564)+COUNTA(G564:G564)+COUNTA(H564:H564)+COUNTA(I564:I564))</f>
        <v>1</v>
      </c>
      <c r="Q564" s="6" t="str">
        <f>IF(A564="","",IF(AND(P564=6,UPPER(L564)&lt;&gt;"Y",C564&lt;&gt;""),"Yes","No"))</f>
        <v>No</v>
      </c>
      <c r="R564" s="5" t="s">
        <v>51</v>
      </c>
      <c r="S564" s="5"/>
      <c r="T564" s="5"/>
      <c r="U564" s="5" t="s">
        <v>261</v>
      </c>
      <c r="V564" s="5"/>
      <c r="W564" s="5" t="s">
        <v>105</v>
      </c>
      <c r="X564" s="5"/>
      <c r="Y564" s="5"/>
    </row>
    <row r="565" spans="1:25" x14ac:dyDescent="0.25">
      <c r="A565" s="5" t="s">
        <v>1594</v>
      </c>
      <c r="B565" s="5"/>
      <c r="C565" s="5" t="s">
        <v>43</v>
      </c>
      <c r="D565" s="5" t="s">
        <v>76</v>
      </c>
      <c r="E565" s="5"/>
      <c r="F565" s="5"/>
      <c r="G565" s="5" t="s">
        <v>57</v>
      </c>
      <c r="H565" s="5" t="s">
        <v>77</v>
      </c>
      <c r="I565" s="5" t="s">
        <v>192</v>
      </c>
      <c r="J565" s="5"/>
      <c r="K565" s="5" t="s">
        <v>192</v>
      </c>
      <c r="L565" s="5"/>
      <c r="M565" s="5"/>
      <c r="N565" s="5" t="s">
        <v>50</v>
      </c>
      <c r="O565" s="5"/>
      <c r="P565" s="6">
        <f>IF(A565="","",COUNTA(D565:F565)+COUNTA(G565:G565)+COUNTA(H565:H565)+COUNTA(I565:I565))</f>
        <v>4</v>
      </c>
      <c r="Q565" s="6" t="str">
        <f>IF(A565="","",IF(AND(P565=6,UPPER(L565)&lt;&gt;"Y",C565&lt;&gt;""),"Yes","No"))</f>
        <v>No</v>
      </c>
      <c r="R565" s="5" t="s">
        <v>51</v>
      </c>
      <c r="S565" s="5"/>
      <c r="T565" s="5" t="s">
        <v>1595</v>
      </c>
      <c r="U565" s="5" t="s">
        <v>77</v>
      </c>
      <c r="V565" s="5" t="s">
        <v>57</v>
      </c>
      <c r="W565" s="5" t="s">
        <v>43</v>
      </c>
      <c r="X565" s="5"/>
      <c r="Y565" s="5" t="s">
        <v>352</v>
      </c>
    </row>
    <row r="566" spans="1:25" x14ac:dyDescent="0.25">
      <c r="A566" s="5" t="s">
        <v>1596</v>
      </c>
      <c r="B566" s="5"/>
      <c r="C566" s="5" t="s">
        <v>43</v>
      </c>
      <c r="D566" s="5" t="s">
        <v>76</v>
      </c>
      <c r="E566" s="5"/>
      <c r="F566" s="5"/>
      <c r="G566" s="5" t="s">
        <v>57</v>
      </c>
      <c r="H566" s="5" t="s">
        <v>77</v>
      </c>
      <c r="I566" s="5" t="s">
        <v>133</v>
      </c>
      <c r="J566" s="5"/>
      <c r="K566" s="5" t="s">
        <v>133</v>
      </c>
      <c r="L566" s="5"/>
      <c r="M566" s="5"/>
      <c r="N566" s="5" t="s">
        <v>50</v>
      </c>
      <c r="O566" s="5"/>
      <c r="P566" s="6">
        <f>IF(A566="","",COUNTA(D566:F566)+COUNTA(G566:G566)+COUNTA(H566:H566)+COUNTA(I566:I566))</f>
        <v>4</v>
      </c>
      <c r="Q566" s="6" t="str">
        <f>IF(A566="","",IF(AND(P566=6,UPPER(L566)&lt;&gt;"Y",C566&lt;&gt;""),"Yes","No"))</f>
        <v>No</v>
      </c>
      <c r="R566" s="5" t="s">
        <v>51</v>
      </c>
      <c r="S566" s="5"/>
      <c r="T566" s="5" t="s">
        <v>1597</v>
      </c>
      <c r="U566" s="5" t="s">
        <v>77</v>
      </c>
      <c r="V566" s="5"/>
      <c r="W566" s="5" t="s">
        <v>43</v>
      </c>
      <c r="X566" s="5"/>
      <c r="Y566" s="5" t="s">
        <v>64</v>
      </c>
    </row>
    <row r="567" spans="1:25" x14ac:dyDescent="0.25">
      <c r="A567" s="5" t="s">
        <v>1598</v>
      </c>
      <c r="B567" s="5"/>
      <c r="C567" s="5" t="s">
        <v>43</v>
      </c>
      <c r="D567" s="5" t="s">
        <v>44</v>
      </c>
      <c r="E567" s="5" t="s">
        <v>45</v>
      </c>
      <c r="F567" s="5" t="s">
        <v>46</v>
      </c>
      <c r="G567" s="5" t="s">
        <v>47</v>
      </c>
      <c r="H567" s="5" t="s">
        <v>1531</v>
      </c>
      <c r="I567" s="5" t="s">
        <v>192</v>
      </c>
      <c r="J567" s="5" t="s">
        <v>193</v>
      </c>
      <c r="K567" s="5" t="s">
        <v>1599</v>
      </c>
      <c r="L567" s="5"/>
      <c r="M567" s="5"/>
      <c r="N567" s="5" t="s">
        <v>50</v>
      </c>
      <c r="O567" s="5" t="s">
        <v>1600</v>
      </c>
      <c r="P567" s="6">
        <f>IF(A567="","",COUNTA(D567:F567)+COUNTA(G567:G567)+COUNTA(H567:H567)+COUNTA(I567:I567))</f>
        <v>6</v>
      </c>
      <c r="Q567" s="6" t="str">
        <f>IF(A567="","",IF(AND(P567=6,UPPER(L567)&lt;&gt;"Y",C567&lt;&gt;""),"Yes","No"))</f>
        <v>Yes</v>
      </c>
      <c r="R567" s="5" t="s">
        <v>51</v>
      </c>
      <c r="S567" s="5"/>
      <c r="T567" s="5" t="s">
        <v>1601</v>
      </c>
      <c r="U567" s="5" t="s">
        <v>635</v>
      </c>
      <c r="V567" s="5" t="s">
        <v>1602</v>
      </c>
      <c r="W567" s="5" t="s">
        <v>43</v>
      </c>
      <c r="X567" s="5"/>
      <c r="Y567" s="5" t="s">
        <v>390</v>
      </c>
    </row>
    <row r="568" spans="1:25" x14ac:dyDescent="0.25">
      <c r="A568" s="5" t="s">
        <v>1603</v>
      </c>
      <c r="B568" s="5"/>
      <c r="C568" s="5" t="s">
        <v>70</v>
      </c>
      <c r="D568" s="5" t="s">
        <v>76</v>
      </c>
      <c r="E568" s="5"/>
      <c r="F568" s="5"/>
      <c r="G568" s="5"/>
      <c r="H568" s="5" t="s">
        <v>77</v>
      </c>
      <c r="I568" s="5" t="s">
        <v>72</v>
      </c>
      <c r="J568" s="5" t="s">
        <v>71</v>
      </c>
      <c r="K568" s="5" t="s">
        <v>1604</v>
      </c>
      <c r="L568" s="5"/>
      <c r="M568" s="5"/>
      <c r="N568" s="5" t="s">
        <v>50</v>
      </c>
      <c r="O568" s="5"/>
      <c r="P568" s="6">
        <f>IF(A568="","",COUNTA(D568:F568)+COUNTA(G568:G568)+COUNTA(H568:H568)+COUNTA(I568:I568))</f>
        <v>3</v>
      </c>
      <c r="Q568" s="6" t="str">
        <f>IF(A568="","",IF(AND(P568=6,UPPER(L568)&lt;&gt;"Y",C568&lt;&gt;""),"Yes","No"))</f>
        <v>No</v>
      </c>
      <c r="R568" s="5" t="s">
        <v>51</v>
      </c>
      <c r="S568" s="5"/>
      <c r="T568" s="5" t="s">
        <v>1605</v>
      </c>
      <c r="U568" s="5" t="s">
        <v>77</v>
      </c>
      <c r="V568" s="5"/>
      <c r="W568" s="5"/>
      <c r="X568" s="5"/>
      <c r="Y568" s="5" t="s">
        <v>428</v>
      </c>
    </row>
    <row r="569" spans="1:25" x14ac:dyDescent="0.25">
      <c r="A569" s="5" t="s">
        <v>1606</v>
      </c>
      <c r="B569" s="5"/>
      <c r="C569" s="5"/>
      <c r="D569" s="5"/>
      <c r="E569" s="5" t="s">
        <v>45</v>
      </c>
      <c r="F569" s="5" t="s">
        <v>107</v>
      </c>
      <c r="G569" s="5"/>
      <c r="H569" s="5" t="s">
        <v>83</v>
      </c>
      <c r="I569" s="5" t="s">
        <v>59</v>
      </c>
      <c r="J569" s="5" t="s">
        <v>1607</v>
      </c>
      <c r="K569" s="5" t="s">
        <v>1608</v>
      </c>
      <c r="L569" s="5"/>
      <c r="M569" s="5"/>
      <c r="N569" s="5" t="s">
        <v>66</v>
      </c>
      <c r="O569" s="5" t="s">
        <v>103</v>
      </c>
      <c r="P569" s="6">
        <f>IF(A569="","",COUNTA(D569:F569)+COUNTA(G569:G569)+COUNTA(H569:H569)+COUNTA(I569:I569))</f>
        <v>4</v>
      </c>
      <c r="Q569" s="6" t="str">
        <f>IF(A569="","",IF(AND(P569=6,UPPER(L569)&lt;&gt;"Y",C569&lt;&gt;""),"Yes","No"))</f>
        <v>No</v>
      </c>
      <c r="R569" s="5" t="s">
        <v>51</v>
      </c>
      <c r="S569" s="5" t="s">
        <v>1609</v>
      </c>
      <c r="T569" s="5" t="s">
        <v>1610</v>
      </c>
      <c r="U569" s="5" t="s">
        <v>83</v>
      </c>
      <c r="V569" s="5"/>
      <c r="W569" s="5" t="s">
        <v>105</v>
      </c>
      <c r="X569" s="5"/>
      <c r="Y569" s="5" t="s">
        <v>203</v>
      </c>
    </row>
    <row r="570" spans="1:25" x14ac:dyDescent="0.25">
      <c r="A570" s="5" t="s">
        <v>1611</v>
      </c>
      <c r="B570" s="5"/>
      <c r="C570" s="5" t="s">
        <v>43</v>
      </c>
      <c r="D570" s="5" t="s">
        <v>76</v>
      </c>
      <c r="E570" s="5" t="s">
        <v>45</v>
      </c>
      <c r="F570" s="5" t="s">
        <v>46</v>
      </c>
      <c r="G570" s="5" t="s">
        <v>47</v>
      </c>
      <c r="H570" s="5" t="s">
        <v>77</v>
      </c>
      <c r="I570" s="5" t="s">
        <v>71</v>
      </c>
      <c r="J570" s="5"/>
      <c r="K570" s="5" t="s">
        <v>71</v>
      </c>
      <c r="L570" s="5"/>
      <c r="M570" s="5"/>
      <c r="N570" s="5" t="s">
        <v>66</v>
      </c>
      <c r="O570" s="5"/>
      <c r="P570" s="6">
        <f>IF(A570="","",COUNTA(D570:F570)+COUNTA(G570:G570)+COUNTA(H570:H570)+COUNTA(I570:I570))</f>
        <v>6</v>
      </c>
      <c r="Q570" s="6" t="str">
        <f>IF(A570="","",IF(AND(P570=6,UPPER(L570)&lt;&gt;"Y",C570&lt;&gt;""),"Yes","No"))</f>
        <v>Yes</v>
      </c>
      <c r="R570" s="5" t="s">
        <v>51</v>
      </c>
      <c r="S570" s="5" t="s">
        <v>1612</v>
      </c>
      <c r="T570" s="5" t="s">
        <v>1613</v>
      </c>
      <c r="U570" s="5" t="s">
        <v>77</v>
      </c>
      <c r="V570" s="5" t="s">
        <v>67</v>
      </c>
      <c r="W570" s="5" t="s">
        <v>43</v>
      </c>
      <c r="X570" s="5" t="s">
        <v>187</v>
      </c>
      <c r="Y570" s="5" t="s">
        <v>88</v>
      </c>
    </row>
    <row r="571" spans="1:25" x14ac:dyDescent="0.25">
      <c r="A571" s="5" t="s">
        <v>1614</v>
      </c>
      <c r="B571" s="5"/>
      <c r="C571" s="5"/>
      <c r="D571" s="5"/>
      <c r="E571" s="5" t="s">
        <v>45</v>
      </c>
      <c r="F571" s="5" t="s">
        <v>107</v>
      </c>
      <c r="G571" s="5" t="s">
        <v>57</v>
      </c>
      <c r="H571" s="5" t="s">
        <v>58</v>
      </c>
      <c r="I571" s="5"/>
      <c r="J571" s="5"/>
      <c r="K571" s="5"/>
      <c r="L571" s="5"/>
      <c r="M571" s="5"/>
      <c r="N571" s="5" t="s">
        <v>66</v>
      </c>
      <c r="O571" s="5" t="s">
        <v>103</v>
      </c>
      <c r="P571" s="6">
        <f>IF(A571="","",COUNTA(D571:F571)+COUNTA(G571:G571)+COUNTA(H571:H571)+COUNTA(I571:I571))</f>
        <v>4</v>
      </c>
      <c r="Q571" s="6" t="str">
        <f>IF(A571="","",IF(AND(P571=6,UPPER(L571)&lt;&gt;"Y",C571&lt;&gt;""),"Yes","No"))</f>
        <v>No</v>
      </c>
      <c r="R571" s="5" t="s">
        <v>51</v>
      </c>
      <c r="S571" s="5" t="s">
        <v>1615</v>
      </c>
      <c r="T571" s="5" t="s">
        <v>1616</v>
      </c>
      <c r="U571" s="5" t="s">
        <v>63</v>
      </c>
      <c r="V571" s="5" t="s">
        <v>57</v>
      </c>
      <c r="W571" s="5" t="s">
        <v>105</v>
      </c>
      <c r="X571" s="5"/>
      <c r="Y571" s="5" t="s">
        <v>1468</v>
      </c>
    </row>
    <row r="572" spans="1:25" x14ac:dyDescent="0.25">
      <c r="A572" s="5" t="s">
        <v>1617</v>
      </c>
      <c r="B572" s="5"/>
      <c r="C572" s="5" t="s">
        <v>70</v>
      </c>
      <c r="D572" s="5" t="s">
        <v>44</v>
      </c>
      <c r="E572" s="5"/>
      <c r="F572" s="5"/>
      <c r="G572" s="5"/>
      <c r="H572" s="5" t="s">
        <v>132</v>
      </c>
      <c r="I572" s="5" t="s">
        <v>91</v>
      </c>
      <c r="J572" s="5"/>
      <c r="K572" s="5" t="s">
        <v>91</v>
      </c>
      <c r="L572" s="5"/>
      <c r="M572" s="5"/>
      <c r="N572" s="5" t="s">
        <v>50</v>
      </c>
      <c r="O572" s="5"/>
      <c r="P572" s="6">
        <f>IF(A572="","",COUNTA(D572:F572)+COUNTA(G572:G572)+COUNTA(H572:H572)+COUNTA(I572:I572))</f>
        <v>3</v>
      </c>
      <c r="Q572" s="6" t="str">
        <f>IF(A572="","",IF(AND(P572=6,UPPER(L572)&lt;&gt;"Y",C572&lt;&gt;""),"Yes","No"))</f>
        <v>No</v>
      </c>
      <c r="R572" s="5" t="s">
        <v>51</v>
      </c>
      <c r="S572" s="5"/>
      <c r="T572" s="5" t="s">
        <v>1618</v>
      </c>
      <c r="U572" s="5" t="s">
        <v>132</v>
      </c>
      <c r="V572" s="5"/>
      <c r="W572" s="5"/>
      <c r="X572" s="5"/>
      <c r="Y572" s="5" t="s">
        <v>428</v>
      </c>
    </row>
    <row r="573" spans="1:25" x14ac:dyDescent="0.25">
      <c r="A573" s="5" t="s">
        <v>1619</v>
      </c>
      <c r="B573" s="5"/>
      <c r="C573" s="5" t="s">
        <v>43</v>
      </c>
      <c r="D573" s="5" t="s">
        <v>44</v>
      </c>
      <c r="E573" s="5" t="s">
        <v>45</v>
      </c>
      <c r="F573" s="5" t="s">
        <v>46</v>
      </c>
      <c r="G573" s="5" t="s">
        <v>57</v>
      </c>
      <c r="H573" s="5" t="s">
        <v>96</v>
      </c>
      <c r="I573" s="5" t="s">
        <v>133</v>
      </c>
      <c r="J573" s="5"/>
      <c r="K573" s="5" t="s">
        <v>133</v>
      </c>
      <c r="L573" s="5"/>
      <c r="M573" s="5"/>
      <c r="N573" s="5" t="s">
        <v>50</v>
      </c>
      <c r="O573" s="5"/>
      <c r="P573" s="6">
        <f>IF(A573="","",COUNTA(D573:F573)+COUNTA(G573:G573)+COUNTA(H573:H573)+COUNTA(I573:I573))</f>
        <v>6</v>
      </c>
      <c r="Q573" s="6" t="str">
        <f>IF(A573="","",IF(AND(P573=6,UPPER(L573)&lt;&gt;"Y",C573&lt;&gt;""),"Yes","No"))</f>
        <v>Yes</v>
      </c>
      <c r="R573" s="5" t="s">
        <v>51</v>
      </c>
      <c r="S573" s="5"/>
      <c r="T573" s="5" t="s">
        <v>1620</v>
      </c>
      <c r="U573" s="5" t="s">
        <v>99</v>
      </c>
      <c r="V573" s="5"/>
      <c r="W573" s="5" t="s">
        <v>43</v>
      </c>
      <c r="X573" s="5" t="s">
        <v>68</v>
      </c>
      <c r="Y573" s="5" t="s">
        <v>81</v>
      </c>
    </row>
    <row r="574" spans="1:25" x14ac:dyDescent="0.25">
      <c r="A574" s="5" t="s">
        <v>1621</v>
      </c>
      <c r="B574" s="5"/>
      <c r="C574" s="5" t="s">
        <v>43</v>
      </c>
      <c r="D574" s="5" t="s">
        <v>76</v>
      </c>
      <c r="E574" s="5" t="s">
        <v>45</v>
      </c>
      <c r="F574" s="5" t="s">
        <v>46</v>
      </c>
      <c r="G574" s="5" t="s">
        <v>47</v>
      </c>
      <c r="H574" s="5" t="s">
        <v>58</v>
      </c>
      <c r="I574" s="5"/>
      <c r="J574" s="5"/>
      <c r="K574" s="5"/>
      <c r="L574" s="5"/>
      <c r="M574" s="5"/>
      <c r="N574" s="5" t="s">
        <v>50</v>
      </c>
      <c r="O574" s="5"/>
      <c r="P574" s="6">
        <f>IF(A574="","",COUNTA(D574:F574)+COUNTA(G574:G574)+COUNTA(H574:H574)+COUNTA(I574:I574))</f>
        <v>5</v>
      </c>
      <c r="Q574" s="6" t="str">
        <f>IF(A574="","",IF(AND(P574=6,UPPER(L574)&lt;&gt;"Y",C574&lt;&gt;""),"Yes","No"))</f>
        <v>No</v>
      </c>
      <c r="R574" s="5" t="s">
        <v>51</v>
      </c>
      <c r="S574" s="5" t="s">
        <v>1894</v>
      </c>
      <c r="T574" s="5" t="s">
        <v>1893</v>
      </c>
      <c r="U574" s="5"/>
      <c r="V574" s="5" t="s">
        <v>47</v>
      </c>
      <c r="W574" s="5" t="s">
        <v>43</v>
      </c>
      <c r="X574" s="5"/>
      <c r="Y574" s="5" t="s">
        <v>136</v>
      </c>
    </row>
    <row r="575" spans="1:25" x14ac:dyDescent="0.25">
      <c r="A575" s="5" t="s">
        <v>1622</v>
      </c>
      <c r="B575" s="5"/>
      <c r="C575" s="5"/>
      <c r="D575" s="5"/>
      <c r="E575" s="5"/>
      <c r="F575" s="5"/>
      <c r="G575" s="5"/>
      <c r="H575" s="5" t="s">
        <v>557</v>
      </c>
      <c r="I575" s="5" t="s">
        <v>71</v>
      </c>
      <c r="J575" s="5" t="s">
        <v>1623</v>
      </c>
      <c r="K575" s="5" t="s">
        <v>1624</v>
      </c>
      <c r="L575" s="5"/>
      <c r="M575" s="5"/>
      <c r="N575" s="5" t="s">
        <v>66</v>
      </c>
      <c r="O575" s="5" t="s">
        <v>103</v>
      </c>
      <c r="P575" s="6">
        <f>IF(A575="","",COUNTA(D575:F575)+COUNTA(G575:G575)+COUNTA(H575:H575)+COUNTA(I575:I575))</f>
        <v>2</v>
      </c>
      <c r="Q575" s="6" t="str">
        <f>IF(A575="","",IF(AND(P575=6,UPPER(L575)&lt;&gt;"Y",C575&lt;&gt;""),"Yes","No"))</f>
        <v>No</v>
      </c>
      <c r="R575" s="5" t="s">
        <v>51</v>
      </c>
      <c r="S575" s="5"/>
      <c r="T575" s="5" t="s">
        <v>1625</v>
      </c>
      <c r="U575" s="5" t="s">
        <v>557</v>
      </c>
      <c r="V575" s="5"/>
      <c r="W575" s="5" t="s">
        <v>105</v>
      </c>
      <c r="X575" s="5"/>
      <c r="Y575" s="5"/>
    </row>
    <row r="576" spans="1:25" x14ac:dyDescent="0.25">
      <c r="A576" s="5" t="s">
        <v>1626</v>
      </c>
      <c r="B576" s="5"/>
      <c r="C576" s="5" t="s">
        <v>43</v>
      </c>
      <c r="D576" s="5" t="s">
        <v>76</v>
      </c>
      <c r="E576" s="5" t="s">
        <v>45</v>
      </c>
      <c r="F576" s="5" t="s">
        <v>107</v>
      </c>
      <c r="G576" s="5" t="s">
        <v>57</v>
      </c>
      <c r="H576" s="5" t="s">
        <v>83</v>
      </c>
      <c r="I576" s="5" t="s">
        <v>91</v>
      </c>
      <c r="J576" s="5"/>
      <c r="K576" s="5" t="s">
        <v>1627</v>
      </c>
      <c r="L576" s="5"/>
      <c r="M576" s="5"/>
      <c r="N576" s="5" t="s">
        <v>110</v>
      </c>
      <c r="O576" s="5" t="s">
        <v>225</v>
      </c>
      <c r="P576" s="6">
        <f>IF(A576="","",COUNTA(D576:F576)+COUNTA(G576:G576)+COUNTA(H576:H576)+COUNTA(I576:I576))</f>
        <v>6</v>
      </c>
      <c r="Q576" s="6" t="str">
        <f>IF(A576="","",IF(AND(P576=6,UPPER(L576)&lt;&gt;"Y",C576&lt;&gt;""),"Yes","No"))</f>
        <v>Yes</v>
      </c>
      <c r="R576" s="5" t="s">
        <v>112</v>
      </c>
      <c r="S576" s="5" t="s">
        <v>1628</v>
      </c>
      <c r="T576" s="5" t="s">
        <v>1629</v>
      </c>
      <c r="U576" s="5" t="s">
        <v>1630</v>
      </c>
      <c r="V576" s="5" t="s">
        <v>57</v>
      </c>
      <c r="W576" s="5" t="s">
        <v>43</v>
      </c>
      <c r="X576" s="5" t="s">
        <v>471</v>
      </c>
      <c r="Y576" s="5" t="s">
        <v>117</v>
      </c>
    </row>
    <row r="577" spans="1:25" x14ac:dyDescent="0.25">
      <c r="A577" s="5" t="s">
        <v>1631</v>
      </c>
      <c r="B577" s="5"/>
      <c r="C577" s="5" t="s">
        <v>43</v>
      </c>
      <c r="D577" s="5"/>
      <c r="E577" s="5"/>
      <c r="F577" s="5"/>
      <c r="G577" s="5" t="s">
        <v>47</v>
      </c>
      <c r="H577" s="5"/>
      <c r="I577" s="5"/>
      <c r="J577" s="5"/>
      <c r="K577" s="5"/>
      <c r="L577" s="5"/>
      <c r="M577" s="5"/>
      <c r="N577" s="5" t="s">
        <v>66</v>
      </c>
      <c r="O577" s="5"/>
      <c r="P577" s="6">
        <f>IF(A577="","",COUNTA(D577:F577)+COUNTA(G577:G577)+COUNTA(H577:H577)+COUNTA(I577:I577))</f>
        <v>1</v>
      </c>
      <c r="Q577" s="6" t="str">
        <f>IF(A577="","",IF(AND(P577=6,UPPER(L577)&lt;&gt;"Y",C577&lt;&gt;""),"Yes","No"))</f>
        <v>No</v>
      </c>
      <c r="R577" s="5" t="s">
        <v>51</v>
      </c>
      <c r="S577" s="5"/>
      <c r="T577" s="5"/>
      <c r="U577" s="5"/>
      <c r="V577" s="5" t="s">
        <v>67</v>
      </c>
      <c r="W577" s="5" t="s">
        <v>43</v>
      </c>
      <c r="X577" s="5" t="s">
        <v>68</v>
      </c>
      <c r="Y577" s="5"/>
    </row>
    <row r="578" spans="1:25" x14ac:dyDescent="0.25">
      <c r="A578" s="5" t="s">
        <v>1632</v>
      </c>
      <c r="B578" s="5"/>
      <c r="C578" s="5" t="s">
        <v>43</v>
      </c>
      <c r="D578" s="5"/>
      <c r="E578" s="5"/>
      <c r="F578" s="5"/>
      <c r="G578" s="5" t="s">
        <v>47</v>
      </c>
      <c r="H578" s="5"/>
      <c r="I578" s="5"/>
      <c r="J578" s="5"/>
      <c r="K578" s="5"/>
      <c r="L578" s="5"/>
      <c r="M578" s="5"/>
      <c r="N578" s="5" t="s">
        <v>50</v>
      </c>
      <c r="O578" s="5"/>
      <c r="P578" s="6">
        <f>IF(A578="","",COUNTA(D578:F578)+COUNTA(G578:G578)+COUNTA(H578:H578)+COUNTA(I578:I578))</f>
        <v>1</v>
      </c>
      <c r="Q578" s="6" t="str">
        <f>IF(A578="","",IF(AND(P578=6,UPPER(L578)&lt;&gt;"Y",C578&lt;&gt;""),"Yes","No"))</f>
        <v>No</v>
      </c>
      <c r="R578" s="5" t="s">
        <v>51</v>
      </c>
      <c r="S578" s="5"/>
      <c r="T578" s="5"/>
      <c r="U578" s="5"/>
      <c r="V578" s="5"/>
      <c r="W578" s="5" t="s">
        <v>43</v>
      </c>
      <c r="X578" s="5" t="s">
        <v>68</v>
      </c>
      <c r="Y578" s="5" t="s">
        <v>547</v>
      </c>
    </row>
    <row r="579" spans="1:25" x14ac:dyDescent="0.25">
      <c r="A579" s="5" t="s">
        <v>1633</v>
      </c>
      <c r="B579" s="5"/>
      <c r="C579" s="5" t="s">
        <v>70</v>
      </c>
      <c r="D579" s="5" t="s">
        <v>76</v>
      </c>
      <c r="E579" s="5"/>
      <c r="F579" s="5"/>
      <c r="G579" s="5"/>
      <c r="H579" s="5" t="s">
        <v>1634</v>
      </c>
      <c r="I579" s="5" t="s">
        <v>192</v>
      </c>
      <c r="J579" s="5"/>
      <c r="K579" s="5" t="s">
        <v>192</v>
      </c>
      <c r="L579" s="5"/>
      <c r="M579" s="5"/>
      <c r="N579" s="5" t="s">
        <v>50</v>
      </c>
      <c r="O579" s="5"/>
      <c r="P579" s="6">
        <f>IF(A579="","",COUNTA(D579:F579)+COUNTA(G579:G579)+COUNTA(H579:H579)+COUNTA(I579:I579))</f>
        <v>3</v>
      </c>
      <c r="Q579" s="6" t="str">
        <f>IF(A579="","",IF(AND(P579=6,UPPER(L579)&lt;&gt;"Y",C579&lt;&gt;""),"Yes","No"))</f>
        <v>No</v>
      </c>
      <c r="R579" s="5" t="s">
        <v>51</v>
      </c>
      <c r="S579" s="5"/>
      <c r="T579" s="5"/>
      <c r="U579" s="5" t="s">
        <v>1634</v>
      </c>
      <c r="V579" s="5"/>
      <c r="W579" s="5"/>
      <c r="X579" s="5"/>
      <c r="Y579" s="5" t="s">
        <v>189</v>
      </c>
    </row>
    <row r="580" spans="1:25" x14ac:dyDescent="0.25">
      <c r="A580" s="5" t="s">
        <v>1635</v>
      </c>
      <c r="B580" s="5"/>
      <c r="C580" s="5" t="s">
        <v>43</v>
      </c>
      <c r="D580" s="5" t="s">
        <v>76</v>
      </c>
      <c r="E580" s="5" t="s">
        <v>45</v>
      </c>
      <c r="F580" s="5" t="s">
        <v>46</v>
      </c>
      <c r="G580" s="5" t="s">
        <v>57</v>
      </c>
      <c r="H580" s="5" t="s">
        <v>83</v>
      </c>
      <c r="I580" s="5" t="s">
        <v>59</v>
      </c>
      <c r="J580" s="5" t="s">
        <v>193</v>
      </c>
      <c r="K580" s="5" t="s">
        <v>1636</v>
      </c>
      <c r="L580" s="5"/>
      <c r="M580" s="5"/>
      <c r="N580" s="5" t="s">
        <v>50</v>
      </c>
      <c r="O580" s="5"/>
      <c r="P580" s="6">
        <f>IF(A580="","",COUNTA(D580:F580)+COUNTA(G580:G580)+COUNTA(H580:H580)+COUNTA(I580:I580))</f>
        <v>6</v>
      </c>
      <c r="Q580" s="6" t="str">
        <f>IF(A580="","",IF(AND(P580=6,UPPER(L580)&lt;&gt;"Y",C580&lt;&gt;""),"Yes","No"))</f>
        <v>Yes</v>
      </c>
      <c r="R580" s="5" t="s">
        <v>51</v>
      </c>
      <c r="S580" s="5"/>
      <c r="T580" s="5" t="s">
        <v>1637</v>
      </c>
      <c r="U580" s="5" t="s">
        <v>83</v>
      </c>
      <c r="V580" s="5"/>
      <c r="W580" s="5" t="s">
        <v>43</v>
      </c>
      <c r="X580" s="5"/>
      <c r="Y580" s="5" t="s">
        <v>136</v>
      </c>
    </row>
    <row r="581" spans="1:25" x14ac:dyDescent="0.25">
      <c r="A581" s="5" t="s">
        <v>1638</v>
      </c>
      <c r="B581" s="5"/>
      <c r="C581" s="5" t="s">
        <v>70</v>
      </c>
      <c r="D581" s="5" t="s">
        <v>44</v>
      </c>
      <c r="E581" s="5"/>
      <c r="F581" s="5"/>
      <c r="G581" s="5"/>
      <c r="H581" s="5" t="s">
        <v>58</v>
      </c>
      <c r="I581" s="5" t="s">
        <v>49</v>
      </c>
      <c r="J581" s="5" t="s">
        <v>1639</v>
      </c>
      <c r="K581" s="5" t="s">
        <v>1640</v>
      </c>
      <c r="L581" s="5"/>
      <c r="M581" s="5"/>
      <c r="N581" s="5" t="s">
        <v>50</v>
      </c>
      <c r="O581" s="5"/>
      <c r="P581" s="6">
        <f>IF(A581="","",COUNTA(D581:F581)+COUNTA(G581:G581)+COUNTA(H581:H581)+COUNTA(I581:I581))</f>
        <v>3</v>
      </c>
      <c r="Q581" s="6" t="str">
        <f>IF(A581="","",IF(AND(P581=6,UPPER(L581)&lt;&gt;"Y",C581&lt;&gt;""),"Yes","No"))</f>
        <v>No</v>
      </c>
      <c r="R581" s="5" t="s">
        <v>51</v>
      </c>
      <c r="S581" s="5"/>
      <c r="T581" s="5" t="s">
        <v>1641</v>
      </c>
      <c r="U581" s="5" t="s">
        <v>63</v>
      </c>
      <c r="V581" s="5"/>
      <c r="W581" s="5"/>
      <c r="X581" s="5"/>
      <c r="Y581" s="5" t="s">
        <v>428</v>
      </c>
    </row>
    <row r="582" spans="1:25" x14ac:dyDescent="0.25">
      <c r="A582" s="5" t="s">
        <v>1642</v>
      </c>
      <c r="B582" s="5"/>
      <c r="C582" s="5" t="s">
        <v>43</v>
      </c>
      <c r="D582" s="5"/>
      <c r="E582" s="5"/>
      <c r="F582" s="5"/>
      <c r="G582" s="5" t="s">
        <v>47</v>
      </c>
      <c r="H582" s="5"/>
      <c r="I582" s="5"/>
      <c r="J582" s="5"/>
      <c r="K582" s="5"/>
      <c r="L582" s="5"/>
      <c r="M582" s="5"/>
      <c r="N582" s="5" t="s">
        <v>66</v>
      </c>
      <c r="O582" s="5"/>
      <c r="P582" s="6">
        <f>IF(A582="","",COUNTA(D582:F582)+COUNTA(G582:G582)+COUNTA(H582:H582)+COUNTA(I582:I582))</f>
        <v>1</v>
      </c>
      <c r="Q582" s="6" t="str">
        <f>IF(A582="","",IF(AND(P582=6,UPPER(L582)&lt;&gt;"Y",C582&lt;&gt;""),"Yes","No"))</f>
        <v>No</v>
      </c>
      <c r="R582" s="5" t="s">
        <v>51</v>
      </c>
      <c r="S582" s="5"/>
      <c r="T582" s="5"/>
      <c r="U582" s="5"/>
      <c r="V582" s="5" t="s">
        <v>67</v>
      </c>
      <c r="W582" s="5" t="s">
        <v>43</v>
      </c>
      <c r="X582" s="5" t="s">
        <v>68</v>
      </c>
      <c r="Y582" s="5"/>
    </row>
    <row r="583" spans="1:25" x14ac:dyDescent="0.25">
      <c r="A583" s="5" t="s">
        <v>1643</v>
      </c>
      <c r="B583" s="5"/>
      <c r="C583" s="5" t="s">
        <v>43</v>
      </c>
      <c r="D583" s="5" t="s">
        <v>76</v>
      </c>
      <c r="E583" s="5" t="s">
        <v>331</v>
      </c>
      <c r="F583" s="5" t="s">
        <v>46</v>
      </c>
      <c r="G583" s="5" t="s">
        <v>57</v>
      </c>
      <c r="H583" s="5" t="s">
        <v>332</v>
      </c>
      <c r="I583" s="5" t="s">
        <v>72</v>
      </c>
      <c r="J583" s="5" t="s">
        <v>178</v>
      </c>
      <c r="K583" s="5" t="s">
        <v>1644</v>
      </c>
      <c r="L583" s="5"/>
      <c r="M583" s="5"/>
      <c r="N583" s="5" t="s">
        <v>110</v>
      </c>
      <c r="O583" s="5" t="s">
        <v>225</v>
      </c>
      <c r="P583" s="6">
        <f>IF(A583="","",COUNTA(D583:F583)+COUNTA(G583:G583)+COUNTA(H583:H583)+COUNTA(I583:I583))</f>
        <v>6</v>
      </c>
      <c r="Q583" s="6" t="str">
        <f>IF(A583="","",IF(AND(P583=6,UPPER(L583)&lt;&gt;"Y",C583&lt;&gt;""),"Yes","No"))</f>
        <v>Yes</v>
      </c>
      <c r="R583" s="5" t="s">
        <v>112</v>
      </c>
      <c r="S583" s="5"/>
      <c r="T583" s="5" t="s">
        <v>1645</v>
      </c>
      <c r="U583" s="5" t="s">
        <v>746</v>
      </c>
      <c r="V583" s="5"/>
      <c r="W583" s="5" t="s">
        <v>43</v>
      </c>
      <c r="X583" s="5" t="s">
        <v>1646</v>
      </c>
      <c r="Y583" s="5" t="s">
        <v>1647</v>
      </c>
    </row>
    <row r="584" spans="1:25" x14ac:dyDescent="0.25">
      <c r="A584" s="5" t="s">
        <v>1648</v>
      </c>
      <c r="B584" s="5"/>
      <c r="C584" s="5"/>
      <c r="D584" s="5"/>
      <c r="E584" s="5" t="s">
        <v>331</v>
      </c>
      <c r="F584" s="5"/>
      <c r="G584" s="5"/>
      <c r="H584" s="5"/>
      <c r="I584" s="5"/>
      <c r="J584" s="5"/>
      <c r="K584" s="5"/>
      <c r="L584" s="5"/>
      <c r="M584" s="5"/>
      <c r="N584" s="5" t="s">
        <v>66</v>
      </c>
      <c r="O584" s="5" t="s">
        <v>103</v>
      </c>
      <c r="P584" s="6">
        <f>IF(A584="","",COUNTA(D584:F584)+COUNTA(G584:G584)+COUNTA(H584:H584)+COUNTA(I584:I584))</f>
        <v>1</v>
      </c>
      <c r="Q584" s="6" t="str">
        <f>IF(A584="","",IF(AND(P584=6,UPPER(L584)&lt;&gt;"Y",C584&lt;&gt;""),"Yes","No"))</f>
        <v>No</v>
      </c>
      <c r="R584" s="5" t="s">
        <v>51</v>
      </c>
      <c r="S584" s="5"/>
      <c r="T584" s="5" t="s">
        <v>331</v>
      </c>
      <c r="U584" s="5"/>
      <c r="V584" s="5"/>
      <c r="W584" s="5" t="s">
        <v>105</v>
      </c>
      <c r="X584" s="5"/>
      <c r="Y584" s="5" t="s">
        <v>1371</v>
      </c>
    </row>
    <row r="585" spans="1:25" x14ac:dyDescent="0.25">
      <c r="A585" s="5" t="s">
        <v>1649</v>
      </c>
      <c r="B585" s="5"/>
      <c r="C585" s="5"/>
      <c r="D585" s="5"/>
      <c r="E585" s="5"/>
      <c r="F585" s="5"/>
      <c r="G585" s="5"/>
      <c r="H585" s="5" t="s">
        <v>437</v>
      </c>
      <c r="I585" s="5"/>
      <c r="J585" s="5"/>
      <c r="K585" s="5"/>
      <c r="L585" s="5"/>
      <c r="M585" s="5"/>
      <c r="N585" s="5" t="s">
        <v>66</v>
      </c>
      <c r="O585" s="5"/>
      <c r="P585" s="6">
        <f>IF(A585="","",COUNTA(D585:F585)+COUNTA(G585:G585)+COUNTA(H585:H585)+COUNTA(I585:I585))</f>
        <v>1</v>
      </c>
      <c r="Q585" s="6" t="str">
        <f>IF(A585="","",IF(AND(P585=6,UPPER(L585)&lt;&gt;"Y",C585&lt;&gt;""),"Yes","No"))</f>
        <v>No</v>
      </c>
      <c r="R585" s="5" t="s">
        <v>51</v>
      </c>
      <c r="S585" s="5"/>
      <c r="T585" s="5"/>
      <c r="U585" s="5" t="s">
        <v>437</v>
      </c>
      <c r="V585" s="5"/>
      <c r="W585" s="5"/>
      <c r="X585" s="5"/>
      <c r="Y585" s="5"/>
    </row>
    <row r="586" spans="1:25" x14ac:dyDescent="0.25">
      <c r="A586" s="5" t="s">
        <v>1650</v>
      </c>
      <c r="B586" s="5"/>
      <c r="C586" s="5" t="s">
        <v>43</v>
      </c>
      <c r="D586" s="5" t="s">
        <v>44</v>
      </c>
      <c r="E586" s="5" t="s">
        <v>45</v>
      </c>
      <c r="F586" s="5" t="s">
        <v>107</v>
      </c>
      <c r="G586" s="5" t="s">
        <v>47</v>
      </c>
      <c r="H586" s="5" t="s">
        <v>1125</v>
      </c>
      <c r="I586" s="5" t="s">
        <v>91</v>
      </c>
      <c r="J586" s="5"/>
      <c r="K586" s="5" t="s">
        <v>91</v>
      </c>
      <c r="L586" s="5"/>
      <c r="M586" s="5"/>
      <c r="N586" s="5" t="s">
        <v>50</v>
      </c>
      <c r="O586" s="5"/>
      <c r="P586" s="6">
        <f>IF(A586="","",COUNTA(D586:F586)+COUNTA(G586:G586)+COUNTA(H586:H586)+COUNTA(I586:I586))</f>
        <v>6</v>
      </c>
      <c r="Q586" s="6" t="str">
        <f>IF(A586="","",IF(AND(P586=6,UPPER(L586)&lt;&gt;"Y",C586&lt;&gt;""),"Yes","No"))</f>
        <v>Yes</v>
      </c>
      <c r="R586" s="5" t="s">
        <v>51</v>
      </c>
      <c r="S586" s="5"/>
      <c r="T586" s="5" t="s">
        <v>1651</v>
      </c>
      <c r="U586" s="5" t="s">
        <v>1125</v>
      </c>
      <c r="V586" s="5"/>
      <c r="W586" s="5" t="s">
        <v>43</v>
      </c>
      <c r="X586" s="5" t="s">
        <v>68</v>
      </c>
      <c r="Y586" s="5" t="s">
        <v>81</v>
      </c>
    </row>
    <row r="587" spans="1:25" x14ac:dyDescent="0.25">
      <c r="A587" s="5" t="s">
        <v>1652</v>
      </c>
      <c r="B587" s="5"/>
      <c r="C587" s="5" t="s">
        <v>128</v>
      </c>
      <c r="D587" s="5"/>
      <c r="E587" s="5"/>
      <c r="F587" s="5"/>
      <c r="G587" s="5"/>
      <c r="H587" s="5" t="s">
        <v>58</v>
      </c>
      <c r="I587" s="5"/>
      <c r="J587" s="5"/>
      <c r="K587" s="5"/>
      <c r="L587" s="5"/>
      <c r="M587" s="5"/>
      <c r="N587" s="5" t="s">
        <v>66</v>
      </c>
      <c r="O587" s="5"/>
      <c r="P587" s="6">
        <f>IF(A587="","",COUNTA(D587:F587)+COUNTA(G587:G587)+COUNTA(H587:H587)+COUNTA(I587:I587))</f>
        <v>1</v>
      </c>
      <c r="Q587" s="6" t="str">
        <f>IF(A587="","",IF(AND(P587=6,UPPER(L587)&lt;&gt;"Y",C587&lt;&gt;""),"Yes","No"))</f>
        <v>No</v>
      </c>
      <c r="R587" s="5" t="s">
        <v>51</v>
      </c>
      <c r="S587" s="5"/>
      <c r="T587" s="5"/>
      <c r="U587" s="5" t="s">
        <v>63</v>
      </c>
      <c r="V587" s="5"/>
      <c r="W587" s="5" t="s">
        <v>128</v>
      </c>
      <c r="X587" s="5" t="s">
        <v>268</v>
      </c>
      <c r="Y587" s="5"/>
    </row>
    <row r="588" spans="1:25" x14ac:dyDescent="0.25">
      <c r="A588" s="5" t="s">
        <v>1653</v>
      </c>
      <c r="B588" s="5"/>
      <c r="C588" s="5" t="s">
        <v>128</v>
      </c>
      <c r="D588" s="5"/>
      <c r="E588" s="5"/>
      <c r="F588" s="5"/>
      <c r="G588" s="5" t="s">
        <v>57</v>
      </c>
      <c r="H588" s="5"/>
      <c r="I588" s="5"/>
      <c r="J588" s="5"/>
      <c r="K588" s="5"/>
      <c r="L588" s="5"/>
      <c r="M588" s="5"/>
      <c r="N588" s="5" t="s">
        <v>66</v>
      </c>
      <c r="O588" s="5"/>
      <c r="P588" s="6">
        <f>IF(A588="","",COUNTA(D588:F588)+COUNTA(G588:G588)+COUNTA(H588:H588)+COUNTA(I588:I588))</f>
        <v>1</v>
      </c>
      <c r="Q588" s="6" t="str">
        <f>IF(A588="","",IF(AND(P588=6,UPPER(L588)&lt;&gt;"Y",C588&lt;&gt;""),"Yes","No"))</f>
        <v>No</v>
      </c>
      <c r="R588" s="5" t="s">
        <v>51</v>
      </c>
      <c r="S588" s="5"/>
      <c r="T588" s="5" t="s">
        <v>1654</v>
      </c>
      <c r="U588" s="5"/>
      <c r="V588" s="5" t="s">
        <v>57</v>
      </c>
      <c r="W588" s="5" t="s">
        <v>128</v>
      </c>
      <c r="X588" s="5" t="s">
        <v>130</v>
      </c>
      <c r="Y588" s="5"/>
    </row>
    <row r="589" spans="1:25" x14ac:dyDescent="0.25">
      <c r="A589" s="5" t="s">
        <v>1415</v>
      </c>
      <c r="B589" s="5"/>
      <c r="C589" s="5" t="s">
        <v>43</v>
      </c>
      <c r="D589" s="5" t="s">
        <v>44</v>
      </c>
      <c r="E589" s="5" t="s">
        <v>45</v>
      </c>
      <c r="F589" s="5" t="s">
        <v>46</v>
      </c>
      <c r="G589" s="5" t="s">
        <v>47</v>
      </c>
      <c r="H589" s="5" t="s">
        <v>313</v>
      </c>
      <c r="I589" s="5" t="s">
        <v>192</v>
      </c>
      <c r="J589" s="5"/>
      <c r="K589" s="5" t="s">
        <v>192</v>
      </c>
      <c r="L589" s="5"/>
      <c r="M589" s="5"/>
      <c r="N589" s="5" t="s">
        <v>124</v>
      </c>
      <c r="O589" s="5"/>
      <c r="P589" s="6">
        <f>IF(A589="","",COUNTA(D589:F589)+COUNTA(G589:G589)+COUNTA(H589:H589)+COUNTA(I589:I589))</f>
        <v>6</v>
      </c>
      <c r="Q589" s="6" t="str">
        <f>IF(A589="","",IF(AND(P589=6,UPPER(L589)&lt;&gt;"Y",C589&lt;&gt;""),"Yes","No"))</f>
        <v>Yes</v>
      </c>
      <c r="R589" s="5" t="s">
        <v>125</v>
      </c>
      <c r="S589" s="5"/>
      <c r="T589" s="5"/>
      <c r="U589" s="5" t="s">
        <v>1655</v>
      </c>
      <c r="V589" s="5" t="s">
        <v>47</v>
      </c>
      <c r="W589" s="5"/>
      <c r="X589" s="5"/>
      <c r="Y589" s="5" t="s">
        <v>575</v>
      </c>
    </row>
    <row r="590" spans="1:25" x14ac:dyDescent="0.25">
      <c r="A590" s="5" t="s">
        <v>1656</v>
      </c>
      <c r="B590" s="5"/>
      <c r="C590" s="5" t="s">
        <v>43</v>
      </c>
      <c r="D590" s="5" t="s">
        <v>44</v>
      </c>
      <c r="E590" s="5" t="s">
        <v>45</v>
      </c>
      <c r="F590" s="5" t="s">
        <v>107</v>
      </c>
      <c r="G590" s="5" t="s">
        <v>47</v>
      </c>
      <c r="H590" s="5" t="s">
        <v>313</v>
      </c>
      <c r="I590" s="5" t="s">
        <v>91</v>
      </c>
      <c r="J590" s="5"/>
      <c r="K590" s="5" t="s">
        <v>91</v>
      </c>
      <c r="L590" s="5"/>
      <c r="M590" s="5"/>
      <c r="N590" s="5" t="s">
        <v>50</v>
      </c>
      <c r="O590" s="5"/>
      <c r="P590" s="6">
        <f>IF(A590="","",COUNTA(D590:F590)+COUNTA(G590:G590)+COUNTA(H590:H590)+COUNTA(I590:I590))</f>
        <v>6</v>
      </c>
      <c r="Q590" s="6" t="str">
        <f>IF(A590="","",IF(AND(P590=6,UPPER(L590)&lt;&gt;"Y",C590&lt;&gt;""),"Yes","No"))</f>
        <v>Yes</v>
      </c>
      <c r="R590" s="5" t="s">
        <v>51</v>
      </c>
      <c r="S590" s="5"/>
      <c r="T590" s="5" t="s">
        <v>1657</v>
      </c>
      <c r="U590" s="5" t="s">
        <v>316</v>
      </c>
      <c r="V590" s="5"/>
      <c r="W590" s="5" t="s">
        <v>43</v>
      </c>
      <c r="X590" s="5"/>
      <c r="Y590" s="5" t="s">
        <v>1658</v>
      </c>
    </row>
    <row r="591" spans="1:25" x14ac:dyDescent="0.25">
      <c r="A591" s="5" t="s">
        <v>1659</v>
      </c>
      <c r="B591" s="5"/>
      <c r="C591" s="5" t="s">
        <v>43</v>
      </c>
      <c r="D591" s="5"/>
      <c r="E591" s="5"/>
      <c r="F591" s="5"/>
      <c r="G591" s="5" t="s">
        <v>47</v>
      </c>
      <c r="H591" s="5"/>
      <c r="I591" s="5"/>
      <c r="J591" s="5"/>
      <c r="K591" s="5"/>
      <c r="L591" s="5"/>
      <c r="M591" s="5"/>
      <c r="N591" s="5" t="s">
        <v>66</v>
      </c>
      <c r="O591" s="5"/>
      <c r="P591" s="6">
        <f>IF(A591="","",COUNTA(D591:F591)+COUNTA(G591:G591)+COUNTA(H591:H591)+COUNTA(I591:I591))</f>
        <v>1</v>
      </c>
      <c r="Q591" s="6" t="str">
        <f>IF(A591="","",IF(AND(P591=6,UPPER(L591)&lt;&gt;"Y",C591&lt;&gt;""),"Yes","No"))</f>
        <v>No</v>
      </c>
      <c r="R591" s="5" t="s">
        <v>51</v>
      </c>
      <c r="S591" s="5"/>
      <c r="T591" s="5"/>
      <c r="U591" s="5"/>
      <c r="V591" s="5" t="s">
        <v>67</v>
      </c>
      <c r="W591" s="5" t="s">
        <v>43</v>
      </c>
      <c r="X591" s="5" t="s">
        <v>68</v>
      </c>
      <c r="Y591" s="5"/>
    </row>
    <row r="592" spans="1:25" x14ac:dyDescent="0.25">
      <c r="A592" s="5" t="s">
        <v>43</v>
      </c>
      <c r="B592" s="5"/>
      <c r="C592" s="5"/>
      <c r="D592" s="5"/>
      <c r="E592" s="5"/>
      <c r="F592" s="5"/>
      <c r="G592" s="5" t="s">
        <v>47</v>
      </c>
      <c r="H592" s="5"/>
      <c r="I592" s="5"/>
      <c r="J592" s="5"/>
      <c r="K592" s="5"/>
      <c r="L592" s="5"/>
      <c r="M592" s="5"/>
      <c r="N592" s="5" t="s">
        <v>66</v>
      </c>
      <c r="O592" s="5"/>
      <c r="P592" s="6">
        <f>IF(A592="","",COUNTA(D592:F592)+COUNTA(G592:G592)+COUNTA(H592:H592)+COUNTA(I592:I592))</f>
        <v>1</v>
      </c>
      <c r="Q592" s="6" t="str">
        <f>IF(A592="","",IF(AND(P592=6,UPPER(L592)&lt;&gt;"Y",C592&lt;&gt;""),"Yes","No"))</f>
        <v>No</v>
      </c>
      <c r="R592" s="5" t="s">
        <v>51</v>
      </c>
      <c r="S592" s="5"/>
      <c r="T592" s="5"/>
      <c r="U592" s="5"/>
      <c r="V592" s="5" t="s">
        <v>67</v>
      </c>
      <c r="W592" s="5"/>
      <c r="X592" s="5"/>
      <c r="Y592" s="5"/>
    </row>
    <row r="593" spans="1:25" x14ac:dyDescent="0.25">
      <c r="A593" s="5" t="s">
        <v>1660</v>
      </c>
      <c r="B593" s="5"/>
      <c r="C593" s="5" t="s">
        <v>43</v>
      </c>
      <c r="D593" s="5" t="s">
        <v>76</v>
      </c>
      <c r="E593" s="5"/>
      <c r="F593" s="5"/>
      <c r="G593" s="5"/>
      <c r="H593" s="5" t="s">
        <v>83</v>
      </c>
      <c r="I593" s="5" t="s">
        <v>59</v>
      </c>
      <c r="J593" s="5" t="s">
        <v>71</v>
      </c>
      <c r="K593" s="5" t="s">
        <v>1661</v>
      </c>
      <c r="L593" s="5"/>
      <c r="M593" s="5"/>
      <c r="N593" s="5" t="s">
        <v>50</v>
      </c>
      <c r="O593" s="5"/>
      <c r="P593" s="6">
        <f>IF(A593="","",COUNTA(D593:F593)+COUNTA(G593:G593)+COUNTA(H593:H593)+COUNTA(I593:I593))</f>
        <v>3</v>
      </c>
      <c r="Q593" s="6" t="str">
        <f>IF(A593="","",IF(AND(P593=6,UPPER(L593)&lt;&gt;"Y",C593&lt;&gt;""),"Yes","No"))</f>
        <v>No</v>
      </c>
      <c r="R593" s="5" t="s">
        <v>51</v>
      </c>
      <c r="S593" s="5"/>
      <c r="T593" s="5"/>
      <c r="U593" s="5" t="s">
        <v>83</v>
      </c>
      <c r="V593" s="5"/>
      <c r="W593" s="5" t="s">
        <v>43</v>
      </c>
      <c r="X593" s="5"/>
      <c r="Y593" s="5" t="s">
        <v>352</v>
      </c>
    </row>
    <row r="594" spans="1:25" x14ac:dyDescent="0.25">
      <c r="A594" s="5" t="s">
        <v>1662</v>
      </c>
      <c r="B594" s="5"/>
      <c r="C594" s="5" t="s">
        <v>43</v>
      </c>
      <c r="D594" s="5"/>
      <c r="E594" s="5" t="s">
        <v>45</v>
      </c>
      <c r="F594" s="5"/>
      <c r="G594" s="5" t="s">
        <v>47</v>
      </c>
      <c r="H594" s="5"/>
      <c r="I594" s="5"/>
      <c r="J594" s="5"/>
      <c r="K594" s="5"/>
      <c r="L594" s="5"/>
      <c r="M594" s="5"/>
      <c r="N594" s="5" t="s">
        <v>66</v>
      </c>
      <c r="O594" s="5"/>
      <c r="P594" s="6">
        <f>IF(A594="","",COUNTA(D594:F594)+COUNTA(G594:G594)+COUNTA(H594:H594)+COUNTA(I594:I594))</f>
        <v>2</v>
      </c>
      <c r="Q594" s="6" t="str">
        <f>IF(A594="","",IF(AND(P594=6,UPPER(L594)&lt;&gt;"Y",C594&lt;&gt;""),"Yes","No"))</f>
        <v>No</v>
      </c>
      <c r="R594" s="5" t="s">
        <v>51</v>
      </c>
      <c r="S594" s="5" t="s">
        <v>1663</v>
      </c>
      <c r="T594" s="5"/>
      <c r="U594" s="5"/>
      <c r="V594" s="5" t="s">
        <v>67</v>
      </c>
      <c r="W594" s="5" t="s">
        <v>43</v>
      </c>
      <c r="X594" s="5" t="s">
        <v>68</v>
      </c>
      <c r="Y594" s="5" t="s">
        <v>336</v>
      </c>
    </row>
    <row r="595" spans="1:25" x14ac:dyDescent="0.25">
      <c r="A595" s="5"/>
      <c r="B595" s="5"/>
      <c r="C595" s="5"/>
      <c r="D595" s="5"/>
      <c r="E595" s="5"/>
      <c r="F595" s="5"/>
      <c r="G595" s="5"/>
      <c r="H595" s="5"/>
      <c r="I595" s="5"/>
      <c r="J595" s="5"/>
      <c r="K595" s="5"/>
      <c r="L595" s="5"/>
      <c r="M595" s="5"/>
      <c r="N595" s="5"/>
      <c r="O595" s="5"/>
      <c r="P595" s="6" t="str">
        <f>IF(A595="","",COUNTA(D595:F595)+COUNTA(G595:G595)+COUNTA(H595:H595)+COUNTA(I595:I595))</f>
        <v/>
      </c>
      <c r="Q595" s="6" t="str">
        <f>IF(A595="","",IF(AND(P595=6,UPPER(L595)&lt;&gt;"Y",C595&lt;&gt;""),"Yes","No"))</f>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IF(A596="","",COUNTA(D596:F596)+COUNTA(G596:G596)+COUNTA(H596:H596)+COUNTA(I596:I596))</f>
        <v/>
      </c>
      <c r="Q596" s="6" t="str">
        <f>IF(A596="","",IF(AND(P596=6,UPPER(L596)&lt;&gt;"Y",C596&lt;&gt;""),"Yes","No"))</f>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IF(A597="","",COUNTA(D597:F597)+COUNTA(G597:G597)+COUNTA(H597:H597)+COUNTA(I597:I597))</f>
        <v/>
      </c>
      <c r="Q597" s="6" t="str">
        <f>IF(A597="","",IF(AND(P597=6,UPPER(L597)&lt;&gt;"Y",C597&lt;&gt;""),"Yes","No"))</f>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IF(A598="","",COUNTA(D598:F598)+COUNTA(G598:G598)+COUNTA(H598:H598)+COUNTA(I598:I598))</f>
        <v/>
      </c>
      <c r="Q598" s="6" t="str">
        <f>IF(A598="","",IF(AND(P598=6,UPPER(L598)&lt;&gt;"Y",C598&lt;&gt;""),"Yes","No"))</f>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IF(A599="","",COUNTA(D599:F599)+COUNTA(G599:G599)+COUNTA(H599:H599)+COUNTA(I599:I599))</f>
        <v/>
      </c>
      <c r="Q599" s="6" t="str">
        <f>IF(A599="","",IF(AND(P599=6,UPPER(L599)&lt;&gt;"Y",C599&lt;&gt;""),"Yes","No"))</f>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IF(A600="","",COUNTA(D600:F600)+COUNTA(G600:G600)+COUNTA(H600:H600)+COUNTA(I600:I600))</f>
        <v/>
      </c>
      <c r="Q600" s="6" t="str">
        <f>IF(A600="","",IF(AND(P600=6,UPPER(L600)&lt;&gt;"Y",C600&lt;&gt;""),"Yes","No"))</f>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IF(A601="","",COUNTA(D601:F601)+COUNTA(G601:G601)+COUNTA(H601:H601)+COUNTA(I601:I601))</f>
        <v/>
      </c>
      <c r="Q601" s="6" t="str">
        <f>IF(A601="","",IF(AND(P601=6,UPPER(L601)&lt;&gt;"Y",C601&lt;&gt;""),"Yes","No"))</f>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IF(A602="","",COUNTA(D602:F602)+COUNTA(G602:G602)+COUNTA(H602:H602)+COUNTA(I602:I602))</f>
        <v/>
      </c>
      <c r="Q602" s="6" t="str">
        <f>IF(A602="","",IF(AND(P602=6,UPPER(L602)&lt;&gt;"Y",C602&lt;&gt;""),"Yes","No"))</f>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IF(A603="","",COUNTA(D603:F603)+COUNTA(G603:G603)+COUNTA(H603:H603)+COUNTA(I603:I603))</f>
        <v/>
      </c>
      <c r="Q603" s="6" t="str">
        <f>IF(A603="","",IF(AND(P603=6,UPPER(L603)&lt;&gt;"Y",C603&lt;&gt;""),"Yes","No"))</f>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IF(A604="","",COUNTA(D604:F604)+COUNTA(G604:G604)+COUNTA(H604:H604)+COUNTA(I604:I604))</f>
        <v/>
      </c>
      <c r="Q604" s="6" t="str">
        <f>IF(A604="","",IF(AND(P604=6,UPPER(L604)&lt;&gt;"Y",C604&lt;&gt;""),"Yes","No"))</f>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IF(A605="","",COUNTA(D605:F605)+COUNTA(G605:G605)+COUNTA(H605:H605)+COUNTA(I605:I605))</f>
        <v/>
      </c>
      <c r="Q605" s="6" t="str">
        <f>IF(A605="","",IF(AND(P605=6,UPPER(L605)&lt;&gt;"Y",C605&lt;&gt;""),"Yes","No"))</f>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IF(A606="","",COUNTA(D606:F606)+COUNTA(G606:G606)+COUNTA(H606:H606)+COUNTA(I606:I606))</f>
        <v/>
      </c>
      <c r="Q606" s="6" t="str">
        <f>IF(A606="","",IF(AND(P606=6,UPPER(L606)&lt;&gt;"Y",C606&lt;&gt;""),"Yes","No"))</f>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IF(A607="","",COUNTA(D607:F607)+COUNTA(G607:G607)+COUNTA(H607:H607)+COUNTA(I607:I607))</f>
        <v/>
      </c>
      <c r="Q607" s="6" t="str">
        <f>IF(A607="","",IF(AND(P607=6,UPPER(L607)&lt;&gt;"Y",C607&lt;&gt;""),"Yes","No"))</f>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IF(A608="","",COUNTA(D608:F608)+COUNTA(G608:G608)+COUNTA(H608:H608)+COUNTA(I608:I608))</f>
        <v/>
      </c>
      <c r="Q608" s="6" t="str">
        <f>IF(A608="","",IF(AND(P608=6,UPPER(L608)&lt;&gt;"Y",C608&lt;&gt;""),"Yes","No"))</f>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IF(A609="","",COUNTA(D609:F609)+COUNTA(G609:G609)+COUNTA(H609:H609)+COUNTA(I609:I609))</f>
        <v/>
      </c>
      <c r="Q609" s="6" t="str">
        <f>IF(A609="","",IF(AND(P609=6,UPPER(L609)&lt;&gt;"Y",C609&lt;&gt;""),"Yes","No"))</f>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IF(A610="","",COUNTA(D610:F610)+COUNTA(G610:G610)+COUNTA(H610:H610)+COUNTA(I610:I610))</f>
        <v/>
      </c>
      <c r="Q610" s="6" t="str">
        <f>IF(A610="","",IF(AND(P610=6,UPPER(L610)&lt;&gt;"Y",C610&lt;&gt;""),"Yes","No"))</f>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IF(A611="","",COUNTA(D611:F611)+COUNTA(G611:G611)+COUNTA(H611:H611)+COUNTA(I611:I611))</f>
        <v/>
      </c>
      <c r="Q611" s="6" t="str">
        <f>IF(A611="","",IF(AND(P611=6,UPPER(L611)&lt;&gt;"Y",C611&lt;&gt;""),"Yes","No"))</f>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IF(A612="","",COUNTA(D612:F612)+COUNTA(G612:G612)+COUNTA(H612:H612)+COUNTA(I612:I612))</f>
        <v/>
      </c>
      <c r="Q612" s="6" t="str">
        <f>IF(A612="","",IF(AND(P612=6,UPPER(L612)&lt;&gt;"Y",C612&lt;&gt;""),"Yes","No"))</f>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IF(A613="","",COUNTA(D613:F613)+COUNTA(G613:G613)+COUNTA(H613:H613)+COUNTA(I613:I613))</f>
        <v/>
      </c>
      <c r="Q613" s="6" t="str">
        <f>IF(A613="","",IF(AND(P613=6,UPPER(L613)&lt;&gt;"Y",C613&lt;&gt;""),"Yes","No"))</f>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IF(A614="","",COUNTA(D614:F614)+COUNTA(G614:G614)+COUNTA(H614:H614)+COUNTA(I614:I614))</f>
        <v/>
      </c>
      <c r="Q614" s="6" t="str">
        <f>IF(A614="","",IF(AND(P614=6,UPPER(L614)&lt;&gt;"Y",C614&lt;&gt;""),"Yes","No"))</f>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IF(A615="","",COUNTA(D615:F615)+COUNTA(G615:G615)+COUNTA(H615:H615)+COUNTA(I615:I615))</f>
        <v/>
      </c>
      <c r="Q615" s="6" t="str">
        <f>IF(A615="","",IF(AND(P615=6,UPPER(L615)&lt;&gt;"Y",C615&lt;&gt;""),"Yes","No"))</f>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IF(A616="","",COUNTA(D616:F616)+COUNTA(G616:G616)+COUNTA(H616:H616)+COUNTA(I616:I616))</f>
        <v/>
      </c>
      <c r="Q616" s="6" t="str">
        <f>IF(A616="","",IF(AND(P616=6,UPPER(L616)&lt;&gt;"Y",C616&lt;&gt;""),"Yes","No"))</f>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IF(A617="","",COUNTA(D617:F617)+COUNTA(G617:G617)+COUNTA(H617:H617)+COUNTA(I617:I617))</f>
        <v/>
      </c>
      <c r="Q617" s="6" t="str">
        <f>IF(A617="","",IF(AND(P617=6,UPPER(L617)&lt;&gt;"Y",C617&lt;&gt;""),"Yes","No"))</f>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IF(A618="","",COUNTA(D618:F618)+COUNTA(G618:G618)+COUNTA(H618:H618)+COUNTA(I618:I618))</f>
        <v/>
      </c>
      <c r="Q618" s="6" t="str">
        <f>IF(A618="","",IF(AND(P618=6,UPPER(L618)&lt;&gt;"Y",C618&lt;&gt;""),"Yes","No"))</f>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IF(A619="","",COUNTA(D619:F619)+COUNTA(G619:G619)+COUNTA(H619:H619)+COUNTA(I619:I619))</f>
        <v/>
      </c>
      <c r="Q619" s="6" t="str">
        <f>IF(A619="","",IF(AND(P619=6,UPPER(L619)&lt;&gt;"Y",C619&lt;&gt;""),"Yes","No"))</f>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IF(A620="","",COUNTA(D620:F620)+COUNTA(G620:G620)+COUNTA(H620:H620)+COUNTA(I620:I620))</f>
        <v/>
      </c>
      <c r="Q620" s="6" t="str">
        <f>IF(A620="","",IF(AND(P620=6,UPPER(L620)&lt;&gt;"Y",C620&lt;&gt;""),"Yes","No"))</f>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IF(A621="","",COUNTA(D621:F621)+COUNTA(G621:G621)+COUNTA(H621:H621)+COUNTA(I621:I621))</f>
        <v/>
      </c>
      <c r="Q621" s="6" t="str">
        <f>IF(A621="","",IF(AND(P621=6,UPPER(L621)&lt;&gt;"Y",C621&lt;&gt;""),"Yes","No"))</f>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IF(A622="","",COUNTA(D622:F622)+COUNTA(G622:G622)+COUNTA(H622:H622)+COUNTA(I622:I622))</f>
        <v/>
      </c>
      <c r="Q622" s="6" t="str">
        <f>IF(A622="","",IF(AND(P622=6,UPPER(L622)&lt;&gt;"Y",C622&lt;&gt;""),"Yes","No"))</f>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IF(A623="","",COUNTA(D623:F623)+COUNTA(G623:G623)+COUNTA(H623:H623)+COUNTA(I623:I623))</f>
        <v/>
      </c>
      <c r="Q623" s="6" t="str">
        <f>IF(A623="","",IF(AND(P623=6,UPPER(L623)&lt;&gt;"Y",C623&lt;&gt;""),"Yes","No"))</f>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IF(A624="","",COUNTA(D624:F624)+COUNTA(G624:G624)+COUNTA(H624:H624)+COUNTA(I624:I624))</f>
        <v/>
      </c>
      <c r="Q624" s="6" t="str">
        <f>IF(A624="","",IF(AND(P624=6,UPPER(L624)&lt;&gt;"Y",C624&lt;&gt;""),"Yes","No"))</f>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IF(A625="","",COUNTA(D625:F625)+COUNTA(G625:G625)+COUNTA(H625:H625)+COUNTA(I625:I625))</f>
        <v/>
      </c>
      <c r="Q625" s="6" t="str">
        <f>IF(A625="","",IF(AND(P625=6,UPPER(L625)&lt;&gt;"Y",C625&lt;&gt;""),"Yes","No"))</f>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IF(A626="","",COUNTA(D626:F626)+COUNTA(G626:G626)+COUNTA(H626:H626)+COUNTA(I626:I626))</f>
        <v/>
      </c>
      <c r="Q626" s="6" t="str">
        <f>IF(A626="","",IF(AND(P626=6,UPPER(L626)&lt;&gt;"Y",C626&lt;&gt;""),"Yes","No"))</f>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IF(A627="","",COUNTA(D627:F627)+COUNTA(G627:G627)+COUNTA(H627:H627)+COUNTA(I627:I627))</f>
        <v/>
      </c>
      <c r="Q627" s="6" t="str">
        <f>IF(A627="","",IF(AND(P627=6,UPPER(L627)&lt;&gt;"Y",C627&lt;&gt;""),"Yes","No"))</f>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IF(A628="","",COUNTA(D628:F628)+COUNTA(G628:G628)+COUNTA(H628:H628)+COUNTA(I628:I628))</f>
        <v/>
      </c>
      <c r="Q628" s="6" t="str">
        <f>IF(A628="","",IF(AND(P628=6,UPPER(L628)&lt;&gt;"Y",C628&lt;&gt;""),"Yes","No"))</f>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IF(A629="","",COUNTA(D629:F629)+COUNTA(G629:G629)+COUNTA(H629:H629)+COUNTA(I629:I629))</f>
        <v/>
      </c>
      <c r="Q629" s="6" t="str">
        <f>IF(A629="","",IF(AND(P629=6,UPPER(L629)&lt;&gt;"Y",C629&lt;&gt;""),"Yes","No"))</f>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IF(A630="","",COUNTA(D630:F630)+COUNTA(G630:G630)+COUNTA(H630:H630)+COUNTA(I630:I630))</f>
        <v/>
      </c>
      <c r="Q630" s="6" t="str">
        <f>IF(A630="","",IF(AND(P630=6,UPPER(L630)&lt;&gt;"Y",C630&lt;&gt;""),"Yes","No"))</f>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IF(A631="","",COUNTA(D631:F631)+COUNTA(G631:G631)+COUNTA(H631:H631)+COUNTA(I631:I631))</f>
        <v/>
      </c>
      <c r="Q631" s="6" t="str">
        <f>IF(A631="","",IF(AND(P631=6,UPPER(L631)&lt;&gt;"Y",C631&lt;&gt;""),"Yes","No"))</f>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IF(A632="","",COUNTA(D632:F632)+COUNTA(G632:G632)+COUNTA(H632:H632)+COUNTA(I632:I632))</f>
        <v/>
      </c>
      <c r="Q632" s="6" t="str">
        <f>IF(A632="","",IF(AND(P632=6,UPPER(L632)&lt;&gt;"Y",C632&lt;&gt;""),"Yes","No"))</f>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IF(A633="","",COUNTA(D633:F633)+COUNTA(G633:G633)+COUNTA(H633:H633)+COUNTA(I633:I633))</f>
        <v/>
      </c>
      <c r="Q633" s="6" t="str">
        <f>IF(A633="","",IF(AND(P633=6,UPPER(L633)&lt;&gt;"Y",C633&lt;&gt;""),"Yes","No"))</f>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IF(A634="","",COUNTA(D634:F634)+COUNTA(G634:G634)+COUNTA(H634:H634)+COUNTA(I634:I634))</f>
        <v/>
      </c>
      <c r="Q634" s="6" t="str">
        <f>IF(A634="","",IF(AND(P634=6,UPPER(L634)&lt;&gt;"Y",C634&lt;&gt;""),"Yes","No"))</f>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IF(A635="","",COUNTA(D635:F635)+COUNTA(G635:G635)+COUNTA(H635:H635)+COUNTA(I635:I635))</f>
        <v/>
      </c>
      <c r="Q635" s="6" t="str">
        <f>IF(A635="","",IF(AND(P635=6,UPPER(L635)&lt;&gt;"Y",C635&lt;&gt;""),"Yes","No"))</f>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IF(A636="","",COUNTA(D636:F636)+COUNTA(G636:G636)+COUNTA(H636:H636)+COUNTA(I636:I636))</f>
        <v/>
      </c>
      <c r="Q636" s="6" t="str">
        <f>IF(A636="","",IF(AND(P636=6,UPPER(L636)&lt;&gt;"Y",C636&lt;&gt;""),"Yes","No"))</f>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IF(A637="","",COUNTA(D637:F637)+COUNTA(G637:G637)+COUNTA(H637:H637)+COUNTA(I637:I637))</f>
        <v/>
      </c>
      <c r="Q637" s="6" t="str">
        <f>IF(A637="","",IF(AND(P637=6,UPPER(L637)&lt;&gt;"Y",C637&lt;&gt;""),"Yes","No"))</f>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IF(A638="","",COUNTA(D638:F638)+COUNTA(G638:G638)+COUNTA(H638:H638)+COUNTA(I638:I638))</f>
        <v/>
      </c>
      <c r="Q638" s="6" t="str">
        <f>IF(A638="","",IF(AND(P638=6,UPPER(L638)&lt;&gt;"Y",C638&lt;&gt;""),"Yes","No"))</f>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IF(A639="","",COUNTA(D639:F639)+COUNTA(G639:G639)+COUNTA(H639:H639)+COUNTA(I639:I639))</f>
        <v/>
      </c>
      <c r="Q639" s="6" t="str">
        <f>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IF(A640="","",COUNTA(D640:F640)+COUNTA(G640:G640)+COUNTA(H640:H640)+COUNTA(I640:I640))</f>
        <v/>
      </c>
      <c r="Q640" s="6" t="str">
        <f>IF(A640="","",IF(AND(P640=6,UPPER(L640)&lt;&gt;"Y",C640&lt;&gt;""),"Yes","No"))</f>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IF(A641="","",COUNTA(D641:F641)+COUNTA(G641:G641)+COUNTA(H641:H641)+COUNTA(I641:I641))</f>
        <v/>
      </c>
      <c r="Q641" s="6" t="str">
        <f>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IF(A642="","",COUNTA(D642:F642)+COUNTA(G642:G642)+COUNTA(H642:H642)+COUNTA(I642:I642))</f>
        <v/>
      </c>
      <c r="Q642" s="6" t="str">
        <f>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IF(A643="","",COUNTA(D643:F643)+COUNTA(G643:G643)+COUNTA(H643:H643)+COUNTA(I643:I643))</f>
        <v/>
      </c>
      <c r="Q643" s="6" t="str">
        <f>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IF(A644="","",COUNTA(D644:F644)+COUNTA(G644:G644)+COUNTA(H644:H644)+COUNTA(I644:I644))</f>
        <v/>
      </c>
      <c r="Q644" s="6" t="str">
        <f>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IF(A645="","",COUNTA(D645:F645)+COUNTA(G645:G645)+COUNTA(H645:H645)+COUNTA(I645:I645))</f>
        <v/>
      </c>
      <c r="Q645" s="6" t="str">
        <f>IF(A645="","",IF(AND(P645=6,UPPER(L645)&lt;&gt;"Y",C645&lt;&gt;""),"Yes","No"))</f>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IF(A646="","",COUNTA(D646:F646)+COUNTA(G646:G646)+COUNTA(H646:H646)+COUNTA(I646:I646))</f>
        <v/>
      </c>
      <c r="Q646" s="6" t="str">
        <f>IF(A646="","",IF(AND(P646=6,UPPER(L646)&lt;&gt;"Y",C646&lt;&gt;""),"Yes","No"))</f>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IF(A647="","",COUNTA(D647:F647)+COUNTA(G647:G647)+COUNTA(H647:H647)+COUNTA(I647:I647))</f>
        <v/>
      </c>
      <c r="Q647" s="6" t="str">
        <f>IF(A647="","",IF(AND(P647=6,UPPER(L647)&lt;&gt;"Y",C647&lt;&gt;""),"Yes","No"))</f>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IF(A648="","",COUNTA(D648:F648)+COUNTA(G648:G648)+COUNTA(H648:H648)+COUNTA(I648:I648))</f>
        <v/>
      </c>
      <c r="Q648" s="6" t="str">
        <f>IF(A648="","",IF(AND(P648=6,UPPER(L648)&lt;&gt;"Y",C648&lt;&gt;""),"Yes","No"))</f>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IF(A649="","",COUNTA(D649:F649)+COUNTA(G649:G649)+COUNTA(H649:H649)+COUNTA(I649:I649))</f>
        <v/>
      </c>
      <c r="Q649" s="6" t="str">
        <f>IF(A649="","",IF(AND(P649=6,UPPER(L649)&lt;&gt;"Y",C649&lt;&gt;""),"Yes","No"))</f>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IF(A650="","",COUNTA(D650:F650)+COUNTA(G650:G650)+COUNTA(H650:H650)+COUNTA(I650:I650))</f>
        <v/>
      </c>
      <c r="Q650" s="6" t="str">
        <f>IF(A650="","",IF(AND(P650=6,UPPER(L650)&lt;&gt;"Y",C650&lt;&gt;""),"Yes","No"))</f>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IF(A651="","",COUNTA(D651:F651)+COUNTA(G651:G651)+COUNTA(H651:H651)+COUNTA(I651:I651))</f>
        <v/>
      </c>
      <c r="Q651" s="6" t="str">
        <f>IF(A651="","",IF(AND(P651=6,UPPER(L651)&lt;&gt;"Y",C651&lt;&gt;""),"Yes","No"))</f>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IF(A652="","",COUNTA(D652:F652)+COUNTA(G652:G652)+COUNTA(H652:H652)+COUNTA(I652:I652))</f>
        <v/>
      </c>
      <c r="Q652" s="6" t="str">
        <f>IF(A652="","",IF(AND(P652=6,UPPER(L652)&lt;&gt;"Y",C652&lt;&gt;""),"Yes","No"))</f>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IF(A653="","",COUNTA(D653:F653)+COUNTA(G653:G653)+COUNTA(H653:H653)+COUNTA(I653:I653))</f>
        <v/>
      </c>
      <c r="Q653" s="6" t="str">
        <f>IF(A653="","",IF(AND(P653=6,UPPER(L653)&lt;&gt;"Y",C653&lt;&gt;""),"Yes","No"))</f>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IF(A654="","",COUNTA(D654:F654)+COUNTA(G654:G654)+COUNTA(H654:H654)+COUNTA(I654:I654))</f>
        <v/>
      </c>
      <c r="Q654" s="6" t="str">
        <f>IF(A654="","",IF(AND(P654=6,UPPER(L654)&lt;&gt;"Y",C654&lt;&gt;""),"Yes","No"))</f>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IF(A655="","",COUNTA(D655:F655)+COUNTA(G655:G655)+COUNTA(H655:H655)+COUNTA(I655:I655))</f>
        <v/>
      </c>
      <c r="Q655" s="6" t="str">
        <f>IF(A655="","",IF(AND(P655=6,UPPER(L655)&lt;&gt;"Y",C655&lt;&gt;""),"Yes","No"))</f>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IF(A656="","",COUNTA(D656:F656)+COUNTA(G656:G656)+COUNTA(H656:H656)+COUNTA(I656:I656))</f>
        <v/>
      </c>
      <c r="Q656" s="6" t="str">
        <f>IF(A656="","",IF(AND(P656=6,UPPER(L656)&lt;&gt;"Y",C656&lt;&gt;""),"Yes","No"))</f>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IF(A657="","",COUNTA(D657:F657)+COUNTA(G657:G657)+COUNTA(H657:H657)+COUNTA(I657:I657))</f>
        <v/>
      </c>
      <c r="Q657" s="6" t="str">
        <f>IF(A657="","",IF(AND(P657=6,UPPER(L657)&lt;&gt;"Y",C657&lt;&gt;""),"Yes","No"))</f>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IF(A658="","",COUNTA(D658:F658)+COUNTA(G658:G658)+COUNTA(H658:H658)+COUNTA(I658:I658))</f>
        <v/>
      </c>
      <c r="Q658" s="6" t="str">
        <f>IF(A658="","",IF(AND(P658=6,UPPER(L658)&lt;&gt;"Y",C658&lt;&gt;""),"Yes","No"))</f>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IF(A659="","",COUNTA(D659:F659)+COUNTA(G659:G659)+COUNTA(H659:H659)+COUNTA(I659:I659))</f>
        <v/>
      </c>
      <c r="Q659" s="6" t="str">
        <f>IF(A659="","",IF(AND(P659=6,UPPER(L659)&lt;&gt;"Y",C659&lt;&gt;""),"Yes","No"))</f>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IF(A660="","",COUNTA(D660:F660)+COUNTA(G660:G660)+COUNTA(H660:H660)+COUNTA(I660:I660))</f>
        <v/>
      </c>
      <c r="Q660" s="6" t="str">
        <f>IF(A660="","",IF(AND(P660=6,UPPER(L660)&lt;&gt;"Y",C660&lt;&gt;""),"Yes","No"))</f>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IF(A661="","",COUNTA(D661:F661)+COUNTA(G661:G661)+COUNTA(H661:H661)+COUNTA(I661:I661))</f>
        <v/>
      </c>
      <c r="Q661" s="6" t="str">
        <f>IF(A661="","",IF(AND(P661=6,UPPER(L661)&lt;&gt;"Y",C661&lt;&gt;""),"Yes","No"))</f>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IF(A662="","",COUNTA(D662:F662)+COUNTA(G662:G662)+COUNTA(H662:H662)+COUNTA(I662:I662))</f>
        <v/>
      </c>
      <c r="Q662" s="6" t="str">
        <f>IF(A662="","",IF(AND(P662=6,UPPER(L662)&lt;&gt;"Y",C662&lt;&gt;""),"Yes","No"))</f>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IF(A663="","",COUNTA(D663:F663)+COUNTA(G663:G663)+COUNTA(H663:H663)+COUNTA(I663:I663))</f>
        <v/>
      </c>
      <c r="Q663" s="6" t="str">
        <f>IF(A663="","",IF(AND(P663=6,UPPER(L663)&lt;&gt;"Y",C663&lt;&gt;""),"Yes","No"))</f>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IF(A664="","",COUNTA(D664:F664)+COUNTA(G664:G664)+COUNTA(H664:H664)+COUNTA(I664:I664))</f>
        <v/>
      </c>
      <c r="Q664" s="6" t="str">
        <f>IF(A664="","",IF(AND(P664=6,UPPER(L664)&lt;&gt;"Y",C664&lt;&gt;""),"Yes","No"))</f>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IF(A665="","",COUNTA(D665:F665)+COUNTA(G665:G665)+COUNTA(H665:H665)+COUNTA(I665:I665))</f>
        <v/>
      </c>
      <c r="Q665" s="6" t="str">
        <f>IF(A665="","",IF(AND(P665=6,UPPER(L665)&lt;&gt;"Y",C665&lt;&gt;""),"Yes","No"))</f>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IF(A666="","",COUNTA(D666:F666)+COUNTA(G666:G666)+COUNTA(H666:H666)+COUNTA(I666:I666))</f>
        <v/>
      </c>
      <c r="Q666" s="6" t="str">
        <f>IF(A666="","",IF(AND(P666=6,UPPER(L666)&lt;&gt;"Y",C666&lt;&gt;""),"Yes","No"))</f>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IF(A667="","",COUNTA(D667:F667)+COUNTA(G667:G667)+COUNTA(H667:H667)+COUNTA(I667:I667))</f>
        <v/>
      </c>
      <c r="Q667" s="6" t="str">
        <f>IF(A667="","",IF(AND(P667=6,UPPER(L667)&lt;&gt;"Y",C667&lt;&gt;""),"Yes","No"))</f>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IF(A668="","",COUNTA(D668:F668)+COUNTA(G668:G668)+COUNTA(H668:H668)+COUNTA(I668:I668))</f>
        <v/>
      </c>
      <c r="Q668" s="6" t="str">
        <f>IF(A668="","",IF(AND(P668=6,UPPER(L668)&lt;&gt;"Y",C668&lt;&gt;""),"Yes","No"))</f>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IF(A669="","",COUNTA(D669:F669)+COUNTA(G669:G669)+COUNTA(H669:H669)+COUNTA(I669:I669))</f>
        <v/>
      </c>
      <c r="Q669" s="6" t="str">
        <f>IF(A669="","",IF(AND(P669=6,UPPER(L669)&lt;&gt;"Y",C669&lt;&gt;""),"Yes","No"))</f>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IF(A670="","",COUNTA(D670:F670)+COUNTA(G670:G670)+COUNTA(H670:H670)+COUNTA(I670:I670))</f>
        <v/>
      </c>
      <c r="Q670" s="6" t="str">
        <f>IF(A670="","",IF(AND(P670=6,UPPER(L670)&lt;&gt;"Y",C670&lt;&gt;""),"Yes","No"))</f>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IF(A671="","",COUNTA(D671:F671)+COUNTA(G671:G671)+COUNTA(H671:H671)+COUNTA(I671:I671))</f>
        <v/>
      </c>
      <c r="Q671" s="6" t="str">
        <f>IF(A671="","",IF(AND(P671=6,UPPER(L671)&lt;&gt;"Y",C671&lt;&gt;""),"Yes","No"))</f>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IF(A672="","",COUNTA(D672:F672)+COUNTA(G672:G672)+COUNTA(H672:H672)+COUNTA(I672:I672))</f>
        <v/>
      </c>
      <c r="Q672" s="6" t="str">
        <f>IF(A672="","",IF(AND(P672=6,UPPER(L672)&lt;&gt;"Y",C672&lt;&gt;""),"Yes","No"))</f>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IF(A673="","",COUNTA(D673:F673)+COUNTA(G673:G673)+COUNTA(H673:H673)+COUNTA(I673:I673))</f>
        <v/>
      </c>
      <c r="Q673" s="6" t="str">
        <f>IF(A673="","",IF(AND(P673=6,UPPER(L673)&lt;&gt;"Y",C673&lt;&gt;""),"Yes","No"))</f>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IF(A674="","",COUNTA(D674:F674)+COUNTA(G674:G674)+COUNTA(H674:H674)+COUNTA(I674:I674))</f>
        <v/>
      </c>
      <c r="Q674" s="6" t="str">
        <f>IF(A674="","",IF(AND(P674=6,UPPER(L674)&lt;&gt;"Y",C674&lt;&gt;""),"Yes","No"))</f>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IF(A675="","",COUNTA(D675:F675)+COUNTA(G675:G675)+COUNTA(H675:H675)+COUNTA(I675:I675))</f>
        <v/>
      </c>
      <c r="Q675" s="6" t="str">
        <f>IF(A675="","",IF(AND(P675=6,UPPER(L675)&lt;&gt;"Y",C675&lt;&gt;""),"Yes","No"))</f>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IF(A676="","",COUNTA(D676:F676)+COUNTA(G676:G676)+COUNTA(H676:H676)+COUNTA(I676:I676))</f>
        <v/>
      </c>
      <c r="Q676" s="6" t="str">
        <f>IF(A676="","",IF(AND(P676=6,UPPER(L676)&lt;&gt;"Y",C676&lt;&gt;""),"Yes","No"))</f>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IF(A677="","",COUNTA(D677:F677)+COUNTA(G677:G677)+COUNTA(H677:H677)+COUNTA(I677:I677))</f>
        <v/>
      </c>
      <c r="Q677" s="6" t="str">
        <f>IF(A677="","",IF(AND(P677=6,UPPER(L677)&lt;&gt;"Y",C677&lt;&gt;""),"Yes","No"))</f>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IF(A678="","",COUNTA(D678:F678)+COUNTA(G678:G678)+COUNTA(H678:H678)+COUNTA(I678:I678))</f>
        <v/>
      </c>
      <c r="Q678" s="6" t="str">
        <f>IF(A678="","",IF(AND(P678=6,UPPER(L678)&lt;&gt;"Y",C678&lt;&gt;""),"Yes","No"))</f>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IF(A679="","",COUNTA(D679:F679)+COUNTA(G679:G679)+COUNTA(H679:H679)+COUNTA(I679:I679))</f>
        <v/>
      </c>
      <c r="Q679" s="6" t="str">
        <f>IF(A679="","",IF(AND(P679=6,UPPER(L679)&lt;&gt;"Y",C679&lt;&gt;""),"Yes","No"))</f>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IF(A680="","",COUNTA(D680:F680)+COUNTA(G680:G680)+COUNTA(H680:H680)+COUNTA(I680:I680))</f>
        <v/>
      </c>
      <c r="Q680" s="6" t="str">
        <f>IF(A680="","",IF(AND(P680=6,UPPER(L680)&lt;&gt;"Y",C680&lt;&gt;""),"Yes","No"))</f>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IF(A681="","",COUNTA(D681:F681)+COUNTA(G681:G681)+COUNTA(H681:H681)+COUNTA(I681:I681))</f>
        <v/>
      </c>
      <c r="Q681" s="6" t="str">
        <f>IF(A681="","",IF(AND(P681=6,UPPER(L681)&lt;&gt;"Y",C681&lt;&gt;""),"Yes","No"))</f>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IF(A682="","",COUNTA(D682:F682)+COUNTA(G682:G682)+COUNTA(H682:H682)+COUNTA(I682:I682))</f>
        <v/>
      </c>
      <c r="Q682" s="6" t="str">
        <f>IF(A682="","",IF(AND(P682=6,UPPER(L682)&lt;&gt;"Y",C682&lt;&gt;""),"Yes","No"))</f>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IF(A683="","",COUNTA(D683:F683)+COUNTA(G683:G683)+COUNTA(H683:H683)+COUNTA(I683:I683))</f>
        <v/>
      </c>
      <c r="Q683" s="6" t="str">
        <f>IF(A683="","",IF(AND(P683=6,UPPER(L683)&lt;&gt;"Y",C683&lt;&gt;""),"Yes","No"))</f>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IF(A684="","",COUNTA(D684:F684)+COUNTA(G684:G684)+COUNTA(H684:H684)+COUNTA(I684:I684))</f>
        <v/>
      </c>
      <c r="Q684" s="6" t="str">
        <f>IF(A684="","",IF(AND(P684=6,UPPER(L684)&lt;&gt;"Y",C684&lt;&gt;""),"Yes","No"))</f>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IF(A685="","",COUNTA(D685:F685)+COUNTA(G685:G685)+COUNTA(H685:H685)+COUNTA(I685:I685))</f>
        <v/>
      </c>
      <c r="Q685" s="6" t="str">
        <f>IF(A685="","",IF(AND(P685=6,UPPER(L685)&lt;&gt;"Y",C685&lt;&gt;""),"Yes","No"))</f>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IF(A686="","",COUNTA(D686:F686)+COUNTA(G686:G686)+COUNTA(H686:H686)+COUNTA(I686:I686))</f>
        <v/>
      </c>
      <c r="Q686" s="6" t="str">
        <f>IF(A686="","",IF(AND(P686=6,UPPER(L686)&lt;&gt;"Y",C686&lt;&gt;""),"Yes","No"))</f>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IF(A687="","",COUNTA(D687:F687)+COUNTA(G687:G687)+COUNTA(H687:H687)+COUNTA(I687:I687))</f>
        <v/>
      </c>
      <c r="Q687" s="6" t="str">
        <f>IF(A687="","",IF(AND(P687=6,UPPER(L687)&lt;&gt;"Y",C687&lt;&gt;""),"Yes","No"))</f>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IF(A688="","",COUNTA(D688:F688)+COUNTA(G688:G688)+COUNTA(H688:H688)+COUNTA(I688:I688))</f>
        <v/>
      </c>
      <c r="Q688" s="6" t="str">
        <f>IF(A688="","",IF(AND(P688=6,UPPER(L688)&lt;&gt;"Y",C688&lt;&gt;""),"Yes","No"))</f>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IF(A689="","",COUNTA(D689:F689)+COUNTA(G689:G689)+COUNTA(H689:H689)+COUNTA(I689:I689))</f>
        <v/>
      </c>
      <c r="Q689" s="6" t="str">
        <f>IF(A689="","",IF(AND(P689=6,UPPER(L689)&lt;&gt;"Y",C689&lt;&gt;""),"Yes","No"))</f>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IF(A690="","",COUNTA(D690:F690)+COUNTA(G690:G690)+COUNTA(H690:H690)+COUNTA(I690:I690))</f>
        <v/>
      </c>
      <c r="Q690" s="6" t="str">
        <f>IF(A690="","",IF(AND(P690=6,UPPER(L690)&lt;&gt;"Y",C690&lt;&gt;""),"Yes","No"))</f>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IF(A691="","",COUNTA(D691:F691)+COUNTA(G691:G691)+COUNTA(H691:H691)+COUNTA(I691:I691))</f>
        <v/>
      </c>
      <c r="Q691" s="6" t="str">
        <f>IF(A691="","",IF(AND(P691=6,UPPER(L691)&lt;&gt;"Y",C691&lt;&gt;""),"Yes","No"))</f>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IF(A692="","",COUNTA(D692:F692)+COUNTA(G692:G692)+COUNTA(H692:H692)+COUNTA(I692:I692))</f>
        <v/>
      </c>
      <c r="Q692" s="6" t="str">
        <f>IF(A692="","",IF(AND(P692=6,UPPER(L692)&lt;&gt;"Y",C692&lt;&gt;""),"Yes","No"))</f>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IF(A693="","",COUNTA(D693:F693)+COUNTA(G693:G693)+COUNTA(H693:H693)+COUNTA(I693:I693))</f>
        <v/>
      </c>
      <c r="Q693" s="6" t="str">
        <f>IF(A693="","",IF(AND(P693=6,UPPER(L693)&lt;&gt;"Y",C693&lt;&gt;""),"Yes","No"))</f>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IF(A694="","",COUNTA(D694:F694)+COUNTA(G694:G694)+COUNTA(H694:H694)+COUNTA(I694:I694))</f>
        <v/>
      </c>
      <c r="Q694" s="6" t="str">
        <f>IF(A694="","",IF(AND(P694=6,UPPER(L694)&lt;&gt;"Y",C694&lt;&gt;""),"Yes","No"))</f>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IF(A695="","",COUNTA(D695:F695)+COUNTA(G695:G695)+COUNTA(H695:H695)+COUNTA(I695:I695))</f>
        <v/>
      </c>
      <c r="Q695" s="6" t="str">
        <f>IF(A695="","",IF(AND(P695=6,UPPER(L695)&lt;&gt;"Y",C695&lt;&gt;""),"Yes","No"))</f>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IF(A696="","",COUNTA(D696:F696)+COUNTA(G696:G696)+COUNTA(H696:H696)+COUNTA(I696:I696))</f>
        <v/>
      </c>
      <c r="Q696" s="6" t="str">
        <f>IF(A696="","",IF(AND(P696=6,UPPER(L696)&lt;&gt;"Y",C696&lt;&gt;""),"Yes","No"))</f>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IF(A697="","",COUNTA(D697:F697)+COUNTA(G697:G697)+COUNTA(H697:H697)+COUNTA(I697:I697))</f>
        <v/>
      </c>
      <c r="Q697" s="6" t="str">
        <f>IF(A697="","",IF(AND(P697=6,UPPER(L697)&lt;&gt;"Y",C697&lt;&gt;""),"Yes","No"))</f>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IF(A698="","",COUNTA(D698:F698)+COUNTA(G698:G698)+COUNTA(H698:H698)+COUNTA(I698:I698))</f>
        <v/>
      </c>
      <c r="Q698" s="6" t="str">
        <f>IF(A698="","",IF(AND(P698=6,UPPER(L698)&lt;&gt;"Y",C698&lt;&gt;""),"Yes","No"))</f>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IF(A699="","",COUNTA(D699:F699)+COUNTA(G699:G699)+COUNTA(H699:H699)+COUNTA(I699:I699))</f>
        <v/>
      </c>
      <c r="Q699" s="6" t="str">
        <f>IF(A699="","",IF(AND(P699=6,UPPER(L699)&lt;&gt;"Y",C699&lt;&gt;""),"Yes","No"))</f>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IF(A700="","",COUNTA(D700:F700)+COUNTA(G700:G700)+COUNTA(H700:H700)+COUNTA(I700:I700))</f>
        <v/>
      </c>
      <c r="Q700" s="6" t="str">
        <f>IF(A700="","",IF(AND(P700=6,UPPER(L700)&lt;&gt;"Y",C700&lt;&gt;""),"Yes","No"))</f>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IF(A701="","",COUNTA(D701:F701)+COUNTA(G701:G701)+COUNTA(H701:H701)+COUNTA(I701:I701))</f>
        <v/>
      </c>
      <c r="Q701" s="6" t="str">
        <f>IF(A701="","",IF(AND(P701=6,UPPER(L701)&lt;&gt;"Y",C701&lt;&gt;""),"Yes","No"))</f>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IF(A702="","",COUNTA(D702:F702)+COUNTA(G702:G702)+COUNTA(H702:H702)+COUNTA(I702:I702))</f>
        <v/>
      </c>
      <c r="Q702" s="6" t="str">
        <f>IF(A702="","",IF(AND(P702=6,UPPER(L702)&lt;&gt;"Y",C702&lt;&gt;""),"Yes","No"))</f>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IF(A703="","",COUNTA(D703:F703)+COUNTA(G703:G703)+COUNTA(H703:H703)+COUNTA(I703:I703))</f>
        <v/>
      </c>
      <c r="Q703" s="6" t="str">
        <f>IF(A703="","",IF(AND(P703=6,UPPER(L703)&lt;&gt;"Y",C703&lt;&gt;""),"Yes","No"))</f>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IF(A704="","",COUNTA(D704:F704)+COUNTA(G704:G704)+COUNTA(H704:H704)+COUNTA(I704:I704))</f>
        <v/>
      </c>
      <c r="Q704" s="6" t="str">
        <f>IF(A704="","",IF(AND(P704=6,UPPER(L704)&lt;&gt;"Y",C704&lt;&gt;""),"Yes","No"))</f>
        <v/>
      </c>
      <c r="R704" s="5"/>
      <c r="S704" s="5"/>
      <c r="T704" s="5"/>
      <c r="U704" s="5"/>
      <c r="V704" s="5"/>
      <c r="W704" s="5"/>
      <c r="X704" s="5"/>
      <c r="Y704" s="5"/>
    </row>
  </sheetData>
  <autoFilter ref="A1:Y704" xr:uid="{00000000-0009-0000-0000-000001000000}">
    <sortState xmlns:xlrd2="http://schemas.microsoft.com/office/spreadsheetml/2017/richdata2" ref="A2:Y704">
      <sortCondition ref="A1:A704"/>
    </sortState>
  </autoFilter>
  <conditionalFormatting sqref="Q2:Q704">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J257 J210 J304 J102 I2:I101 K124 I211:I231 J232 I258:I303 I233:I256 J197 I198:I209 I103:I196 I305:I704</xm:sqref>
        </x14:dataValidation>
        <x14:dataValidation type="list" allowBlank="1" xr:uid="{00000000-0002-0000-0100-000000000000}">
          <x14:formula1>
            <xm:f>Lists!$G$2:$G$5</xm:f>
          </x14:formula1>
          <x14:formula2>
            <xm:f>0</xm:f>
          </x14:formula2>
          <xm:sqref>C2:C704</xm:sqref>
        </x14:dataValidation>
        <x14:dataValidation type="list" allowBlank="1" xr:uid="{00000000-0002-0000-0100-000001000000}">
          <x14:formula1>
            <xm:f>Lists!$A$2:$A$6</xm:f>
          </x14:formula1>
          <x14:formula2>
            <xm:f>0</xm:f>
          </x14:formula2>
          <xm:sqref>D2:D704</xm:sqref>
        </x14:dataValidation>
        <x14:dataValidation type="list" allowBlank="1" xr:uid="{00000000-0002-0000-0100-000002000000}">
          <x14:formula1>
            <xm:f>Lists!$B$2:$B$6</xm:f>
          </x14:formula1>
          <x14:formula2>
            <xm:f>0</xm:f>
          </x14:formula2>
          <xm:sqref>E2:E704</xm:sqref>
        </x14:dataValidation>
        <x14:dataValidation type="list" allowBlank="1" xr:uid="{00000000-0002-0000-0100-000003000000}">
          <x14:formula1>
            <xm:f>Lists!$C$2:$C$5</xm:f>
          </x14:formula1>
          <x14:formula2>
            <xm:f>0</xm:f>
          </x14:formula2>
          <xm:sqref>F2:F704</xm:sqref>
        </x14:dataValidation>
        <x14:dataValidation type="list" allowBlank="1" xr:uid="{00000000-0002-0000-0100-000004000000}">
          <x14:formula1>
            <xm:f>Lists!$D$2:$D$4</xm:f>
          </x14:formula1>
          <x14:formula2>
            <xm:f>0</xm:f>
          </x14:formula2>
          <xm:sqref>G2:G704</xm:sqref>
        </x14:dataValidation>
        <x14:dataValidation type="list" allowBlank="1" xr:uid="{00000000-0002-0000-0100-000006000000}">
          <x14:formula1>
            <xm:f>Lists!$F$2:$F$3</xm:f>
          </x14:formula1>
          <x14:formula2>
            <xm:f>0</xm:f>
          </x14:formula2>
          <xm:sqref>L2:L704</xm:sqref>
        </x14:dataValidation>
        <x14:dataValidation type="list" allowBlank="1" xr:uid="{00000000-0002-0000-0100-000007000000}">
          <x14:formula1>
            <xm:f>Lists!$H$2:$H$4</xm:f>
          </x14:formula1>
          <x14:formula2>
            <xm:f>0</xm:f>
          </x14:formula2>
          <xm:sqref>M2:M704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COUNTA(Roster!D2:D704)</f>
        <v>340</v>
      </c>
      <c r="F2" s="9">
        <f>IF(COUNTA(Roster!A2:A704)=0,0,E2/COUNTA(Roster!A2:A704))</f>
        <v>0.57335581787521084</v>
      </c>
    </row>
    <row r="3" spans="1:6" x14ac:dyDescent="0.25">
      <c r="A3" s="7">
        <v>2</v>
      </c>
      <c r="B3" s="7" t="s">
        <v>21</v>
      </c>
      <c r="C3" s="7" t="s">
        <v>1675</v>
      </c>
      <c r="D3" s="7" t="s">
        <v>1676</v>
      </c>
      <c r="E3" s="8">
        <f>COUNTA(Roster!E2:E704)</f>
        <v>285</v>
      </c>
      <c r="F3" s="9">
        <f>IF(COUNTA(Roster!A2:A704)=0,0,E3/COUNTA(Roster!A2:A704))</f>
        <v>0.48060708263069141</v>
      </c>
    </row>
    <row r="4" spans="1:6" x14ac:dyDescent="0.25">
      <c r="A4" s="7">
        <v>3</v>
      </c>
      <c r="B4" s="7" t="s">
        <v>22</v>
      </c>
      <c r="C4" s="7" t="s">
        <v>1677</v>
      </c>
      <c r="D4" s="7" t="s">
        <v>1678</v>
      </c>
      <c r="E4" s="8">
        <f>COUNTA(Roster!F2:F704)</f>
        <v>277</v>
      </c>
      <c r="F4" s="9">
        <f>IF(COUNTA(Roster!A2:A704)=0,0,E4/COUNTA(Roster!A2:A704))</f>
        <v>0.46711635750421587</v>
      </c>
    </row>
    <row r="5" spans="1:6" x14ac:dyDescent="0.25">
      <c r="A5" s="7">
        <v>4</v>
      </c>
      <c r="B5" s="7" t="s">
        <v>1679</v>
      </c>
      <c r="C5" s="7" t="s">
        <v>1680</v>
      </c>
      <c r="D5" s="7" t="s">
        <v>1681</v>
      </c>
      <c r="E5" s="8">
        <f>COUNTA(Roster!G2:G704)</f>
        <v>351</v>
      </c>
      <c r="F5" s="9">
        <f>IF(COUNTA(Roster!A2:A704)=0,0,E5/COUNTA(Roster!A2:A704))</f>
        <v>0.59190556492411472</v>
      </c>
    </row>
    <row r="6" spans="1:6" x14ac:dyDescent="0.25">
      <c r="A6" s="7">
        <v>5</v>
      </c>
      <c r="B6" s="7" t="s">
        <v>1682</v>
      </c>
      <c r="C6" s="7" t="s">
        <v>1683</v>
      </c>
      <c r="D6" s="7" t="s">
        <v>1684</v>
      </c>
      <c r="E6" s="8">
        <f>COUNTA(Roster!H2:H704)</f>
        <v>465</v>
      </c>
      <c r="F6" s="9">
        <f>IF(COUNTA(Roster!A2:A704)=0,0,E6/COUNTA(Roster!A2:A704))</f>
        <v>0.78414839797639124</v>
      </c>
    </row>
    <row r="7" spans="1:6" ht="25.5" x14ac:dyDescent="0.25">
      <c r="A7" s="7">
        <v>6</v>
      </c>
      <c r="B7" s="7" t="s">
        <v>1685</v>
      </c>
      <c r="C7" s="7" t="s">
        <v>1686</v>
      </c>
      <c r="D7" s="7" t="s">
        <v>1687</v>
      </c>
      <c r="E7" s="8">
        <f>COUNTA(Roster!I2:I704)</f>
        <v>334</v>
      </c>
      <c r="F7" s="9">
        <f>IF(COUNTA(Roster!A2:A704)=0,0,E7/COUNTA(Roster!A2:A704))</f>
        <v>0.56323777403035413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COUNTIF(Roster!$I$2:$I$704,A2)</f>
        <v>26</v>
      </c>
      <c r="D2" s="10">
        <f t="shared" ref="D2:D13" si="0">IF(SUM($C$2:$C$13)=0,0,C2/SUM($C$2:$C$13))</f>
        <v>7.7844311377245512E-2</v>
      </c>
    </row>
    <row r="3" spans="1:4" x14ac:dyDescent="0.25">
      <c r="A3" s="6" t="s">
        <v>91</v>
      </c>
      <c r="B3" s="6" t="s">
        <v>1693</v>
      </c>
      <c r="C3" s="6">
        <f>COUNTIF(Roster!$I$2:$I$704,A3)</f>
        <v>46</v>
      </c>
      <c r="D3" s="10">
        <f t="shared" si="0"/>
        <v>0.1377245508982036</v>
      </c>
    </row>
    <row r="4" spans="1:4" x14ac:dyDescent="0.25">
      <c r="A4" s="6" t="s">
        <v>72</v>
      </c>
      <c r="B4" s="6" t="s">
        <v>1694</v>
      </c>
      <c r="C4" s="6">
        <f>COUNTIF(Roster!$I$2:$I$704,A4)</f>
        <v>29</v>
      </c>
      <c r="D4" s="10">
        <f t="shared" si="0"/>
        <v>8.6826347305389226E-2</v>
      </c>
    </row>
    <row r="5" spans="1:4" x14ac:dyDescent="0.25">
      <c r="A5" s="6" t="s">
        <v>59</v>
      </c>
      <c r="B5" s="6" t="s">
        <v>1695</v>
      </c>
      <c r="C5" s="6">
        <f>COUNTIF(Roster!$I$2:$I$704,A5)</f>
        <v>19</v>
      </c>
      <c r="D5" s="10">
        <f t="shared" si="0"/>
        <v>5.6886227544910177E-2</v>
      </c>
    </row>
    <row r="6" spans="1:4" x14ac:dyDescent="0.25">
      <c r="A6" s="6" t="s">
        <v>192</v>
      </c>
      <c r="B6" s="6" t="s">
        <v>1696</v>
      </c>
      <c r="C6" s="6">
        <f>COUNTIF(Roster!$I$2:$I$704,A6)</f>
        <v>41</v>
      </c>
      <c r="D6" s="10">
        <f t="shared" si="0"/>
        <v>0.12275449101796407</v>
      </c>
    </row>
    <row r="7" spans="1:4" x14ac:dyDescent="0.25">
      <c r="A7" s="6" t="s">
        <v>123</v>
      </c>
      <c r="B7" s="6" t="s">
        <v>1697</v>
      </c>
      <c r="C7" s="6">
        <f>COUNTIF(Roster!$I$2:$I$704,A7)</f>
        <v>45</v>
      </c>
      <c r="D7" s="10">
        <f t="shared" si="0"/>
        <v>0.1347305389221557</v>
      </c>
    </row>
    <row r="8" spans="1:4" x14ac:dyDescent="0.25">
      <c r="A8" s="6" t="s">
        <v>119</v>
      </c>
      <c r="B8" s="6" t="s">
        <v>1698</v>
      </c>
      <c r="C8" s="6">
        <f>COUNTIF(Roster!$I$2:$I$704,A8)</f>
        <v>35</v>
      </c>
      <c r="D8" s="10">
        <f t="shared" si="0"/>
        <v>0.10479041916167664</v>
      </c>
    </row>
    <row r="9" spans="1:4" x14ac:dyDescent="0.25">
      <c r="A9" s="6" t="s">
        <v>49</v>
      </c>
      <c r="B9" s="6" t="s">
        <v>1699</v>
      </c>
      <c r="C9" s="6">
        <f>COUNTIF(Roster!$I$2:$I$704,A9)</f>
        <v>36</v>
      </c>
      <c r="D9" s="10">
        <f t="shared" si="0"/>
        <v>0.10778443113772455</v>
      </c>
    </row>
    <row r="10" spans="1:4" x14ac:dyDescent="0.25">
      <c r="A10" s="6" t="s">
        <v>78</v>
      </c>
      <c r="B10" s="6" t="s">
        <v>1700</v>
      </c>
      <c r="C10" s="6">
        <f>COUNTIF(Roster!$I$2:$I$704,A10)</f>
        <v>22</v>
      </c>
      <c r="D10" s="10">
        <f t="shared" si="0"/>
        <v>6.5868263473053898E-2</v>
      </c>
    </row>
    <row r="11" spans="1:4" x14ac:dyDescent="0.25">
      <c r="A11" s="6" t="s">
        <v>178</v>
      </c>
      <c r="B11" s="6" t="s">
        <v>1701</v>
      </c>
      <c r="C11" s="6">
        <f>COUNTIF(Roster!$I$2:$I$704,A11)</f>
        <v>12</v>
      </c>
      <c r="D11" s="10">
        <f t="shared" si="0"/>
        <v>3.5928143712574849E-2</v>
      </c>
    </row>
    <row r="12" spans="1:4" x14ac:dyDescent="0.25">
      <c r="A12" s="6" t="s">
        <v>133</v>
      </c>
      <c r="B12" s="6" t="s">
        <v>1702</v>
      </c>
      <c r="C12" s="6">
        <f>COUNTIF(Roster!$I$2:$I$704,A12)</f>
        <v>14</v>
      </c>
      <c r="D12" s="10">
        <f t="shared" si="0"/>
        <v>4.1916167664670656E-2</v>
      </c>
    </row>
    <row r="13" spans="1:4" x14ac:dyDescent="0.25">
      <c r="A13" s="6" t="s">
        <v>193</v>
      </c>
      <c r="B13" s="6" t="s">
        <v>1703</v>
      </c>
      <c r="C13" s="6">
        <f>COUNTIF(Roster!$I$2:$I$704,A13)</f>
        <v>9</v>
      </c>
      <c r="D13" s="10">
        <f t="shared" si="0"/>
        <v>2.6946107784431138E-2</v>
      </c>
    </row>
    <row r="14" spans="1:4" x14ac:dyDescent="0.25">
      <c r="A14" s="11" t="s">
        <v>1704</v>
      </c>
      <c r="C14" s="11">
        <f>SUM(C2:C13)</f>
        <v>334</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COUNTA(Roster!A2:A704)</f>
        <v>593</v>
      </c>
      <c r="C10" s="8" t="s">
        <v>1726</v>
      </c>
    </row>
    <row r="11" spans="1:3" x14ac:dyDescent="0.25">
      <c r="A11" s="8" t="s">
        <v>1727</v>
      </c>
      <c r="B11" s="8">
        <f>COUNTIF(Roster!Q2:Q704,"Yes")</f>
        <v>191</v>
      </c>
      <c r="C11" s="8" t="s">
        <v>1726</v>
      </c>
    </row>
    <row r="12" spans="1:3" x14ac:dyDescent="0.25">
      <c r="A12" s="8" t="s">
        <v>1728</v>
      </c>
      <c r="B12" s="9">
        <f>IF(B5=0,0,B11/B5)</f>
        <v>1.2733333333333334</v>
      </c>
      <c r="C12" s="8" t="s">
        <v>1726</v>
      </c>
    </row>
    <row r="13" spans="1:3" x14ac:dyDescent="0.25">
      <c r="A13" s="8" t="s">
        <v>1729</v>
      </c>
      <c r="B13" s="13">
        <f>IFERROR(AVERAGE(Roster!P2:P704),0)</f>
        <v>3.4603709949409782</v>
      </c>
      <c r="C13" s="8" t="s">
        <v>1726</v>
      </c>
    </row>
    <row r="14" spans="1:3" x14ac:dyDescent="0.25">
      <c r="A14" s="8" t="s">
        <v>1730</v>
      </c>
      <c r="B14" s="8">
        <f>COUNTIF(Roster!L2:L704,"Y")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2026-10-23T02:01:25Z</dcterms:modified>
  <dc:language>en-US</dc:language>
</cp:coreProperties>
</file>