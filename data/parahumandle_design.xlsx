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3671D077-13D9-41FD-BDCC-0A1E2314A797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Q32" i="2"/>
  <c r="P32" i="2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<sst xmlns="http://schemas.openxmlformats.org/spreadsheetml/2006/main" count="9379" uniqueCount="1873">
  <si>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</si>
  <si>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</si>
  <si>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</si>
  <si>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</si>
  <si>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</si>
  <si>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</si>
  <si>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</si>
  <si>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</si>
  <si>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</si>
  <si>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</si>
  <si>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</si>
  <si>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</si>
  <si>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</si>
  <si>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</si>
  <si>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</si>
  <si>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</si>
  <si>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</si>
  <si>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</si>
  <si>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</si>
  <si>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</si>
  <si>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</si>
  <si>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</si>
  <si>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</si>
  <si>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</si>
  <si>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</si>
  <si>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</si>
  <si>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</si>
  <si>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</si>
  <si>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</si>
  <si>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</si>
  <si>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</si>
  <si>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</si>
  <si>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</si>
  <si>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</si>
  <si>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</si>
  <si>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</si>
  <si>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</si>
  <si>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</si>
  <si>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</si>
  <si>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</si>
  <si>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</si>
  <si>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</si>
  <si>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</si>
  <si>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</si>
  <si>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</si>
  <si>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</si>
  <si>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</si>
  <si>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</si>
  <si>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</si>
  <si>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</si>
  <si>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</si>
  <si>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</si>
  <si>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</si>
  <si>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</si>
  <si>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</si>
  <si>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</si>
  <si>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</si>
  <si>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</si>
  <si>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</si>
  <si>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</si>
  <si>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</si>
  <si>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</si>
  <si>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</si>
  <si>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</si>
  <si>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</si>
  <si>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</si>
  <si>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</si>
  <si>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</si>
  <si>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</si>
  <si>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</si>
  <si>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</si>
  <si>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</si>
  <si>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</si>
  <si>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</si>
  <si>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</si>
  <si>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</si>
  <si>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</si>
  <si>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</si>
  <si>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</si>
  <si>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</si>
  <si>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</si>
  <si>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</si>
  <si>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</si>
  <si>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</si>
  <si>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</si>
  <si>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</si>
  <si>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</si>
  <si>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</si>
  <si>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</si>
  <si>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</si>
  <si>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</si>
  <si>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</si>
  <si>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</si>
  <si>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</si>
  <si>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</si>
  <si>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</si>
  <si>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</si>
  <si>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</si>
  <si>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</si>
  <si>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</si>
  <si>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</si>
  <si>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</si>
  <si>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</si>
  <si>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</si>
  <si>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</si>
  <si>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</si>
  <si>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</si>
  <si>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</si>
  <si>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</si>
  <si>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</si>
  <si>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</si>
  <si>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</si>
  <si>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</si>
  <si>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</si>
  <si>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</si>
  <si>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</si>
  <si>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</si>
  <si>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</si>
  <si>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</si>
  <si>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</si>
  <si>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</si>
  <si>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</si>
  <si>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</si>
  <si>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</si>
  <si>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</si>
  <si>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</si>
  <si>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</si>
  <si>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</si>
  <si>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</si>
  <si>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</si>
  <si>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</si>
  <si>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</si>
  <si>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</si>
  <si>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</si>
  <si>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</si>
  <si>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</si>
  <si>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</si>
  <si>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</si>
  <si>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</si>
  <si>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</si>
  <si>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</si>
  <si>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</si>
  <si>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</si>
  <si>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</si>
  <si>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</si>
  <si>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</si>
  <si>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</si>
  <si>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</si>
  <si>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</si>
  <si>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</si>
  <si>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</si>
  <si>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</si>
  <si>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</si>
  <si>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</si>
  <si>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</si>
  <si>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</si>
  <si>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</si>
  <si>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</si>
  <si>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</si>
  <si>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</si>
  <si>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</si>
  <si>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</si>
  <si>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</si>
  <si>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</si>
  <si>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</si>
  <si>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</si>
  <si>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</si>
  <si>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</si>
  <si>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</si>
  <si>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</si>
  <si>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</si>
  <si>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</si>
  <si>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</si>
  <si>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</si>
  <si>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</si>
  <si>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</si>
  <si>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</si>
  <si>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</si>
  <si>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</si>
  <si>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</si>
  <si>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</si>
  <si>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</si>
  <si>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</si>
  <si>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</si>
  <si>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</si>
  <si>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</si>
  <si>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</si>
  <si>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</si>
  <si>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</si>
  <si>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</si>
  <si>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</si>
  <si>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</si>
  <si>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</si>
  <si>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</si>
  <si>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</si>
  <si>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</si>
  <si>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</si>
  <si>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</si>
  <si>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</si>
  <si>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</si>
  <si>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</si>
  <si>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</si>
  <si>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</si>
  <si>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</si>
  <si>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</si>
  <si>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</si>
  <si>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</si>
  <si>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</si>
  <si>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</si>
  <si>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</si>
  <si>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</si>
  <si>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</si>
  <si>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</si>
  <si>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</si>
  <si>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</si>
  <si>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</si>
  <si>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</si>
  <si>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</si>
  <si>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</si>
  <si>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</si>
  <si>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</si>
  <si>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</si>
  <si>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</si>
  <si>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</si>
  <si>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</si>
  <si>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</si>
  <si>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</si>
  <si>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</si>
  <si>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</si>
  <si>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</si>
  <si>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</si>
  <si>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</si>
  <si>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</si>
  <si>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</si>
  <si>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</si>
  <si>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</si>
  <si>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</si>
  <si>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</si>
  <si>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</si>
  <si>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</si>
  <si>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</si>
  <si>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</si>
  <si>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</si>
  <si>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</si>
  <si>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</si>
  <si>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</si>
  <si>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</si>
  <si>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</si>
  <si>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</si>
  <si>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</si>
  <si>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</si>
  <si>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</si>
  <si>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</si>
  <si>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</si>
  <si>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</si>
  <si>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</si>
  <si>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</si>
  <si>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</si>
  <si>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</si>
  <si>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</si>
  <si>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</si>
  <si>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</si>
  <si>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</si>
  <si>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</si>
  <si>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</si>
  <si>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</si>
  <si>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</si>
  <si>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</si>
  <si>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</si>
  <si>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</si>
  <si>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</si>
  <si>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</si>
  <si>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</si>
  <si>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</si>
  <si>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</si>
  <si>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</si>
  <si>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</si>
  <si>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</si>
  <si>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</si>
  <si>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</si>
  <si>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</si>
  <si>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</si>
  <si>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</si>
  <si>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</si>
  <si>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</si>
  <si>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</si>
  <si>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</si>
  <si>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</si>
  <si>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</si>
  <si>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</si>
  <si>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</si>
  <si>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</si>
  <si>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</si>
  <si>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</si>
  <si>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</si>
  <si>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</si>
  <si>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</si>
  <si>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</si>
  <si>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</si>
  <si>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</si>
  <si>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</si>
  <si>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</si>
  <si>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</si>
  <si>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</si>
  <si>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</si>
  <si>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</si>
  <si>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</si>
  <si>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</si>
  <si>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</si>
  <si>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</si>
  <si>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</si>
  <si>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</si>
  <si>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</si>
  <si>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</si>
  <si>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</si>
  <si>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</si>
  <si>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</si>
  <si>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</si>
  <si>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</si>
  <si>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</si>
  <si>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</si>
  <si>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</si>
  <si>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</si>
  <si>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</si>
  <si>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</si>
  <si>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</si>
  <si>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</si>
  <si>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</si>
  <si>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</si>
  <si>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</si>
  <si>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</si>
  <si>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</si>
  <si>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</si>
  <si>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</si>
  <si>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</si>
  <si>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</si>
  <si>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</si>
  <si>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</si>
  <si>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</si>
  <si>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</si>
  <si>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</si>
  <si>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</si>
  <si>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</si>
  <si>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</si>
  <si>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</si>
  <si>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</si>
  <si>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</si>
  <si>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</si>
  <si>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</si>
  <si>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</si>
  <si>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</si>
  <si>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</si>
  <si>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</si>
  <si>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</si>
  <si>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</si>
  <si>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</si>
  <si>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</si>
  <si>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</si>
  <si>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</si>
  <si>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</si>
  <si>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</si>
  <si>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</si>
  <si>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</si>
  <si>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</si>
  <si>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</si>
  <si>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</si>
  <si>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</si>
  <si>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</si>
  <si>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</si>
  <si>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</si>
  <si>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</si>
  <si>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</si>
  <si>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</si>
  <si>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</si>
  <si>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</si>
  <si>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</si>
  <si>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</si>
  <si>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</si>
  <si>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</si>
  <si>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</si>
  <si>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</si>
  <si>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</si>
  <si>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</si>
  <si>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</si>
  <si>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</si>
  <si>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</si>
  <si>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</si>
  <si>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</si>
  <si>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</si>
  <si>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</si>
  <si>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</si>
  <si>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</si>
  <si>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</si>
  <si>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</si>
  <si>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</si>
  <si>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</si>
  <si>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</si>
  <si>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</si>
  <si>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</si>
  <si>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</si>
  <si>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</si>
  <si>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</si>
  <si>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</si>
  <si>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</si>
  <si>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</si>
  <si>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</si>
  <si>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</si>
  <si>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</si>
  <si>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</si>
  <si>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</si>
  <si>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</si>
  <si>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</si>
  <si>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</si>
  <si>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</si>
  <si>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</si>
  <si>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</si>
  <si>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</si>
  <si>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</si>
  <si>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</si>
  <si>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</si>
  <si>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</si>
  <si>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</si>
  <si>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</si>
  <si>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</si>
  <si>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</si>
  <si>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</si>
  <si>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</si>
  <si>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</si>
  <si>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</si>
  <si>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</si>
  <si>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</si>
  <si>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</si>
  <si>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</si>
  <si>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</si>
  <si>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</si>
  <si>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</si>
  <si>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</si>
  <si>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</si>
  <si>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</si>
  <si>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</si>
  <si>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</si>
  <si>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</si>
  <si>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</si>
  <si>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</si>
  <si>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</si>
  <si>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</si>
  <si>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</si>
  <si>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</si>
  <si>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</si>
  <si>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</si>
  <si>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</si>
  <si>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</si>
  <si>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</si>
  <si>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</si>
  <si>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</si>
  <si>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</si>
  <si>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</si>
  <si>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</si>
  <si>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</si>
  <si>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</si>
  <si>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</si>
  <si>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</si>
  <si>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</si>
  <si>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</si>
  <si>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</si>
  <si>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</si>
  <si>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</si>
  <si>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</si>
  <si>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</si>
  <si>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</si>
  <si>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</si>
  <si>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</si>
  <si>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</si>
  <si>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</si>
  <si>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</si>
  <si>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</si>
  <si>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</si>
  <si>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</si>
  <si>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</si>
  <si>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</si>
  <si>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</si>
  <si>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</si>
  <si>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</si>
  <si>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</si>
  <si>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</si>
  <si>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</si>
  <si>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</si>
  <si>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</si>
  <si>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</si>
  <si>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</si>
  <si>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</si>
  <si>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</si>
  <si>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</si>
  <si>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</si>
  <si>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</si>
  <si>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</si>
  <si>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</si>
  <si>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</si>
  <si>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</si>
  <si>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</si>
  <si>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</si>
  <si>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</si>
  <si>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</si>
  <si>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</si>
  <si>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</si>
  <si>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</si>
  <si>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</si>
  <si>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</si>
  <si>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</si>
  <si>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</si>
  <si>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</si>
  <si>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</si>
  <si>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</si>
  <si>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</si>
  <si>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</si>
  <si>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</si>
  <si>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</si>
  <si>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</si>
  <si>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</si>
  <si>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</si>
  <si>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</si>
  <si>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</si>
  <si>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</si>
  <si>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</si>
  <si>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</si>
  <si>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</si>
  <si>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</si>
  <si>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</si>
  <si>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</si>
  <si>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</si>
  <si>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</si>
  <si>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</si>
  <si>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</si>
  <si>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</si>
  <si>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</si>
  <si>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</si>
  <si>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</si>
  <si>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</si>
  <si>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</si>
  <si>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</si>
  <si>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</si>
  <si>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</si>
  <si>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</si>
  <si>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</si>
  <si>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</si>
  <si>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</si>
  <si>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</si>
  <si>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</si>
  <si>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</si>
  <si>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</si>
  <si>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</si>
  <si>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</si>
  <si>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</si>
  <si>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</si>
  <si>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</si>
  <si>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</si>
  <si>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</si>
  <si>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</si>
  <si>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</si>
  <si>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</si>
  <si>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</si>
  <si>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</si>
  <si>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</si>
  <si>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</si>
  <si>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</si>
  <si>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</si>
  <si>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</si>
  <si>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</si>
  <si>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</si>
  <si>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</si>
  <si>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</si>
  <si>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</si>
  <si>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</si>
  <si>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</si>
  <si>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</si>
  <si>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</si>
  <si>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</si>
  <si>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</si>
  <si>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</si>
  <si>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</si>
  <si>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</si>
  <si>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</si>
  <si>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</si>
  <si>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</si>
  <si>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</si>
  <si>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</si>
  <si>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</si>
  <si>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</si>
  <si>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</si>
  <si>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</si>
  <si>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</si>
  <si>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</si>
  <si>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</si>
  <si>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</si>
  <si>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</si>
  <si>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</si>
  <si>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</si>
  <si>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</si>
  <si>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</si>
  <si>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</si>
  <si>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</si>
  <si>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</si>
  <si>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</si>
  <si>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</si>
  <si>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</si>
  <si>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</si>
  <si>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</si>
  <si>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</si>
  <si>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</si>
  <si>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</si>
  <si>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</si>
  <si>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</si>
  <si>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</si>
  <si>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</si>
  <si>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</si>
  <si>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</si>
  <si>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</si>
  <si>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</si>
  <si>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</si>
  <si>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</si>
  <si>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</si>
  <si>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</si>
  <si>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</si>
  <si>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</si>
  <si>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</si>
  <si>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</si>
  <si>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</si>
  <si>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</si>
  <si>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</si>
  <si>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</si>
  <si>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</si>
  <si>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</si>
  <si>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</si>
  <si>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</si>
  <si>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</si>
  <si>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</si>
  <si>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</si>
  <si>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</si>
  <si>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</si>
  <si>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</si>
  <si>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</si>
  <si>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</si>
  <si>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</si>
  <si>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</si>
  <si>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</si>
  <si>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</si>
  <si>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</si>
  <si>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</si>
  <si>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</si>
  <si>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</si>
  <si>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</si>
  <si>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</si>
  <si>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</si>
  <si>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</si>
  <si>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</si>
  <si>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</si>
  <si>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</si>
  <si>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</si>
  <si>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</si>
  <si>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</si>
  <si>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</si>
  <si>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</si>
  <si>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</si>
  <si>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</si>
  <si>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</si>
  <si>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</si>
  <si>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</si>
  <si>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</si>
  <si>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</si>
  <si>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</si>
  <si>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</si>
  <si>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</si>
  <si>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</si>
  <si>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</si>
  <si>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</si>
  <si>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</si>
  <si>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</si>
  <si>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</si>
  <si>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</si>
  <si>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</si>
  <si>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</si>
  <si>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</si>
  <si>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</si>
  <si>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</si>
  <si>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</si>
  <si>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</si>
  <si>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</si>
  <si>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</si>
  <si>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</si>
  <si>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</si>
  <si>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</si>
  <si>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</si>
  <si>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</si>
  <si>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</si>
  <si>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</si>
  <si>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</si>
  <si>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</si>
  <si>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</si>
  <si>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</si>
  <si>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</si>
  <si>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</si>
  <si>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</si>
  <si>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</si>
  <si>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</si>
  <si>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</si>
  <si>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</si>
  <si>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</si>
  <si>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</si>
  <si>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</si>
  <si>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</si>
  <si>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</si>
  <si>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</si>
  <si>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</si>
  <si>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</si>
  <si>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</si>
  <si>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</si>
  <si>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</si>
  <si>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</si>
  <si>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</si>
  <si>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</si>
  <si>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</si>
  <si>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</si>
  <si>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</si>
  <si>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</si>
  <si>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</si>
  <si>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</si>
  <si>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</si>
  <si>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</si>
  <si>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</si>
  <si>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</si>
  <si>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</si>
  <si>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</si>
  <si>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</si>
  <si>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</si>
  <si>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</si>
  <si>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</si>
  <si>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</si>
  <si>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</si>
  <si>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</si>
  <si>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</si>
  <si>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</si>
  <si>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</si>
  <si>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</si>
  <si>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</si>
  <si>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</si>
  <si>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</si>
  <si>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</si>
  <si>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</si>
  <si>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</si>
  <si>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</si>
  <si>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</si>
  <si>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</si>
  <si>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</si>
  <si>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</si>
  <si>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</si>
  <si>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</si>
  <si>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</si>
  <si>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</si>
  <si>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</si>
  <si>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</si>
  <si>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</si>
  <si>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</si>
  <si>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</si>
  <si>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</si>
  <si>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</si>
  <si>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</si>
  <si>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</si>
  <si>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</si>
  <si>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</si>
  <si>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</si>
  <si>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</si>
  <si>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</si>
  <si>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</si>
  <si>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</si>
  <si>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</si>
  <si>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</si>
  <si>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</si>
  <si>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</si>
  <si>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</si>
  <si>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</si>
  <si>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</si>
  <si>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</si>
  <si>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</si>
  <si>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</si>
  <si>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</si>
  <si>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</si>
  <si>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</si>
  <si>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</si>
  <si>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</si>
  <si>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</si>
  <si>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</si>
  <si>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</si>
  <si>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</si>
  <si>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</si>
  <si>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</si>
  <si>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</si>
  <si>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</si>
  <si>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</si>
  <si>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</si>
  <si>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</si>
  <si>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</si>
  <si>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</si>
  <si>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</si>
  <si>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</si>
  <si>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</si>
  <si>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</si>
  <si>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</si>
  <si>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</si>
  <si>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</si>
  <si>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</si>
  <si>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</si>
  <si>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</si>
  <si>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</si>
  <si>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</si>
  <si>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</si>
  <si>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</si>
  <si>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</si>
  <si>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</si>
  <si>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</si>
  <si>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</si>
  <si>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</si>
  <si>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</si>
  <si>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</si>
  <si>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</si>
  <si>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</si>
  <si>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</si>
  <si>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</si>
  <si>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</si>
  <si>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</si>
  <si>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</si>
  <si>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</si>
  <si>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</si>
  <si>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</si>
  <si>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</si>
  <si>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</si>
  <si>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</si>
  <si>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</si>
  <si>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</si>
  <si>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</si>
  <si>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</si>
  <si>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</si>
  <si>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</si>
  <si>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</si>
  <si>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</si>
  <si>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</si>
  <si>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</si>
  <si>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</si>
  <si>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</si>
  <si>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</si>
  <si>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</si>
  <si>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</si>
  <si>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</si>
  <si>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</si>
  <si>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</si>
  <si>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</si>
  <si>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</si>
  <si>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</si>
  <si>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</si>
  <si>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</si>
  <si>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</si>
  <si>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</si>
  <si>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</si>
  <si>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</si>
  <si>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</si>
  <si>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</si>
  <si>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</si>
  <si>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</si>
  <si>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</si>
  <si>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</si>
  <si>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</si>
  <si>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</si>
  <si>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</si>
  <si>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</si>
  <si>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</si>
  <si>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</si>
  <si>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</si>
  <si>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</si>
  <si>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</si>
  <si>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</si>
  <si>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</si>
  <si>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</si>
  <si>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</si>
  <si>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</si>
  <si>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</si>
  <si>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</si>
  <si>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</si>
  <si>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</si>
  <si>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</si>
  <si>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</si>
  <si>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</si>
  <si>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</si>
  <si>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</si>
  <si>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</si>
  <si>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</si>
  <si>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</si>
  <si>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</si>
  <si>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</si>
  <si>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</si>
  <si>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</si>
  <si>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</si>
  <si>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</si>
  <si>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</si>
  <si>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</si>
  <si>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</si>
  <si>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</si>
  <si>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</si>
  <si>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</si>
  <si>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</si>
  <si>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</si>
  <si>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</si>
  <si>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</si>
  <si>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</si>
  <si>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</si>
  <si>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</si>
  <si>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</si>
  <si>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</si>
  <si>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</si>
  <si>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</si>
  <si>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</si>
  <si>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</si>
  <si>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</si>
  <si>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</si>
  <si>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</si>
  <si>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</si>
  <si>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</si>
  <si>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</si>
  <si>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</si>
  <si>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</si>
  <si>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</si>
  <si>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</si>
  <si>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</si>
  <si>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</si>
  <si>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</si>
  <si>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</si>
  <si>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</si>
  <si>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</si>
  <si>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</si>
  <si>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</si>
  <si>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</si>
  <si>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</si>
  <si>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</si>
  <si>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</si>
  <si>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</si>
  <si>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</si>
  <si>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</si>
  <si>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</si>
  <si>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</si>
  <si>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</si>
  <si>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</si>
  <si>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</si>
  <si>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</si>
  <si>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</si>
  <si>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</si>
  <si>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</si>
  <si>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</si>
  <si>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</si>
  <si>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</si>
  <si>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</si>
  <si>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</si>
  <si>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</si>
  <si>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</si>
  <si>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</si>
  <si>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</si>
  <si>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</si>
  <si>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</si>
  <si>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</si>
  <si>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</si>
  <si>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</si>
  <si>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</si>
  <si>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</si>
  <si>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</si>
  <si>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</si>
  <si>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</si>
  <si>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</si>
  <si>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</si>
  <si>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</si>
  <si>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</si>
  <si>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</si>
  <si>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</si>
  <si>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</si>
  <si>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</si>
  <si>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</si>
  <si>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</si>
  <si>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</si>
  <si>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</si>
  <si>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</si>
  <si>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</si>
  <si>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</si>
  <si>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</si>
  <si>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</si>
  <si>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</si>
  <si>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</si>
  <si>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</si>
  <si>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</si>
  <si>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</si>
  <si>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</si>
  <si>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</si>
  <si>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</si>
  <si>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</si>
  <si>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</si>
  <si>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</si>
  <si>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</si>
  <si>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</si>
  <si>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</si>
  <si>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</si>
  <si>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</si>
  <si>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</si>
  <si>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</si>
  <si>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</si>
  <si>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</si>
  <si>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</si>
  <si>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</si>
  <si>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</si>
  <si>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</si>
  <si>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</si>
  <si>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</si>
  <si>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</si>
  <si>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</si>
  <si>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</si>
  <si>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</si>
  <si>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</si>
  <si>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</si>
  <si>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</si>
  <si>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</si>
  <si>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</si>
  <si>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</si>
  <si>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</si>
  <si>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</si>
  <si>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</si>
  <si>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</si>
  <si>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</si>
  <si>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</si>
  <si>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</si>
  <si>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</si>
  <si>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</si>
  <si>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</si>
  <si>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</si>
  <si>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</si>
  <si>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</si>
  <si>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</si>
  <si>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</si>
  <si>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</si>
  <si>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</si>
  <si>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</si>
  <si>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</si>
  <si>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</si>
  <si>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</si>
  <si>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</si>
  <si>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</si>
  <si>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</si>
  <si>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</si>
  <si>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</si>
  <si>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</si>
  <si>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</si>
  <si>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</si>
  <si>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</si>
  <si>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</si>
  <si>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</si>
  <si>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</si>
  <si>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</si>
  <si>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</si>
  <si>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</si>
  <si>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</si>
  <si>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</si>
  <si>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</si>
  <si>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</si>
  <si>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</si>
  <si>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</si>
  <si>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</si>
  <si>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</si>
  <si>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</si>
  <si>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</si>
  <si>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</si>
  <si>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</si>
  <si>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</si>
  <si>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</si>
  <si>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</si>
  <si>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</si>
  <si>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</si>
  <si>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</si>
  <si>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</si>
  <si>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</si>
  <si>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</si>
  <si>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</si>
  <si>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</si>
  <si>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</si>
  <si>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</si>
  <si>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</si>
  <si>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</si>
  <si>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</si>
  <si>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</si>
  <si>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</si>
  <si>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</si>
  <si>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</si>
  <si>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</si>
  <si>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</si>
  <si>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</si>
  <si>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</si>
  <si>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</si>
  <si>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</si>
  <si>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</si>
  <si>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</si>
  <si>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</si>
  <si>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</si>
  <si>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</si>
  <si>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</si>
  <si>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</si>
  <si>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</si>
  <si>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</si>
  <si>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</si>
  <si>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</si>
  <si>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</si>
  <si>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</si>
  <si>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</si>
  <si>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</si>
  <si>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</si>
  <si>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</si>
  <si>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</si>
  <si>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</si>
  <si>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</si>
  <si>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</si>
  <si>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</si>
  <si>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</si>
  <si>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</si>
  <si>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</si>
  <si>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</si>
  <si>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</si>
  <si>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</si>
  <si>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</si>
  <si>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</si>
  <si>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</si>
  <si>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</si>
  <si>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</si>
  <si>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</si>
  <si>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</si>
  <si>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</si>
  <si>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</si>
  <si>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</si>
  <si>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</si>
  <si>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</si>
  <si>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</si>
  <si>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</si>
  <si>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</si>
  <si>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</si>
  <si>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</si>
  <si>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</si>
  <si>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</si>
  <si>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</si>
  <si>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</si>
  <si>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</si>
  <si>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</si>
  <si>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</si>
  <si>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</si>
  <si>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</si>
  <si>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</si>
  <si>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</si>
  <si>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</si>
  <si>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</si>
  <si>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</si>
  <si>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</si>
  <si>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</si>
  <si>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</si>
  <si>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</si>
  <si>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</si>
  <si>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</si>
  <si>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</si>
  <si>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</si>
  <si>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</si>
  <si>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</si>
  <si>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</si>
  <si>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</si>
  <si>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</si>
  <si>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</si>
  <si>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</si>
  <si>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</si>
  <si>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</si>
  <si>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</si>
  <si>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</si>
  <si>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</si>
  <si>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</si>
  <si>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</si>
  <si>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</si>
  <si>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</si>
  <si>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</si>
  <si>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</si>
  <si>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</si>
  <si>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</si>
  <si>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</si>
  <si>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</si>
  <si>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</si>
  <si>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</si>
  <si>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</si>
  <si>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</si>
  <si>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</si>
  <si>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</si>
  <si>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</si>
  <si>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</si>
  <si>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</si>
  <si>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</si>
  <si>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</si>
  <si>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</si>
  <si>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</si>
  <si>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</si>
  <si>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</si>
  <si>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</si>
  <si>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</si>
  <si>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</si>
  <si>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</si>
  <si>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</si>
  <si>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</si>
  <si>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</si>
  <si>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</si>
  <si>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</si>
  <si>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</si>
  <si>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</si>
  <si>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</si>
  <si>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</si>
  <si>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</si>
  <si>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</si>
  <si>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</si>
  <si>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</si>
  <si>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</si>
  <si>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</si>
  <si>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</si>
  <si>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</si>
  <si>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</si>
  <si>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</si>
  <si>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</si>
  <si>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</si>
  <si>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</si>
  <si>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</si>
  <si>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</si>
  <si>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</si>
  <si>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</si>
  <si>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</si>
  <si>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</si>
  <si>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</si>
  <si>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</si>
  <si>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</si>
  <si>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</si>
  <si>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</si>
  <si>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</si>
  <si>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</si>
  <si>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</si>
  <si>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</si>
  <si>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</si>
  <si>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</si>
  <si>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</si>
  <si>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</si>
  <si>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</si>
  <si>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</si>
  <si>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</si>
  <si>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</si>
  <si>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</si>
  <si>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</si>
  <si>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</si>
  <si>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</si>
  <si>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</si>
  <si>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</si>
  <si>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</si>
  <si>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</si>
  <si>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</si>
  <si>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</si>
  <si>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</si>
  <si>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</si>
  <si>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</si>
  <si>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</si>
  <si>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</si>
  <si>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</si>
  <si>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</si>
  <si>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</si>
  <si>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</si>
  <si>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</si>
  <si>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</si>
  <si>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</si>
  <si>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</si>
  <si>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</si>
  <si>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</si>
  <si>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</si>
  <si>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</si>
  <si>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</si>
  <si>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</si>
  <si>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</si>
  <si>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</si>
  <si>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</si>
  <si>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</si>
  <si>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</si>
  <si>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</si>
  <si>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</si>
  <si>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</si>
  <si>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</si>
  <si>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</si>
  <si>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</si>
  <si>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</si>
  <si>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</si>
  <si>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</si>
  <si>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</si>
  <si>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</si>
  <si>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</si>
  <si>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</si>
  <si>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</si>
  <si>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</si>
  <si>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</si>
  <si>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</si>
  <si>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</si>
  <si>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</si>
  <si>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</si>
  <si>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</si>
  <si>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</si>
  <si>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</si>
  <si>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</si>
  <si>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</si>
  <si>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</si>
  <si>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</si>
  <si>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</si>
  <si>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</si>
  <si>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</si>
  <si>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</si>
  <si>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</si>
  <si>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</si>
  <si>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</si>
  <si>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</si>
  <si>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</si>
  <si>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</si>
  <si>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</si>
  <si>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</si>
  <si>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</si>
  <si>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</si>
  <si>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</si>
  <si>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</si>
  <si>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</si>
  <si>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</si>
  <si>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</si>
  <si>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</si>
  <si>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</si>
  <si>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</si>
  <si>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</si>
  <si>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</si>
  <si>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</si>
  <si>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</si>
  <si>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</si>
  <si>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</si>
  <si>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</si>
  <si>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</si>
  <si>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</si>
  <si>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</si>
  <si>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</si>
  <si>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</si>
  <si>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</si>
  <si>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</si>
  <si>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</si>
  <si>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</si>
  <si>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</si>
  <si>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</si>
  <si>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</si>
  <si>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</si>
  <si>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</si>
  <si>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</si>
  <si>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</si>
  <si>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</si>
  <si>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</si>
  <si>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</si>
  <si>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</si>
  <si>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</si>
  <si>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</si>
  <si>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</si>
  <si>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</si>
  <si>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</si>
  <si>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</si>
  <si>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</si>
  <si>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</si>
  <si>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</si>
  <si>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</si>
  <si>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</si>
  <si>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</si>
  <si>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</si>
  <si>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</si>
  <si>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</si>
  <si>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</si>
  <si>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</si>
  <si>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</si>
  <si>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</si>
  <si>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</si>
  <si>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</si>
  <si>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</si>
  <si>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</si>
  <si>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</si>
  <si>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</si>
  <si>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</si>
  <si>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</si>
  <si>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</si>
  <si>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</si>
  <si>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</si>
  <si>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</si>
  <si>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</si>
  <si>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</si>
  <si>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</si>
  <si>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</si>
  <si>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</si>
  <si>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</si>
  <si>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</si>
  <si>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</si>
  <si>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</si>
  <si>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</si>
  <si>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</si>
  <si>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</si>
  <si>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</si>
  <si>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</si>
  <si>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</si>
  <si>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</si>
  <si>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</si>
  <si>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</si>
  <si>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</si>
  <si>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</si>
  <si>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</si>
  <si>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</si>
  <si>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</si>
  <si>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</si>
  <si>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</si>
  <si>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</si>
  <si>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</si>
  <si>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</si>
  <si>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</si>
  <si>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</si>
  <si>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</si>
  <si>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</si>
  <si>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</si>
  <si>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</si>
  <si>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</si>
  <si>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</si>
  <si>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</si>
  <si>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</si>
  <si>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</si>
  <si>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</si>
  <si>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</si>
  <si>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</si>
  <si>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</si>
  <si>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</si>
  <si>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</si>
  <si>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</si>
  <si>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</si>
  <si>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</si>
  <si>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</si>
  <si>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</si>
  <si>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</si>
  <si>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</si>
  <si>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</si>
  <si>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</si>
  <si>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</si>
  <si>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</si>
  <si>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</si>
  <si>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</si>
  <si>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</si>
  <si>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</si>
  <si>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</si>
  <si>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</si>
  <si>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</si>
  <si>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</si>
  <si>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</si>
  <si>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</si>
  <si>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</si>
  <si>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</si>
  <si>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</si>
  <si>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</si>
  <si>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</si>
  <si>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</si>
  <si>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</si>
  <si>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</si>
  <si>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</si>
  <si>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</si>
  <si>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</si>
  <si>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</si>
  <si>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</si>
  <si>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</si>
  <si>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</si>
  <si>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</si>
  <si>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</si>
  <si>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</si>
  <si>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</si>
  <si>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</si>
  <si>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</si>
  <si>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</si>
  <si>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</si>
  <si>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</si>
  <si>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</si>
  <si>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</si>
  <si>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</si>
  <si>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</si>
  <si>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</si>
  <si>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</si>
  <si>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</si>
  <si>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</si>
  <si>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</si>
  <si>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</si>
  <si>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</si>
  <si>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</si>
  <si>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</si>
  <si>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</si>
  <si>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</si>
  <si>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</si>
  <si>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</si>
  <si>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</si>
  <si>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</si>
  <si>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</si>
  <si>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</si>
  <si>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</si>
  <si>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</si>
  <si>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</si>
  <si>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</si>
  <si>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</si>
  <si>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</si>
  <si>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</si>
  <si>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</si>
  <si>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</si>
  <si>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</si>
  <si>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</si>
  <si>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</si>
  <si>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</si>
  <si>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</si>
  <si>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</si>
  <si>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</si>
  <si>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</si>
  <si>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</si>
  <si>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</si>
  <si>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</si>
  <si>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</si>
  <si>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</si>
  <si>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</si>
  <si>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</si>
  <si>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</si>
  <si>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</si>
  <si>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</si>
  <si>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</si>
  <si>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</si>
  <si>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</si>
  <si>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</si>
  <si>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</si>
  <si>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</si>
  <si>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</si>
  <si>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</si>
  <si>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</si>
  <si>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</si>
  <si>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</si>
  <si>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</si>
  <si>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</si>
  <si>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</si>
  <si>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</si>
  <si>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</si>
  <si>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</si>
  <si>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</si>
  <si>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</si>
  <si>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</si>
  <si>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</si>
  <si>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</si>
  <si>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</si>
  <si>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</si>
  <si>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</si>
  <si>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</si>
  <si>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</si>
  <si>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</si>
  <si>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</si>
  <si>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</si>
  <si>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</si>
  <si>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</si>
  <si>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</si>
  <si>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</si>
  <si>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</si>
  <si>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</si>
  <si>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</si>
  <si>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</si>
  <si>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</si>
  <si>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</si>
  <si>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</si>
  <si>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</si>
  <si>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</si>
  <si>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</si>
  <si>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</si>
  <si>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</si>
  <si>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</si>
  <si>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</si>
  <si>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</si>
  <si>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</si>
  <si>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</si>
  <si>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</si>
  <si>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</si>
  <si>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</si>
  <si>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</si>
  <si>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</si>
  <si>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</si>
  <si>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</si>
  <si>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</si>
  <si>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</si>
  <si>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</si>
  <si>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</si>
  <si>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</si>
  <si>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</si>
  <si>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</si>
  <si>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</si>
  <si>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</si>
  <si>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</si>
  <si>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</si>
  <si>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</si>
  <si>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</si>
  <si>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</si>
  <si>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</si>
  <si>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</si>
  <si>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</si>
  <si>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</si>
  <si>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</si>
  <si>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</si>
  <si>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</si>
  <si>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</si>
  <si>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</si>
  <si>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</si>
  <si>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</si>
  <si>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</si>
  <si>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</si>
  <si>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</si>
  <si>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</si>
  <si>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</si>
  <si>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</si>
  <si>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</si>
  <si>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</si>
  <si>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</si>
  <si>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</si>
  <si>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</si>
  <si>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</si>
  <si>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</si>
  <si>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</si>
  <si>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</si>
  <si>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</si>
  <si>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</si>
  <si>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</si>
  <si>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</si>
  <si>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</si>
  <si>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</si>
  <si>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</si>
  <si>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</si>
  <si>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</si>
  <si>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</si>
  <si>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</si>
  <si>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</si>
  <si>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</si>
  <si>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</si>
  <si>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</si>
  <si>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</si>
  <si>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</si>
  <si>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</si>
  <si>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</si>
  <si>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</si>
  <si>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</si>
  <si>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</si>
  <si>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</si>
  <si>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</si>
  <si>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</si>
  <si>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</si>
  <si>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</si>
  <si>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</si>
  <si>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</si>
  <si>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</si>
  <si>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</si>
  <si>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</si>
  <si>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</si>
  <si>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</si>
  <si>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</si>
  <si>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</si>
  <si>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</si>
  <si>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</si>
  <si>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</si>
  <si>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</si>
  <si>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</si>
  <si>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</si>
  <si>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</si>
  <si>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</si>
  <si>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</si>
  <si>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</si>
  <si>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</si>
  <si>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</si>
  <si>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</si>
  <si>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</si>
  <si>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</si>
  <si>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</si>
  <si>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</si>
  <si>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</si>
  <si>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</si>
  <si>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</si>
  <si>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</si>
  <si>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</si>
  <si>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Hero / Villain / Rogue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</si>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</sst>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205" zoomScaleNormal="205" workbookViewId="0">
      <pane ySplit="1" topLeftCell="A2" activePane="bottomLeft" state="frozen"/>
      <selection pane="bottomLeft" activeCell="F143" sqref="F143"/>
    </sheetView>
  </sheetViews>
  <sheetFormatPr defaultColWidth="8.7109375" defaultRowHeight="15" x14ac:dyDescent="0.25"/>
  <cols>
    <col min="1" max="1" width="22" customWidth="1"/>
    <col min="2" max="2" width="14.140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/>
      <c r="E5" s="5"/>
      <c r="F5" s="5"/>
      <c r="G5" s="5"/>
      <c r="H5" s="5"/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1</v>
      </c>
      <c r="Q5" s="6" t="str">
        <f t="shared" si="1"/>
        <v>No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/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5</v>
      </c>
      <c r="Q6" s="6" t="str">
        <f t="shared" si="1"/>
        <v>No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/>
      <c r="D10" s="5"/>
      <c r="E10" s="5"/>
      <c r="F10" s="5"/>
      <c r="G10" s="5"/>
      <c r="H10" s="5" t="s">
        <v>77</v>
      </c>
      <c r="I10" s="5"/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1</v>
      </c>
      <c r="Q10" s="6" t="str">
        <f t="shared" si="1"/>
        <v>No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/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5</v>
      </c>
      <c r="Q13" s="6" t="str">
        <f t="shared" si="1"/>
        <v>No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/>
      <c r="E14" s="5" t="s">
        <v>45</v>
      </c>
      <c r="F14" s="5" t="s">
        <v>46</v>
      </c>
      <c r="G14" s="5" t="s">
        <v>57</v>
      </c>
      <c r="H14" s="5" t="s">
        <v>129</v>
      </c>
      <c r="I14" s="5"/>
      <c r="J14" s="5"/>
      <c r="K14" s="5"/>
      <c r="L14" s="5"/>
      <c r="M14" s="5"/>
      <c r="N14" s="5" t="s">
        <v>66</v>
      </c>
      <c r="O14" s="5"/>
      <c r="P14" s="6">
        <f t="shared" si="0"/>
        <v>4</v>
      </c>
      <c r="Q14" s="6" t="str">
        <f t="shared" si="1"/>
        <v>No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/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5</v>
      </c>
      <c r="Q15" s="6" t="str">
        <f t="shared" si="1"/>
        <v>No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/>
      <c r="F16" s="5" t="s">
        <v>107</v>
      </c>
      <c r="G16" s="5" t="s">
        <v>47</v>
      </c>
      <c r="H16" s="5" t="s">
        <v>138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3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/>
      <c r="D18" s="5"/>
      <c r="E18" s="5"/>
      <c r="F18" s="5"/>
      <c r="G18" s="5"/>
      <c r="H18" s="5" t="s">
        <v>77</v>
      </c>
      <c r="I18" s="5"/>
      <c r="J18" s="5"/>
      <c r="K18" s="5"/>
      <c r="L18" s="5"/>
      <c r="M18" s="5"/>
      <c r="N18" s="5" t="s">
        <v>66</v>
      </c>
      <c r="O18" s="5"/>
      <c r="P18" s="6">
        <f t="shared" si="0"/>
        <v>1</v>
      </c>
      <c r="Q18" s="6" t="str">
        <f t="shared" si="1"/>
        <v>No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1872</v>
      </c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5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5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/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5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/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5</v>
      </c>
      <c r="Q504" s="6" t="str">
        <f t="shared" si="15"/>
        <v>No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Lists!$A$2:$A$6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inlineStr">
        <is>
          <t>Hero / Villain / Rogue / Unknown / Non-cape</t>
        </is>
      </c>
      <c r="D2" s="7" t="s">
        <v>1689</v>
      </c>
      <c r="E2" s="8">
        <f>COUNTA(Roster!D2:D701)</f>
        <v>315</v>
      </c>
      <c r="F2" s="9">
        <f>IF(COUNTA(Roster!A2:A701)=0,0,E2/COUNTA(Roster!A2:A701))</f>
        <v>0.53389830508474578</v>
      </c>
    </row>
    <row r="3" spans="1:6" x14ac:dyDescent="0.25">
      <c r="A3" s="7">
        <v>2</v>
      </c>
      <c r="B3" s="7" t="s">
        <v>21</v>
      </c>
      <c r="C3" s="7" t="s">
        <v>1690</v>
      </c>
      <c r="D3" s="7" t="s">
        <v>1691</v>
      </c>
      <c r="E3" s="8">
        <f>COUNTA(Roster!E2:E701)</f>
        <v>225</v>
      </c>
      <c r="F3" s="9">
        <f>IF(COUNTA(Roster!A2:A701)=0,0,E3/COUNTA(Roster!A2:A701))</f>
        <v>0.38135593220338981</v>
      </c>
    </row>
    <row r="4" spans="1:6" x14ac:dyDescent="0.25">
      <c r="A4" s="7">
        <v>3</v>
      </c>
      <c r="B4" s="7" t="s">
        <v>22</v>
      </c>
      <c r="C4" s="7" t="s">
        <v>1692</v>
      </c>
      <c r="D4" s="7" t="s">
        <v>1693</v>
      </c>
      <c r="E4" s="8">
        <f>COUNTA(Roster!F2:F701)</f>
        <v>228</v>
      </c>
      <c r="F4" s="9">
        <f>IF(COUNTA(Roster!A2:A701)=0,0,E4/COUNTA(Roster!A2:A701))</f>
        <v>0.38644067796610171</v>
      </c>
    </row>
    <row r="5" spans="1:6" x14ac:dyDescent="0.25">
      <c r="A5" s="7">
        <v>4</v>
      </c>
      <c r="B5" s="7" t="s">
        <v>1694</v>
      </c>
      <c r="C5" s="7" t="s">
        <v>1695</v>
      </c>
      <c r="D5" s="7" t="s">
        <v>1696</v>
      </c>
      <c r="E5" s="8">
        <f>COUNTA(Roster!G2:G701)</f>
        <v>311</v>
      </c>
      <c r="F5" s="9">
        <f>IF(COUNTA(Roster!A2:A701)=0,0,E5/COUNTA(Roster!A2:A701))</f>
        <v>0.52711864406779663</v>
      </c>
    </row>
    <row r="6" spans="1:6" x14ac:dyDescent="0.25">
      <c r="A6" s="7">
        <v>5</v>
      </c>
      <c r="B6" s="7" t="s">
        <v>1697</v>
      </c>
      <c r="C6" s="7" t="s">
        <v>1698</v>
      </c>
      <c r="D6" s="7" t="s">
        <v>1699</v>
      </c>
      <c r="E6" s="8">
        <f>COUNTA(Roster!H2:H701)</f>
        <v>451</v>
      </c>
      <c r="F6" s="9">
        <f>IF(COUNTA(Roster!A2:A701)=0,0,E6/COUNTA(Roster!A2:A701))</f>
        <v>0.764406779661017</v>
      </c>
    </row>
    <row r="7" spans="1:6" ht="25.5" x14ac:dyDescent="0.25">
      <c r="A7" s="7">
        <v>6</v>
      </c>
      <c r="B7" s="7" t="s">
        <v>1700</v>
      </c>
      <c r="C7" s="7" t="s">
        <v>1701</v>
      </c>
      <c r="D7" s="7" t="s">
        <v>1702</v>
      </c>
      <c r="E7" s="8">
        <f>COUNTA(Roster!I2:I701)</f>
        <v>313</v>
      </c>
      <c r="F7" s="9">
        <f>IF(COUNTA(Roster!A2:A701)=0,0,E7/COUNTA(Roster!A2:A701))</f>
        <v>0.53050847457627115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1703</v>
      </c>
      <c r="B1" s="4" t="s">
        <v>1704</v>
      </c>
      <c r="C1" s="4" t="s">
        <v>1705</v>
      </c>
      <c r="D1" s="4" t="s">
        <v>1706</v>
      </c>
    </row>
    <row r="2" spans="1:4" x14ac:dyDescent="0.25">
      <c r="A2" s="6" t="s">
        <v>71</v>
      </c>
      <c r="B2" s="6" t="s">
        <v>1707</v>
      </c>
      <c r="C2" s="6">
        <f>COUNTIF(Roster!$I$2:$I$701,A2)</f>
        <v>24</v>
      </c>
      <c r="D2" s="10">
        <f t="shared" ref="D2:D13" si="0">IF(SUM($C$2:$C$13)=0,0,C2/SUM($C$2:$C$13))</f>
        <v>7.6677316293929709E-2</v>
      </c>
    </row>
    <row r="3" spans="1:4" x14ac:dyDescent="0.25">
      <c r="A3" s="6" t="s">
        <v>91</v>
      </c>
      <c r="B3" s="6" t="s">
        <v>1708</v>
      </c>
      <c r="C3" s="6">
        <f>COUNTIF(Roster!$I$2:$I$701,A3)</f>
        <v>38</v>
      </c>
      <c r="D3" s="10">
        <f t="shared" si="0"/>
        <v>0.12140575079872204</v>
      </c>
    </row>
    <row r="4" spans="1:4" x14ac:dyDescent="0.25">
      <c r="A4" s="6" t="s">
        <v>72</v>
      </c>
      <c r="B4" s="6" t="s">
        <v>1709</v>
      </c>
      <c r="C4" s="6">
        <f>COUNTIF(Roster!$I$2:$I$701,A4)</f>
        <v>30</v>
      </c>
      <c r="D4" s="10">
        <f t="shared" si="0"/>
        <v>9.5846645367412137E-2</v>
      </c>
    </row>
    <row r="5" spans="1:4" x14ac:dyDescent="0.25">
      <c r="A5" s="6" t="s">
        <v>59</v>
      </c>
      <c r="B5" s="6" t="s">
        <v>1710</v>
      </c>
      <c r="C5" s="6">
        <f>COUNTIF(Roster!$I$2:$I$701,A5)</f>
        <v>22</v>
      </c>
      <c r="D5" s="10">
        <f t="shared" si="0"/>
        <v>7.0287539936102233E-2</v>
      </c>
    </row>
    <row r="6" spans="1:4" x14ac:dyDescent="0.25">
      <c r="A6" s="6" t="s">
        <v>192</v>
      </c>
      <c r="B6" s="6" t="s">
        <v>1711</v>
      </c>
      <c r="C6" s="6">
        <f>COUNTIF(Roster!$I$2:$I$701,A6)</f>
        <v>38</v>
      </c>
      <c r="D6" s="10">
        <f t="shared" si="0"/>
        <v>0.12140575079872204</v>
      </c>
    </row>
    <row r="7" spans="1:4" x14ac:dyDescent="0.25">
      <c r="A7" s="6" t="s">
        <v>123</v>
      </c>
      <c r="B7" s="6" t="s">
        <v>1712</v>
      </c>
      <c r="C7" s="6">
        <f>COUNTIF(Roster!$I$2:$I$701,A7)</f>
        <v>42</v>
      </c>
      <c r="D7" s="10">
        <f t="shared" si="0"/>
        <v>0.13418530351437699</v>
      </c>
    </row>
    <row r="8" spans="1:4" x14ac:dyDescent="0.25">
      <c r="A8" s="6" t="s">
        <v>119</v>
      </c>
      <c r="B8" s="6" t="s">
        <v>1713</v>
      </c>
      <c r="C8" s="6">
        <f>COUNTIF(Roster!$I$2:$I$701,A8)</f>
        <v>32</v>
      </c>
      <c r="D8" s="10">
        <f t="shared" si="0"/>
        <v>0.10223642172523961</v>
      </c>
    </row>
    <row r="9" spans="1:4" x14ac:dyDescent="0.25">
      <c r="A9" s="6" t="s">
        <v>49</v>
      </c>
      <c r="B9" s="6" t="s">
        <v>1714</v>
      </c>
      <c r="C9" s="6">
        <f>COUNTIF(Roster!$I$2:$I$701,A9)</f>
        <v>33</v>
      </c>
      <c r="D9" s="10">
        <f t="shared" si="0"/>
        <v>0.10543130990415335</v>
      </c>
    </row>
    <row r="10" spans="1:4" x14ac:dyDescent="0.25">
      <c r="A10" s="6" t="s">
        <v>78</v>
      </c>
      <c r="B10" s="6" t="s">
        <v>1715</v>
      </c>
      <c r="C10" s="6">
        <f>COUNTIF(Roster!$I$2:$I$701,A10)</f>
        <v>21</v>
      </c>
      <c r="D10" s="10">
        <f t="shared" si="0"/>
        <v>6.7092651757188496E-2</v>
      </c>
    </row>
    <row r="11" spans="1:4" x14ac:dyDescent="0.25">
      <c r="A11" s="6" t="s">
        <v>178</v>
      </c>
      <c r="B11" s="6" t="s">
        <v>1716</v>
      </c>
      <c r="C11" s="6">
        <f>COUNTIF(Roster!$I$2:$I$701,A11)</f>
        <v>12</v>
      </c>
      <c r="D11" s="10">
        <f t="shared" si="0"/>
        <v>3.8338658146964855E-2</v>
      </c>
    </row>
    <row r="12" spans="1:4" x14ac:dyDescent="0.25">
      <c r="A12" s="6" t="s">
        <v>133</v>
      </c>
      <c r="B12" s="6" t="s">
        <v>1717</v>
      </c>
      <c r="C12" s="6">
        <f>COUNTIF(Roster!$I$2:$I$701,A12)</f>
        <v>12</v>
      </c>
      <c r="D12" s="10">
        <f t="shared" si="0"/>
        <v>3.8338658146964855E-2</v>
      </c>
    </row>
    <row r="13" spans="1:4" x14ac:dyDescent="0.25">
      <c r="A13" s="6" t="s">
        <v>193</v>
      </c>
      <c r="B13" s="6" t="s">
        <v>1718</v>
      </c>
      <c r="C13" s="6">
        <f>COUNTIF(Roster!$I$2:$I$701,A13)</f>
        <v>9</v>
      </c>
      <c r="D13" s="10">
        <f t="shared" si="0"/>
        <v>2.8753993610223641E-2</v>
      </c>
    </row>
    <row r="14" spans="1:4" x14ac:dyDescent="0.25">
      <c r="A14" s="11" t="s">
        <v>1719</v>
      </c>
      <c r="C14" s="11">
        <f>SUM(C2:C13)</f>
        <v>313</v>
      </c>
    </row>
    <row r="16" spans="1:4" x14ac:dyDescent="0.25">
      <c r="A16" s="8" t="s">
        <v>1720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1721</v>
      </c>
      <c r="B1" s="4" t="s">
        <v>1722</v>
      </c>
      <c r="C1" s="4" t="s">
        <v>1723</v>
      </c>
    </row>
    <row r="2" spans="1:3" x14ac:dyDescent="0.25">
      <c r="A2" s="8" t="s">
        <v>1724</v>
      </c>
      <c r="B2" s="8">
        <f>COUNTA('Clue Ladder'!B2:B7)</f>
        <v>6</v>
      </c>
      <c r="C2" s="8" t="s">
        <v>1725</v>
      </c>
    </row>
    <row r="3" spans="1:3" x14ac:dyDescent="0.25">
      <c r="A3" s="8" t="s">
        <v>1726</v>
      </c>
      <c r="B3" s="12">
        <v>0</v>
      </c>
      <c r="C3" s="8" t="s">
        <v>1727</v>
      </c>
    </row>
    <row r="4" spans="1:3" x14ac:dyDescent="0.25">
      <c r="A4" s="8" t="s">
        <v>1728</v>
      </c>
      <c r="B4" s="8">
        <f>B2+1</f>
        <v>7</v>
      </c>
      <c r="C4" s="8" t="s">
        <v>1729</v>
      </c>
    </row>
    <row r="5" spans="1:3" x14ac:dyDescent="0.25">
      <c r="A5" s="8" t="s">
        <v>1730</v>
      </c>
      <c r="B5" s="12">
        <v>150</v>
      </c>
      <c r="C5" s="8" t="s">
        <v>1731</v>
      </c>
    </row>
    <row r="6" spans="1:3" x14ac:dyDescent="0.25">
      <c r="A6" s="8" t="s">
        <v>1732</v>
      </c>
      <c r="B6" s="12">
        <v>250</v>
      </c>
      <c r="C6" s="8" t="s">
        <v>1733</v>
      </c>
    </row>
    <row r="7" spans="1:3" x14ac:dyDescent="0.25">
      <c r="A7" s="8" t="s">
        <v>1734</v>
      </c>
      <c r="B7" s="12">
        <v>300</v>
      </c>
      <c r="C7" s="8" t="s">
        <v>1735</v>
      </c>
    </row>
    <row r="8" spans="1:3" x14ac:dyDescent="0.25">
      <c r="A8" s="8" t="s">
        <v>1736</v>
      </c>
      <c r="B8" s="8" t="s">
        <v>1737</v>
      </c>
      <c r="C8" s="8" t="s">
        <v>1738</v>
      </c>
    </row>
    <row r="9" spans="1:3" x14ac:dyDescent="0.25">
      <c r="A9" s="11" t="s">
        <v>1739</v>
      </c>
      <c r="B9" s="8"/>
      <c r="C9" s="8"/>
    </row>
    <row r="10" spans="1:3" x14ac:dyDescent="0.25">
      <c r="A10" s="8" t="s">
        <v>1740</v>
      </c>
      <c r="B10" s="8">
        <f>COUNTA(Roster!A2:A701)</f>
        <v>590</v>
      </c>
      <c r="C10" s="8" t="s">
        <v>1741</v>
      </c>
    </row>
    <row r="11" spans="1:3" x14ac:dyDescent="0.25">
      <c r="A11" s="8" t="s">
        <v>1742</v>
      </c>
      <c r="B11" s="8">
        <f>COUNTIF(Roster!Q2:Q701,"Yes")</f>
        <v>105</v>
      </c>
      <c r="C11" s="8" t="s">
        <v>1741</v>
      </c>
    </row>
    <row r="12" spans="1:3" x14ac:dyDescent="0.25">
      <c r="A12" s="8" t="s">
        <v>1743</v>
      </c>
      <c r="B12" s="9">
        <f>IF(B5=0,0,B11/B5)</f>
        <v>0.7</v>
      </c>
      <c r="C12" s="8" t="s">
        <v>1741</v>
      </c>
    </row>
    <row r="13" spans="1:3" x14ac:dyDescent="0.25">
      <c r="A13" s="8" t="s">
        <v>1744</v>
      </c>
      <c r="B13" s="13">
        <f>IFERROR(AVERAGE(Roster!P2:P701),0)</f>
        <v>3.123728813559322</v>
      </c>
      <c r="C13" s="8" t="s">
        <v>1741</v>
      </c>
    </row>
    <row r="14" spans="1:3" x14ac:dyDescent="0.25">
      <c r="A14" s="8" t="s">
        <v>1745</v>
      </c>
      <c r="B14" s="8">
        <f>COUNTIF(Roster!L2:L701,"Y")</f>
        <v>2</v>
      </c>
      <c r="C14" s="8" t="s">
        <v>1741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1746</v>
      </c>
      <c r="B1" s="4" t="s">
        <v>1747</v>
      </c>
    </row>
    <row r="2" spans="1:2" x14ac:dyDescent="0.25">
      <c r="A2" s="7" t="s">
        <v>1694</v>
      </c>
      <c r="B2" s="7" t="s">
        <v>1748</v>
      </c>
    </row>
    <row r="3" spans="1:2" ht="25.5" x14ac:dyDescent="0.25">
      <c r="A3" s="7" t="s">
        <v>1687</v>
      </c>
      <c r="B3" s="7" t="s">
        <v>1749</v>
      </c>
    </row>
    <row r="4" spans="1:2" x14ac:dyDescent="0.25">
      <c r="A4" s="7" t="s">
        <v>1697</v>
      </c>
      <c r="B4" s="7" t="s">
        <v>1750</v>
      </c>
    </row>
    <row r="5" spans="1:2" x14ac:dyDescent="0.25">
      <c r="A5" s="7" t="s">
        <v>1700</v>
      </c>
      <c r="B5" s="7" t="s">
        <v>1751</v>
      </c>
    </row>
    <row r="6" spans="1:2" x14ac:dyDescent="0.25">
      <c r="A6" s="7" t="s">
        <v>22</v>
      </c>
      <c r="B6" s="7" t="s">
        <v>1752</v>
      </c>
    </row>
    <row r="7" spans="1:2" x14ac:dyDescent="0.25">
      <c r="A7" s="7" t="s">
        <v>1753</v>
      </c>
      <c r="B7" s="7" t="s">
        <v>1754</v>
      </c>
    </row>
    <row r="8" spans="1:2" x14ac:dyDescent="0.25">
      <c r="A8" s="7" t="s">
        <v>1755</v>
      </c>
      <c r="B8" s="7" t="s">
        <v>1756</v>
      </c>
    </row>
    <row r="9" spans="1:2" x14ac:dyDescent="0.25">
      <c r="A9" s="7" t="s">
        <v>1757</v>
      </c>
      <c r="B9" s="7" t="s">
        <v>1758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1759</v>
      </c>
      <c r="B1" s="4" t="s">
        <v>1760</v>
      </c>
      <c r="C1" s="4" t="s">
        <v>1761</v>
      </c>
    </row>
    <row r="2" spans="1:3" x14ac:dyDescent="0.25">
      <c r="A2" s="7" t="s">
        <v>1762</v>
      </c>
      <c r="B2" s="7" t="s">
        <v>1763</v>
      </c>
      <c r="C2" s="7" t="s">
        <v>1764</v>
      </c>
    </row>
    <row r="3" spans="1:3" x14ac:dyDescent="0.25">
      <c r="A3" s="7" t="s">
        <v>1765</v>
      </c>
      <c r="B3" s="7" t="s">
        <v>1766</v>
      </c>
      <c r="C3" s="7" t="s">
        <v>1767</v>
      </c>
    </row>
    <row r="4" spans="1:3" x14ac:dyDescent="0.25">
      <c r="A4" s="7" t="s">
        <v>1768</v>
      </c>
      <c r="B4" s="7" t="s">
        <v>1769</v>
      </c>
      <c r="C4" s="7" t="s">
        <v>1770</v>
      </c>
    </row>
    <row r="5" spans="1:3" x14ac:dyDescent="0.25">
      <c r="A5" s="7" t="s">
        <v>1771</v>
      </c>
      <c r="B5" s="7" t="s">
        <v>1772</v>
      </c>
      <c r="C5" s="7" t="s">
        <v>1773</v>
      </c>
    </row>
    <row r="6" spans="1:3" ht="25.5" x14ac:dyDescent="0.25">
      <c r="A6" s="7" t="s">
        <v>1774</v>
      </c>
      <c r="B6" s="7" t="s">
        <v>1775</v>
      </c>
      <c r="C6" s="7" t="s">
        <v>1776</v>
      </c>
    </row>
    <row r="7" spans="1:3" x14ac:dyDescent="0.25">
      <c r="A7" s="7" t="s">
        <v>1777</v>
      </c>
      <c r="B7" s="7" t="s">
        <v>1778</v>
      </c>
      <c r="C7" s="7" t="s">
        <v>1779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1780</v>
      </c>
      <c r="B1" s="4" t="s">
        <v>1781</v>
      </c>
      <c r="C1" s="4" t="s">
        <v>1782</v>
      </c>
      <c r="D1" s="4" t="s">
        <v>31</v>
      </c>
    </row>
    <row r="2" spans="1:4" x14ac:dyDescent="0.25">
      <c r="A2" s="7" t="s">
        <v>1783</v>
      </c>
      <c r="B2" s="7" t="s">
        <v>1784</v>
      </c>
      <c r="C2" s="7" t="s">
        <v>1785</v>
      </c>
      <c r="D2" s="7" t="s">
        <v>1786</v>
      </c>
    </row>
    <row r="3" spans="1:4" x14ac:dyDescent="0.25">
      <c r="A3" s="7" t="s">
        <v>1700</v>
      </c>
      <c r="B3" s="7" t="s">
        <v>1784</v>
      </c>
      <c r="C3" s="7" t="s">
        <v>1785</v>
      </c>
      <c r="D3" s="7" t="s">
        <v>1787</v>
      </c>
    </row>
    <row r="4" spans="1:4" x14ac:dyDescent="0.25">
      <c r="A4" s="7" t="s">
        <v>1788</v>
      </c>
      <c r="B4" s="7" t="s">
        <v>1789</v>
      </c>
      <c r="C4" s="7" t="s">
        <v>1790</v>
      </c>
      <c r="D4" s="7" t="s">
        <v>1791</v>
      </c>
    </row>
    <row r="5" spans="1:4" x14ac:dyDescent="0.25">
      <c r="A5" s="7" t="s">
        <v>1792</v>
      </c>
      <c r="B5" s="7" t="s">
        <v>1793</v>
      </c>
      <c r="C5" s="7" t="s">
        <v>1794</v>
      </c>
      <c r="D5" s="7" t="s">
        <v>1795</v>
      </c>
    </row>
    <row r="6" spans="1:4" x14ac:dyDescent="0.25">
      <c r="A6" s="7" t="s">
        <v>1796</v>
      </c>
      <c r="B6" s="7" t="s">
        <v>1797</v>
      </c>
      <c r="C6" s="7" t="s">
        <v>1798</v>
      </c>
      <c r="D6" s="7"/>
    </row>
    <row r="7" spans="1:4" x14ac:dyDescent="0.25">
      <c r="A7" s="7" t="s">
        <v>1799</v>
      </c>
      <c r="B7" s="7" t="s">
        <v>1800</v>
      </c>
      <c r="C7" s="7" t="s">
        <v>1801</v>
      </c>
      <c r="D7" s="7" t="s">
        <v>1802</v>
      </c>
    </row>
    <row r="8" spans="1:4" x14ac:dyDescent="0.25">
      <c r="A8" s="7" t="s">
        <v>1803</v>
      </c>
      <c r="B8" s="7" t="s">
        <v>1804</v>
      </c>
      <c r="C8" s="7" t="s">
        <v>1805</v>
      </c>
      <c r="D8" s="7" t="s">
        <v>1806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1807</v>
      </c>
      <c r="B1" s="4" t="s">
        <v>1808</v>
      </c>
      <c r="C1" s="4" t="s">
        <v>1694</v>
      </c>
      <c r="D1" s="4" t="s">
        <v>1809</v>
      </c>
    </row>
    <row r="2" spans="1:4" x14ac:dyDescent="0.25">
      <c r="A2" s="7" t="s">
        <v>1810</v>
      </c>
      <c r="B2" s="7" t="s">
        <v>1811</v>
      </c>
      <c r="C2" s="14" t="s">
        <v>1812</v>
      </c>
      <c r="D2" s="15"/>
    </row>
    <row r="3" spans="1:4" x14ac:dyDescent="0.25">
      <c r="A3" s="7" t="s">
        <v>1810</v>
      </c>
      <c r="B3" s="7" t="s">
        <v>1813</v>
      </c>
      <c r="C3" s="14" t="s">
        <v>1812</v>
      </c>
      <c r="D3" s="15"/>
    </row>
    <row r="4" spans="1:4" x14ac:dyDescent="0.25">
      <c r="A4" s="7" t="s">
        <v>1810</v>
      </c>
      <c r="B4" s="7" t="s">
        <v>1814</v>
      </c>
      <c r="C4" s="14" t="s">
        <v>1812</v>
      </c>
      <c r="D4" s="15"/>
    </row>
    <row r="5" spans="1:4" x14ac:dyDescent="0.25">
      <c r="A5" s="7" t="s">
        <v>1810</v>
      </c>
      <c r="B5" s="7" t="s">
        <v>1815</v>
      </c>
      <c r="C5" s="14" t="s">
        <v>1812</v>
      </c>
      <c r="D5" s="15"/>
    </row>
    <row r="6" spans="1:4" x14ac:dyDescent="0.25">
      <c r="A6" s="7" t="s">
        <v>1810</v>
      </c>
      <c r="B6" s="7" t="s">
        <v>1816</v>
      </c>
      <c r="C6" s="14" t="s">
        <v>1812</v>
      </c>
      <c r="D6" s="15"/>
    </row>
    <row r="7" spans="1:4" x14ac:dyDescent="0.25">
      <c r="A7" s="7" t="s">
        <v>1817</v>
      </c>
      <c r="B7" s="7" t="s">
        <v>1818</v>
      </c>
      <c r="C7" s="14" t="s">
        <v>1812</v>
      </c>
      <c r="D7" s="15"/>
    </row>
    <row r="8" spans="1:4" x14ac:dyDescent="0.25">
      <c r="A8" s="7" t="s">
        <v>1817</v>
      </c>
      <c r="B8" s="7" t="s">
        <v>1819</v>
      </c>
      <c r="C8" s="14" t="s">
        <v>1812</v>
      </c>
      <c r="D8" s="15"/>
    </row>
    <row r="9" spans="1:4" x14ac:dyDescent="0.25">
      <c r="A9" s="7" t="s">
        <v>1817</v>
      </c>
      <c r="B9" s="7" t="s">
        <v>1820</v>
      </c>
      <c r="C9" s="14" t="s">
        <v>1812</v>
      </c>
      <c r="D9" s="15"/>
    </row>
    <row r="10" spans="1:4" x14ac:dyDescent="0.25">
      <c r="A10" s="7" t="s">
        <v>1817</v>
      </c>
      <c r="B10" s="7" t="s">
        <v>1821</v>
      </c>
      <c r="C10" s="14" t="s">
        <v>1812</v>
      </c>
      <c r="D10" s="15"/>
    </row>
    <row r="11" spans="1:4" x14ac:dyDescent="0.25">
      <c r="A11" s="7" t="s">
        <v>1822</v>
      </c>
      <c r="B11" s="7" t="s">
        <v>1823</v>
      </c>
      <c r="C11" s="14" t="s">
        <v>1812</v>
      </c>
      <c r="D11" s="15"/>
    </row>
    <row r="12" spans="1:4" x14ac:dyDescent="0.25">
      <c r="A12" s="7" t="s">
        <v>1822</v>
      </c>
      <c r="B12" s="7" t="s">
        <v>1824</v>
      </c>
      <c r="C12" s="14" t="s">
        <v>1812</v>
      </c>
      <c r="D12" s="15"/>
    </row>
    <row r="13" spans="1:4" x14ac:dyDescent="0.25">
      <c r="A13" s="7" t="s">
        <v>1822</v>
      </c>
      <c r="B13" s="7" t="s">
        <v>1825</v>
      </c>
      <c r="C13" s="14" t="s">
        <v>1812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1826</v>
      </c>
      <c r="B1" s="4" t="s">
        <v>1827</v>
      </c>
      <c r="C1" s="4" t="s">
        <v>1871</v>
      </c>
    </row>
    <row r="2" spans="1:3" x14ac:dyDescent="0.25">
      <c r="A2" s="7" t="s">
        <v>1828</v>
      </c>
      <c r="B2" s="7" t="s">
        <v>1829</v>
      </c>
      <c r="C2" s="14"/>
    </row>
    <row r="3" spans="1:3" x14ac:dyDescent="0.25">
      <c r="A3" s="7" t="s">
        <v>1830</v>
      </c>
      <c r="B3" s="7" t="s">
        <v>1831</v>
      </c>
      <c r="C3" s="14"/>
    </row>
    <row r="4" spans="1:3" x14ac:dyDescent="0.25">
      <c r="A4" s="7" t="s">
        <v>1832</v>
      </c>
      <c r="B4" s="7" t="s">
        <v>1833</v>
      </c>
      <c r="C4" s="14"/>
    </row>
    <row r="5" spans="1:3" x14ac:dyDescent="0.25">
      <c r="A5" s="7" t="s">
        <v>1834</v>
      </c>
      <c r="B5" s="7" t="s">
        <v>1835</v>
      </c>
      <c r="C5" s="14"/>
    </row>
    <row r="6" spans="1:3" x14ac:dyDescent="0.25">
      <c r="A6" s="7" t="s">
        <v>1836</v>
      </c>
      <c r="B6" s="7" t="s">
        <v>1835</v>
      </c>
      <c r="C6" s="14"/>
    </row>
    <row r="7" spans="1:3" ht="25.5" x14ac:dyDescent="0.25">
      <c r="A7" s="7" t="s">
        <v>1837</v>
      </c>
      <c r="B7" s="7" t="s">
        <v>1838</v>
      </c>
      <c r="C7" s="14"/>
    </row>
    <row r="8" spans="1:3" x14ac:dyDescent="0.25">
      <c r="A8" s="7" t="s">
        <v>1839</v>
      </c>
      <c r="B8" s="7" t="s">
        <v>1835</v>
      </c>
      <c r="C8" s="14"/>
    </row>
    <row r="9" spans="1:3" x14ac:dyDescent="0.25">
      <c r="A9" s="7" t="s">
        <v>1840</v>
      </c>
      <c r="B9" s="7" t="s">
        <v>1841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1842</v>
      </c>
      <c r="B1" s="16" t="s">
        <v>1780</v>
      </c>
      <c r="C1" s="16" t="s">
        <v>1843</v>
      </c>
      <c r="D1" s="16" t="s">
        <v>1844</v>
      </c>
      <c r="E1" s="16" t="s">
        <v>1845</v>
      </c>
      <c r="F1" s="16" t="s">
        <v>1846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1847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1847</v>
      </c>
      <c r="F3" s="8"/>
    </row>
    <row r="4" spans="1:6" x14ac:dyDescent="0.25">
      <c r="A4" s="8" t="s">
        <v>56</v>
      </c>
      <c r="B4" s="8" t="s">
        <v>1694</v>
      </c>
      <c r="C4" s="8"/>
      <c r="D4" s="8" t="s">
        <v>57</v>
      </c>
      <c r="E4" s="8" t="s">
        <v>1847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1847</v>
      </c>
      <c r="F5" s="8"/>
    </row>
    <row r="6" spans="1:6" x14ac:dyDescent="0.25">
      <c r="A6" s="8" t="s">
        <v>75</v>
      </c>
      <c r="B6" s="8" t="s">
        <v>1694</v>
      </c>
      <c r="C6" s="8"/>
      <c r="D6" s="8" t="s">
        <v>57</v>
      </c>
      <c r="E6" s="8" t="s">
        <v>1847</v>
      </c>
      <c r="F6" s="8"/>
    </row>
    <row r="7" spans="1:6" x14ac:dyDescent="0.25">
      <c r="A7" s="8" t="s">
        <v>75</v>
      </c>
      <c r="B7" s="8" t="s">
        <v>1700</v>
      </c>
      <c r="C7" s="8"/>
      <c r="D7" s="8" t="s">
        <v>78</v>
      </c>
      <c r="E7" s="8" t="s">
        <v>1847</v>
      </c>
      <c r="F7" s="8"/>
    </row>
    <row r="8" spans="1:6" x14ac:dyDescent="0.25">
      <c r="A8" s="8" t="s">
        <v>82</v>
      </c>
      <c r="B8" s="8" t="s">
        <v>1700</v>
      </c>
      <c r="C8" s="8" t="s">
        <v>72</v>
      </c>
      <c r="D8" s="8" t="s">
        <v>71</v>
      </c>
      <c r="E8" s="8" t="s">
        <v>1848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1847</v>
      </c>
      <c r="F9" s="8"/>
    </row>
    <row r="10" spans="1:6" x14ac:dyDescent="0.25">
      <c r="A10" s="8" t="s">
        <v>89</v>
      </c>
      <c r="B10" s="8" t="s">
        <v>1694</v>
      </c>
      <c r="C10" s="8"/>
      <c r="D10" s="8" t="s">
        <v>47</v>
      </c>
      <c r="E10" s="8" t="s">
        <v>1847</v>
      </c>
      <c r="F10" s="8"/>
    </row>
    <row r="11" spans="1:6" x14ac:dyDescent="0.25">
      <c r="A11" s="8" t="s">
        <v>89</v>
      </c>
      <c r="B11" s="8" t="s">
        <v>1700</v>
      </c>
      <c r="C11" s="8"/>
      <c r="D11" s="8" t="s">
        <v>91</v>
      </c>
      <c r="E11" s="8" t="s">
        <v>1847</v>
      </c>
      <c r="F11" s="8"/>
    </row>
    <row r="12" spans="1:6" x14ac:dyDescent="0.25">
      <c r="A12" s="8" t="s">
        <v>95</v>
      </c>
      <c r="B12" s="8" t="s">
        <v>1694</v>
      </c>
      <c r="C12" s="8"/>
      <c r="D12" s="8" t="s">
        <v>47</v>
      </c>
      <c r="E12" s="8" t="s">
        <v>1847</v>
      </c>
      <c r="F12" s="8"/>
    </row>
    <row r="13" spans="1:6" x14ac:dyDescent="0.25">
      <c r="A13" s="8" t="s">
        <v>106</v>
      </c>
      <c r="B13" s="8" t="s">
        <v>1697</v>
      </c>
      <c r="C13" s="8" t="s">
        <v>115</v>
      </c>
      <c r="D13" s="8" t="s">
        <v>77</v>
      </c>
      <c r="E13" s="8" t="s">
        <v>1849</v>
      </c>
      <c r="F13" s="8"/>
    </row>
    <row r="14" spans="1:6" x14ac:dyDescent="0.25">
      <c r="A14" s="8" t="s">
        <v>106</v>
      </c>
      <c r="B14" s="8" t="s">
        <v>1700</v>
      </c>
      <c r="C14" s="8" t="s">
        <v>72</v>
      </c>
      <c r="D14" s="8" t="s">
        <v>71</v>
      </c>
      <c r="E14" s="8" t="s">
        <v>1848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1847</v>
      </c>
      <c r="F15" s="8"/>
    </row>
    <row r="16" spans="1:6" x14ac:dyDescent="0.25">
      <c r="A16" s="8" t="s">
        <v>131</v>
      </c>
      <c r="B16" s="8" t="s">
        <v>1700</v>
      </c>
      <c r="C16" s="8" t="s">
        <v>133</v>
      </c>
      <c r="D16" s="8" t="s">
        <v>178</v>
      </c>
      <c r="E16" s="8" t="s">
        <v>1848</v>
      </c>
      <c r="F16" s="8"/>
    </row>
    <row r="17" spans="1:6" x14ac:dyDescent="0.25">
      <c r="A17" s="8" t="s">
        <v>142</v>
      </c>
      <c r="B17" s="8" t="s">
        <v>1694</v>
      </c>
      <c r="C17" s="8"/>
      <c r="D17" s="8" t="s">
        <v>47</v>
      </c>
      <c r="E17" s="8" t="s">
        <v>1847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1847</v>
      </c>
      <c r="F18" s="8"/>
    </row>
    <row r="19" spans="1:6" x14ac:dyDescent="0.25">
      <c r="A19" s="8" t="s">
        <v>148</v>
      </c>
      <c r="B19" s="8" t="s">
        <v>1697</v>
      </c>
      <c r="C19" s="8"/>
      <c r="D19" s="8" t="s">
        <v>149</v>
      </c>
      <c r="E19" s="8" t="s">
        <v>1847</v>
      </c>
      <c r="F19" s="8"/>
    </row>
    <row r="20" spans="1:6" x14ac:dyDescent="0.25">
      <c r="A20" s="8" t="s">
        <v>168</v>
      </c>
      <c r="B20" s="8" t="s">
        <v>1694</v>
      </c>
      <c r="C20" s="8"/>
      <c r="D20" s="8" t="s">
        <v>57</v>
      </c>
      <c r="E20" s="8" t="s">
        <v>1847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1847</v>
      </c>
      <c r="F21" s="8"/>
    </row>
    <row r="22" spans="1:6" x14ac:dyDescent="0.25">
      <c r="A22" s="8" t="s">
        <v>174</v>
      </c>
      <c r="B22" s="8" t="s">
        <v>1697</v>
      </c>
      <c r="C22" s="8"/>
      <c r="D22" s="8" t="s">
        <v>149</v>
      </c>
      <c r="E22" s="8" t="s">
        <v>1847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1847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1847</v>
      </c>
      <c r="F24" s="8"/>
    </row>
    <row r="25" spans="1:6" x14ac:dyDescent="0.25">
      <c r="A25" s="8" t="s">
        <v>188</v>
      </c>
      <c r="B25" s="8" t="s">
        <v>1697</v>
      </c>
      <c r="C25" s="8" t="s">
        <v>83</v>
      </c>
      <c r="D25" s="8" t="s">
        <v>77</v>
      </c>
      <c r="E25" s="8" t="s">
        <v>1848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1847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1847</v>
      </c>
      <c r="F27" s="8"/>
    </row>
    <row r="28" spans="1:6" x14ac:dyDescent="0.25">
      <c r="A28" s="8" t="s">
        <v>213</v>
      </c>
      <c r="B28" s="8" t="s">
        <v>1694</v>
      </c>
      <c r="C28" s="8"/>
      <c r="D28" s="8" t="s">
        <v>57</v>
      </c>
      <c r="E28" s="8" t="s">
        <v>1847</v>
      </c>
      <c r="F28" s="8"/>
    </row>
    <row r="29" spans="1:6" x14ac:dyDescent="0.25">
      <c r="A29" s="8" t="s">
        <v>213</v>
      </c>
      <c r="B29" s="8" t="s">
        <v>1700</v>
      </c>
      <c r="C29" s="8" t="s">
        <v>78</v>
      </c>
      <c r="D29" s="8" t="s">
        <v>119</v>
      </c>
      <c r="E29" s="8" t="s">
        <v>1848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1847</v>
      </c>
      <c r="F30" s="8"/>
    </row>
    <row r="31" spans="1:6" x14ac:dyDescent="0.25">
      <c r="A31" s="8" t="s">
        <v>196</v>
      </c>
      <c r="B31" s="8" t="s">
        <v>1697</v>
      </c>
      <c r="C31" s="8" t="s">
        <v>58</v>
      </c>
      <c r="D31" s="8" t="s">
        <v>191</v>
      </c>
      <c r="E31" s="8" t="s">
        <v>1848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1847</v>
      </c>
      <c r="F32" s="8"/>
    </row>
    <row r="33" spans="1:6" x14ac:dyDescent="0.25">
      <c r="A33" s="8" t="s">
        <v>223</v>
      </c>
      <c r="B33" s="8" t="s">
        <v>1694</v>
      </c>
      <c r="C33" s="8"/>
      <c r="D33" s="8" t="s">
        <v>57</v>
      </c>
      <c r="E33" s="8" t="s">
        <v>1847</v>
      </c>
      <c r="F33" s="8"/>
    </row>
    <row r="34" spans="1:6" x14ac:dyDescent="0.25">
      <c r="A34" s="8" t="s">
        <v>223</v>
      </c>
      <c r="B34" s="8" t="s">
        <v>1697</v>
      </c>
      <c r="C34" s="8" t="s">
        <v>227</v>
      </c>
      <c r="D34" s="8" t="s">
        <v>224</v>
      </c>
      <c r="E34" s="8" t="s">
        <v>1849</v>
      </c>
      <c r="F34" s="8"/>
    </row>
    <row r="35" spans="1:6" x14ac:dyDescent="0.25">
      <c r="A35" s="8" t="s">
        <v>223</v>
      </c>
      <c r="B35" s="8" t="s">
        <v>1700</v>
      </c>
      <c r="C35" s="8"/>
      <c r="D35" s="8" t="s">
        <v>119</v>
      </c>
      <c r="E35" s="8" t="s">
        <v>1847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1847</v>
      </c>
      <c r="F36" s="8"/>
    </row>
    <row r="37" spans="1:6" x14ac:dyDescent="0.25">
      <c r="A37" s="8" t="s">
        <v>235</v>
      </c>
      <c r="B37" s="8" t="s">
        <v>1694</v>
      </c>
      <c r="C37" s="8"/>
      <c r="D37" s="8" t="s">
        <v>47</v>
      </c>
      <c r="E37" s="8" t="s">
        <v>1847</v>
      </c>
      <c r="F37" s="8"/>
    </row>
    <row r="38" spans="1:6" x14ac:dyDescent="0.25">
      <c r="A38" s="8" t="s">
        <v>235</v>
      </c>
      <c r="B38" s="8" t="s">
        <v>1700</v>
      </c>
      <c r="C38" s="8" t="s">
        <v>71</v>
      </c>
      <c r="D38" s="8" t="s">
        <v>91</v>
      </c>
      <c r="E38" s="8" t="s">
        <v>1848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1847</v>
      </c>
      <c r="F39" s="8"/>
    </row>
    <row r="40" spans="1:6" x14ac:dyDescent="0.25">
      <c r="A40" s="8" t="s">
        <v>244</v>
      </c>
      <c r="B40" s="8" t="s">
        <v>1694</v>
      </c>
      <c r="C40" s="8"/>
      <c r="D40" s="8" t="s">
        <v>47</v>
      </c>
      <c r="E40" s="8" t="s">
        <v>1847</v>
      </c>
      <c r="F40" s="8"/>
    </row>
    <row r="41" spans="1:6" x14ac:dyDescent="0.25">
      <c r="A41" s="8" t="s">
        <v>251</v>
      </c>
      <c r="B41" s="8" t="s">
        <v>1694</v>
      </c>
      <c r="C41" s="8"/>
      <c r="D41" s="8" t="s">
        <v>47</v>
      </c>
      <c r="E41" s="8" t="s">
        <v>1847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1847</v>
      </c>
      <c r="F42" s="8"/>
    </row>
    <row r="43" spans="1:6" x14ac:dyDescent="0.25">
      <c r="A43" s="8" t="s">
        <v>266</v>
      </c>
      <c r="B43" s="8" t="s">
        <v>1694</v>
      </c>
      <c r="C43" s="8"/>
      <c r="D43" s="8" t="s">
        <v>47</v>
      </c>
      <c r="E43" s="8" t="s">
        <v>1847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1847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1847</v>
      </c>
      <c r="F45" s="8"/>
    </row>
    <row r="46" spans="1:6" x14ac:dyDescent="0.25">
      <c r="A46" s="8" t="s">
        <v>277</v>
      </c>
      <c r="B46" s="8" t="s">
        <v>1697</v>
      </c>
      <c r="C46" s="8" t="s">
        <v>227</v>
      </c>
      <c r="D46" s="8" t="s">
        <v>224</v>
      </c>
      <c r="E46" s="8" t="s">
        <v>1849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1847</v>
      </c>
      <c r="F47" s="8"/>
    </row>
    <row r="48" spans="1:6" x14ac:dyDescent="0.25">
      <c r="A48" s="8" t="s">
        <v>280</v>
      </c>
      <c r="B48" s="8" t="s">
        <v>1694</v>
      </c>
      <c r="C48" s="8"/>
      <c r="D48" s="8" t="s">
        <v>57</v>
      </c>
      <c r="E48" s="8" t="s">
        <v>1847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1847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1847</v>
      </c>
      <c r="F50" s="8"/>
    </row>
    <row r="51" spans="1:6" x14ac:dyDescent="0.25">
      <c r="A51" s="8" t="s">
        <v>299</v>
      </c>
      <c r="B51" s="8" t="s">
        <v>1700</v>
      </c>
      <c r="C51" s="8"/>
      <c r="D51" s="8" t="s">
        <v>78</v>
      </c>
      <c r="E51" s="8" t="s">
        <v>1847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1847</v>
      </c>
      <c r="F52" s="8"/>
    </row>
    <row r="53" spans="1:6" x14ac:dyDescent="0.25">
      <c r="A53" s="8" t="s">
        <v>313</v>
      </c>
      <c r="B53" s="8" t="s">
        <v>1694</v>
      </c>
      <c r="C53" s="8"/>
      <c r="D53" s="8" t="s">
        <v>57</v>
      </c>
      <c r="E53" s="8" t="s">
        <v>1847</v>
      </c>
      <c r="F53" s="8"/>
    </row>
    <row r="54" spans="1:6" x14ac:dyDescent="0.25">
      <c r="A54" s="8" t="s">
        <v>322</v>
      </c>
      <c r="B54" s="8" t="s">
        <v>1694</v>
      </c>
      <c r="C54" s="8"/>
      <c r="D54" s="8" t="s">
        <v>57</v>
      </c>
      <c r="E54" s="8" t="s">
        <v>1847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1847</v>
      </c>
      <c r="F55" s="8"/>
    </row>
    <row r="56" spans="1:6" x14ac:dyDescent="0.25">
      <c r="A56" s="8" t="s">
        <v>327</v>
      </c>
      <c r="B56" s="8" t="s">
        <v>1697</v>
      </c>
      <c r="C56" s="8"/>
      <c r="D56" s="8" t="s">
        <v>77</v>
      </c>
      <c r="E56" s="8" t="s">
        <v>1847</v>
      </c>
      <c r="F56" s="8"/>
    </row>
    <row r="57" spans="1:6" x14ac:dyDescent="0.25">
      <c r="A57" s="8" t="s">
        <v>329</v>
      </c>
      <c r="B57" s="8" t="s">
        <v>1694</v>
      </c>
      <c r="C57" s="8"/>
      <c r="D57" s="8" t="s">
        <v>47</v>
      </c>
      <c r="E57" s="8" t="s">
        <v>1847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1847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1847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1847</v>
      </c>
      <c r="F60" s="8"/>
    </row>
    <row r="61" spans="1:6" x14ac:dyDescent="0.25">
      <c r="A61" s="8" t="s">
        <v>338</v>
      </c>
      <c r="B61" s="8" t="s">
        <v>1697</v>
      </c>
      <c r="C61" s="8" t="s">
        <v>340</v>
      </c>
      <c r="D61" s="8" t="s">
        <v>83</v>
      </c>
      <c r="E61" s="8" t="s">
        <v>1849</v>
      </c>
      <c r="F61" s="8"/>
    </row>
    <row r="62" spans="1:6" x14ac:dyDescent="0.25">
      <c r="A62" s="8" t="s">
        <v>338</v>
      </c>
      <c r="B62" s="8" t="s">
        <v>1700</v>
      </c>
      <c r="C62" s="8" t="s">
        <v>72</v>
      </c>
      <c r="D62" s="8" t="s">
        <v>59</v>
      </c>
      <c r="E62" s="8" t="s">
        <v>1848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1847</v>
      </c>
      <c r="F63" s="8"/>
    </row>
    <row r="64" spans="1:6" x14ac:dyDescent="0.25">
      <c r="A64" s="8" t="s">
        <v>343</v>
      </c>
      <c r="B64" s="8" t="s">
        <v>1700</v>
      </c>
      <c r="C64" s="8"/>
      <c r="D64" s="8" t="s">
        <v>119</v>
      </c>
      <c r="E64" s="8" t="s">
        <v>1847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1847</v>
      </c>
      <c r="F65" s="8"/>
    </row>
    <row r="66" spans="1:6" x14ac:dyDescent="0.25">
      <c r="A66" s="8" t="s">
        <v>349</v>
      </c>
      <c r="B66" s="8" t="s">
        <v>1700</v>
      </c>
      <c r="C66" s="8"/>
      <c r="D66" s="8" t="s">
        <v>72</v>
      </c>
      <c r="E66" s="8" t="s">
        <v>1847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1847</v>
      </c>
      <c r="F67" s="8"/>
    </row>
    <row r="68" spans="1:6" x14ac:dyDescent="0.25">
      <c r="A68" s="8" t="s">
        <v>375</v>
      </c>
      <c r="B68" s="8" t="s">
        <v>1694</v>
      </c>
      <c r="C68" s="8"/>
      <c r="D68" s="8" t="s">
        <v>57</v>
      </c>
      <c r="E68" s="8" t="s">
        <v>1847</v>
      </c>
      <c r="F68" s="8"/>
    </row>
    <row r="69" spans="1:6" x14ac:dyDescent="0.25">
      <c r="A69" s="8" t="s">
        <v>375</v>
      </c>
      <c r="B69" s="8" t="s">
        <v>1700</v>
      </c>
      <c r="C69" s="8"/>
      <c r="D69" s="8" t="s">
        <v>91</v>
      </c>
      <c r="E69" s="8" t="s">
        <v>1847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1847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1847</v>
      </c>
      <c r="F71" s="8"/>
    </row>
    <row r="72" spans="1:6" x14ac:dyDescent="0.25">
      <c r="A72" s="8" t="s">
        <v>384</v>
      </c>
      <c r="B72" s="8" t="s">
        <v>1697</v>
      </c>
      <c r="C72" s="8" t="s">
        <v>83</v>
      </c>
      <c r="D72" s="8" t="s">
        <v>77</v>
      </c>
      <c r="E72" s="8" t="s">
        <v>1848</v>
      </c>
      <c r="F72" s="8"/>
    </row>
    <row r="73" spans="1:6" x14ac:dyDescent="0.25">
      <c r="A73" s="8" t="s">
        <v>386</v>
      </c>
      <c r="B73" s="8" t="s">
        <v>1694</v>
      </c>
      <c r="C73" s="8"/>
      <c r="D73" s="8" t="s">
        <v>57</v>
      </c>
      <c r="E73" s="8" t="s">
        <v>1847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1847</v>
      </c>
      <c r="F74" s="8"/>
    </row>
    <row r="75" spans="1:6" x14ac:dyDescent="0.25">
      <c r="A75" s="8" t="s">
        <v>396</v>
      </c>
      <c r="B75" s="8" t="s">
        <v>1700</v>
      </c>
      <c r="C75" s="8"/>
      <c r="D75" s="8" t="s">
        <v>72</v>
      </c>
      <c r="E75" s="8" t="s">
        <v>1847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1847</v>
      </c>
      <c r="F76" s="8"/>
    </row>
    <row r="77" spans="1:6" x14ac:dyDescent="0.25">
      <c r="A77" s="8" t="s">
        <v>409</v>
      </c>
      <c r="B77" s="8" t="s">
        <v>1694</v>
      </c>
      <c r="C77" s="8"/>
      <c r="D77" s="8" t="s">
        <v>57</v>
      </c>
      <c r="E77" s="8" t="s">
        <v>1847</v>
      </c>
      <c r="F77" s="8"/>
    </row>
    <row r="78" spans="1:6" x14ac:dyDescent="0.25">
      <c r="A78" s="8" t="s">
        <v>409</v>
      </c>
      <c r="B78" s="8" t="s">
        <v>1697</v>
      </c>
      <c r="C78" s="8" t="s">
        <v>412</v>
      </c>
      <c r="D78" s="8" t="s">
        <v>83</v>
      </c>
      <c r="E78" s="8" t="s">
        <v>1849</v>
      </c>
      <c r="F78" s="8"/>
    </row>
    <row r="79" spans="1:6" x14ac:dyDescent="0.25">
      <c r="A79" s="8" t="s">
        <v>415</v>
      </c>
      <c r="B79" s="8" t="s">
        <v>1694</v>
      </c>
      <c r="C79" s="8"/>
      <c r="D79" s="8" t="s">
        <v>57</v>
      </c>
      <c r="E79" s="8" t="s">
        <v>1847</v>
      </c>
      <c r="F79" s="8"/>
    </row>
    <row r="80" spans="1:6" x14ac:dyDescent="0.25">
      <c r="A80" s="8" t="s">
        <v>420</v>
      </c>
      <c r="B80" s="8" t="s">
        <v>1694</v>
      </c>
      <c r="C80" s="8"/>
      <c r="D80" s="8" t="s">
        <v>57</v>
      </c>
      <c r="E80" s="8" t="s">
        <v>1847</v>
      </c>
      <c r="F80" s="8"/>
    </row>
    <row r="81" spans="1:6" x14ac:dyDescent="0.25">
      <c r="A81" s="8" t="s">
        <v>420</v>
      </c>
      <c r="B81" s="8" t="s">
        <v>1697</v>
      </c>
      <c r="C81" s="8" t="s">
        <v>422</v>
      </c>
      <c r="D81" s="8" t="s">
        <v>77</v>
      </c>
      <c r="E81" s="8" t="s">
        <v>1849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1847</v>
      </c>
      <c r="F82" s="8"/>
    </row>
    <row r="83" spans="1:6" x14ac:dyDescent="0.25">
      <c r="A83" s="8" t="s">
        <v>428</v>
      </c>
      <c r="B83" s="8" t="s">
        <v>1700</v>
      </c>
      <c r="C83" s="8"/>
      <c r="D83" s="8" t="s">
        <v>71</v>
      </c>
      <c r="E83" s="8" t="s">
        <v>1847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1847</v>
      </c>
      <c r="F84" s="8"/>
    </row>
    <row r="85" spans="1:6" x14ac:dyDescent="0.25">
      <c r="A85" s="8" t="s">
        <v>431</v>
      </c>
      <c r="B85" s="8" t="s">
        <v>1697</v>
      </c>
      <c r="C85" s="8"/>
      <c r="D85" s="8" t="s">
        <v>77</v>
      </c>
      <c r="E85" s="8" t="s">
        <v>1847</v>
      </c>
      <c r="F85" s="8"/>
    </row>
    <row r="86" spans="1:6" x14ac:dyDescent="0.25">
      <c r="A86" s="8" t="s">
        <v>436</v>
      </c>
      <c r="B86" s="8" t="s">
        <v>1694</v>
      </c>
      <c r="C86" s="8"/>
      <c r="D86" s="8" t="s">
        <v>47</v>
      </c>
      <c r="E86" s="8" t="s">
        <v>1847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1847</v>
      </c>
      <c r="F87" s="8"/>
    </row>
    <row r="88" spans="1:6" x14ac:dyDescent="0.25">
      <c r="A88" s="8" t="s">
        <v>445</v>
      </c>
      <c r="B88" s="8" t="s">
        <v>1694</v>
      </c>
      <c r="C88" s="8"/>
      <c r="D88" s="8" t="s">
        <v>57</v>
      </c>
      <c r="E88" s="8" t="s">
        <v>1847</v>
      </c>
      <c r="F88" s="8"/>
    </row>
    <row r="89" spans="1:6" x14ac:dyDescent="0.25">
      <c r="A89" s="8" t="s">
        <v>445</v>
      </c>
      <c r="B89" s="8" t="s">
        <v>1700</v>
      </c>
      <c r="C89" s="8"/>
      <c r="D89" s="8" t="s">
        <v>49</v>
      </c>
      <c r="E89" s="8" t="s">
        <v>1847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1847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1847</v>
      </c>
      <c r="F91" s="8"/>
    </row>
    <row r="92" spans="1:6" x14ac:dyDescent="0.25">
      <c r="A92" s="8" t="s">
        <v>454</v>
      </c>
      <c r="B92" s="8" t="s">
        <v>1694</v>
      </c>
      <c r="C92" s="8"/>
      <c r="D92" s="8" t="s">
        <v>57</v>
      </c>
      <c r="E92" s="8" t="s">
        <v>1847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1847</v>
      </c>
      <c r="F93" s="8"/>
    </row>
    <row r="94" spans="1:6" x14ac:dyDescent="0.25">
      <c r="A94" s="8" t="s">
        <v>461</v>
      </c>
      <c r="B94" s="8" t="s">
        <v>1697</v>
      </c>
      <c r="C94" s="8" t="s">
        <v>77</v>
      </c>
      <c r="D94" s="8" t="s">
        <v>149</v>
      </c>
      <c r="E94" s="8" t="s">
        <v>1848</v>
      </c>
      <c r="F94" s="8"/>
    </row>
    <row r="95" spans="1:6" x14ac:dyDescent="0.25">
      <c r="A95" s="8" t="s">
        <v>469</v>
      </c>
      <c r="B95" s="8" t="s">
        <v>1697</v>
      </c>
      <c r="C95" s="8" t="s">
        <v>83</v>
      </c>
      <c r="D95" s="8" t="s">
        <v>77</v>
      </c>
      <c r="E95" s="8" t="s">
        <v>1848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1847</v>
      </c>
      <c r="F96" s="8"/>
    </row>
    <row r="97" spans="1:6" x14ac:dyDescent="0.25">
      <c r="A97" s="8" t="s">
        <v>474</v>
      </c>
      <c r="B97" s="8" t="s">
        <v>1697</v>
      </c>
      <c r="C97" s="8"/>
      <c r="D97" s="8" t="s">
        <v>149</v>
      </c>
      <c r="E97" s="8" t="s">
        <v>1847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1847</v>
      </c>
      <c r="F98" s="8"/>
    </row>
    <row r="99" spans="1:6" x14ac:dyDescent="0.25">
      <c r="A99" s="8" t="s">
        <v>481</v>
      </c>
      <c r="B99" s="8" t="s">
        <v>1697</v>
      </c>
      <c r="C99" s="8" t="s">
        <v>58</v>
      </c>
      <c r="D99" s="8" t="s">
        <v>639</v>
      </c>
      <c r="E99" s="8" t="s">
        <v>1848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1847</v>
      </c>
      <c r="F100" s="8"/>
    </row>
    <row r="101" spans="1:6" x14ac:dyDescent="0.25">
      <c r="A101" s="8" t="s">
        <v>485</v>
      </c>
      <c r="B101" s="8" t="s">
        <v>1694</v>
      </c>
      <c r="C101" s="8"/>
      <c r="D101" s="8" t="s">
        <v>57</v>
      </c>
      <c r="E101" s="8" t="s">
        <v>1847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1847</v>
      </c>
      <c r="F102" s="8"/>
    </row>
    <row r="103" spans="1:6" x14ac:dyDescent="0.25">
      <c r="A103" s="8" t="s">
        <v>494</v>
      </c>
      <c r="B103" s="8" t="s">
        <v>1694</v>
      </c>
      <c r="C103" s="8"/>
      <c r="D103" s="8" t="s">
        <v>57</v>
      </c>
      <c r="E103" s="8" t="s">
        <v>1847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1847</v>
      </c>
      <c r="F104" s="8"/>
    </row>
    <row r="105" spans="1:6" x14ac:dyDescent="0.25">
      <c r="A105" s="8" t="s">
        <v>497</v>
      </c>
      <c r="B105" s="8" t="s">
        <v>1694</v>
      </c>
      <c r="C105" s="8"/>
      <c r="D105" s="8" t="s">
        <v>47</v>
      </c>
      <c r="E105" s="8" t="s">
        <v>1847</v>
      </c>
      <c r="F105" s="8"/>
    </row>
    <row r="106" spans="1:6" x14ac:dyDescent="0.25">
      <c r="A106" s="8" t="s">
        <v>497</v>
      </c>
      <c r="B106" s="8" t="s">
        <v>1700</v>
      </c>
      <c r="C106" s="8" t="s">
        <v>91</v>
      </c>
      <c r="D106" s="8" t="s">
        <v>49</v>
      </c>
      <c r="E106" s="8" t="s">
        <v>1848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1847</v>
      </c>
      <c r="F107" s="8"/>
    </row>
    <row r="108" spans="1:6" x14ac:dyDescent="0.25">
      <c r="A108" s="8" t="s">
        <v>501</v>
      </c>
      <c r="B108" s="8" t="s">
        <v>1694</v>
      </c>
      <c r="C108" s="8"/>
      <c r="D108" s="8" t="s">
        <v>47</v>
      </c>
      <c r="E108" s="8" t="s">
        <v>1847</v>
      </c>
      <c r="F108" s="8"/>
    </row>
    <row r="109" spans="1:6" x14ac:dyDescent="0.25">
      <c r="A109" s="8" t="s">
        <v>503</v>
      </c>
      <c r="B109" s="8" t="s">
        <v>1700</v>
      </c>
      <c r="C109" s="8" t="s">
        <v>72</v>
      </c>
      <c r="D109" s="8" t="s">
        <v>178</v>
      </c>
      <c r="E109" s="8" t="s">
        <v>1848</v>
      </c>
      <c r="F109" s="8"/>
    </row>
    <row r="110" spans="1:6" x14ac:dyDescent="0.25">
      <c r="A110" s="8" t="s">
        <v>508</v>
      </c>
      <c r="B110" s="8" t="s">
        <v>1697</v>
      </c>
      <c r="C110" s="8" t="s">
        <v>96</v>
      </c>
      <c r="D110" s="8" t="s">
        <v>1137</v>
      </c>
      <c r="E110" s="8" t="s">
        <v>1848</v>
      </c>
      <c r="F110" s="8"/>
    </row>
    <row r="111" spans="1:6" x14ac:dyDescent="0.25">
      <c r="A111" s="8" t="s">
        <v>508</v>
      </c>
      <c r="B111" s="8" t="s">
        <v>1700</v>
      </c>
      <c r="C111" s="8" t="s">
        <v>59</v>
      </c>
      <c r="D111" s="8" t="s">
        <v>91</v>
      </c>
      <c r="E111" s="8" t="s">
        <v>1848</v>
      </c>
      <c r="F111" s="8"/>
    </row>
    <row r="112" spans="1:6" x14ac:dyDescent="0.25">
      <c r="A112" s="8" t="s">
        <v>511</v>
      </c>
      <c r="B112" s="8" t="s">
        <v>1694</v>
      </c>
      <c r="C112" s="8"/>
      <c r="D112" s="8" t="s">
        <v>47</v>
      </c>
      <c r="E112" s="8" t="s">
        <v>1847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1847</v>
      </c>
      <c r="F113" s="8"/>
    </row>
    <row r="114" spans="1:6" x14ac:dyDescent="0.25">
      <c r="A114" s="8" t="s">
        <v>516</v>
      </c>
      <c r="B114" s="8" t="s">
        <v>1694</v>
      </c>
      <c r="C114" s="8"/>
      <c r="D114" s="8" t="s">
        <v>47</v>
      </c>
      <c r="E114" s="8" t="s">
        <v>1847</v>
      </c>
      <c r="F114" s="8" t="s">
        <v>1850</v>
      </c>
    </row>
    <row r="115" spans="1:6" x14ac:dyDescent="0.25">
      <c r="A115" s="8" t="s">
        <v>516</v>
      </c>
      <c r="B115" s="8" t="s">
        <v>1697</v>
      </c>
      <c r="C115" s="8" t="s">
        <v>1156</v>
      </c>
      <c r="D115" s="8" t="s">
        <v>517</v>
      </c>
      <c r="E115" s="8" t="s">
        <v>1849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1847</v>
      </c>
      <c r="F116" s="8"/>
    </row>
    <row r="117" spans="1:6" x14ac:dyDescent="0.25">
      <c r="A117" s="8" t="s">
        <v>527</v>
      </c>
      <c r="B117" s="8" t="s">
        <v>1700</v>
      </c>
      <c r="C117" s="8"/>
      <c r="D117" s="8" t="s">
        <v>78</v>
      </c>
      <c r="E117" s="8" t="s">
        <v>1847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1847</v>
      </c>
      <c r="F118" s="8"/>
    </row>
    <row r="119" spans="1:6" x14ac:dyDescent="0.25">
      <c r="A119" s="8" t="s">
        <v>533</v>
      </c>
      <c r="B119" s="8" t="s">
        <v>1697</v>
      </c>
      <c r="C119" s="8" t="s">
        <v>58</v>
      </c>
      <c r="D119" s="8" t="s">
        <v>1851</v>
      </c>
      <c r="E119" s="8" t="s">
        <v>1848</v>
      </c>
      <c r="F119" s="8"/>
    </row>
    <row r="120" spans="1:6" x14ac:dyDescent="0.25">
      <c r="A120" s="8" t="s">
        <v>536</v>
      </c>
      <c r="B120" s="8" t="s">
        <v>1697</v>
      </c>
      <c r="C120" s="8" t="s">
        <v>1852</v>
      </c>
      <c r="D120" s="8" t="s">
        <v>314</v>
      </c>
      <c r="E120" s="8" t="s">
        <v>1849</v>
      </c>
      <c r="F120" s="8"/>
    </row>
    <row r="121" spans="1:6" x14ac:dyDescent="0.25">
      <c r="A121" s="8" t="s">
        <v>536</v>
      </c>
      <c r="B121" s="8" t="s">
        <v>1700</v>
      </c>
      <c r="C121" s="8" t="s">
        <v>71</v>
      </c>
      <c r="D121" s="8" t="s">
        <v>91</v>
      </c>
      <c r="E121" s="8" t="s">
        <v>1848</v>
      </c>
      <c r="F121" s="8"/>
    </row>
    <row r="122" spans="1:6" x14ac:dyDescent="0.25">
      <c r="A122" s="8" t="s">
        <v>548</v>
      </c>
      <c r="B122" s="8" t="s">
        <v>1694</v>
      </c>
      <c r="C122" s="8"/>
      <c r="D122" s="8" t="s">
        <v>47</v>
      </c>
      <c r="E122" s="8" t="s">
        <v>1847</v>
      </c>
      <c r="F122" s="8"/>
    </row>
    <row r="123" spans="1:6" x14ac:dyDescent="0.25">
      <c r="A123" s="8" t="s">
        <v>550</v>
      </c>
      <c r="B123" s="8" t="s">
        <v>1694</v>
      </c>
      <c r="C123" s="8"/>
      <c r="D123" s="8" t="s">
        <v>47</v>
      </c>
      <c r="E123" s="8" t="s">
        <v>1847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1847</v>
      </c>
      <c r="F124" s="8"/>
    </row>
    <row r="125" spans="1:6" x14ac:dyDescent="0.25">
      <c r="A125" s="8" t="s">
        <v>557</v>
      </c>
      <c r="B125" s="8" t="s">
        <v>1694</v>
      </c>
      <c r="C125" s="8"/>
      <c r="D125" s="8" t="s">
        <v>47</v>
      </c>
      <c r="E125" s="8" t="s">
        <v>1847</v>
      </c>
      <c r="F125" s="8"/>
    </row>
    <row r="126" spans="1:6" x14ac:dyDescent="0.25">
      <c r="A126" s="8" t="s">
        <v>168</v>
      </c>
      <c r="B126" s="8" t="s">
        <v>1697</v>
      </c>
      <c r="C126" s="8" t="s">
        <v>77</v>
      </c>
      <c r="D126" s="8" t="s">
        <v>596</v>
      </c>
      <c r="E126" s="8" t="s">
        <v>1848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1847</v>
      </c>
      <c r="F127" s="8"/>
    </row>
    <row r="128" spans="1:6" x14ac:dyDescent="0.25">
      <c r="A128" s="8" t="s">
        <v>569</v>
      </c>
      <c r="B128" s="8" t="s">
        <v>1700</v>
      </c>
      <c r="C128" s="8"/>
      <c r="D128" s="8" t="s">
        <v>72</v>
      </c>
      <c r="E128" s="8" t="s">
        <v>1847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1847</v>
      </c>
      <c r="F129" s="8"/>
    </row>
    <row r="130" spans="1:6" x14ac:dyDescent="0.25">
      <c r="A130" s="8" t="s">
        <v>566</v>
      </c>
      <c r="B130" s="8" t="s">
        <v>1694</v>
      </c>
      <c r="C130" s="8"/>
      <c r="D130" s="8" t="s">
        <v>57</v>
      </c>
      <c r="E130" s="8" t="s">
        <v>1847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1847</v>
      </c>
      <c r="F131" s="8"/>
    </row>
    <row r="132" spans="1:6" x14ac:dyDescent="0.25">
      <c r="A132" s="8" t="s">
        <v>578</v>
      </c>
      <c r="B132" s="8" t="s">
        <v>1694</v>
      </c>
      <c r="C132" s="8"/>
      <c r="D132" s="8" t="s">
        <v>47</v>
      </c>
      <c r="E132" s="8" t="s">
        <v>1847</v>
      </c>
      <c r="F132" s="8"/>
    </row>
    <row r="133" spans="1:6" x14ac:dyDescent="0.25">
      <c r="A133" s="8" t="s">
        <v>586</v>
      </c>
      <c r="B133" s="8" t="s">
        <v>1700</v>
      </c>
      <c r="C133" s="8"/>
      <c r="D133" s="8" t="s">
        <v>71</v>
      </c>
      <c r="E133" s="8" t="s">
        <v>1847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1847</v>
      </c>
      <c r="F134" s="8"/>
    </row>
    <row r="135" spans="1:6" x14ac:dyDescent="0.25">
      <c r="A135" s="8" t="s">
        <v>590</v>
      </c>
      <c r="B135" s="8" t="s">
        <v>1697</v>
      </c>
      <c r="C135" s="8" t="s">
        <v>149</v>
      </c>
      <c r="D135" s="8" t="s">
        <v>77</v>
      </c>
      <c r="E135" s="8" t="s">
        <v>1848</v>
      </c>
      <c r="F135" s="8"/>
    </row>
    <row r="136" spans="1:6" x14ac:dyDescent="0.25">
      <c r="A136" s="8" t="s">
        <v>590</v>
      </c>
      <c r="B136" s="8" t="s">
        <v>1700</v>
      </c>
      <c r="C136" s="8"/>
      <c r="D136" s="8" t="s">
        <v>71</v>
      </c>
      <c r="E136" s="8" t="s">
        <v>1847</v>
      </c>
      <c r="F136" s="8"/>
    </row>
    <row r="137" spans="1:6" x14ac:dyDescent="0.25">
      <c r="A137" s="8" t="s">
        <v>594</v>
      </c>
      <c r="B137" s="8" t="s">
        <v>1697</v>
      </c>
      <c r="C137" s="8" t="s">
        <v>1853</v>
      </c>
      <c r="D137" s="8" t="s">
        <v>596</v>
      </c>
      <c r="E137" s="8" t="s">
        <v>1849</v>
      </c>
      <c r="F137" s="8"/>
    </row>
    <row r="138" spans="1:6" x14ac:dyDescent="0.25">
      <c r="A138" s="8" t="s">
        <v>607</v>
      </c>
      <c r="B138" s="8" t="s">
        <v>1697</v>
      </c>
      <c r="C138" s="8" t="s">
        <v>613</v>
      </c>
      <c r="D138" s="8" t="s">
        <v>77</v>
      </c>
      <c r="E138" s="8" t="s">
        <v>1849</v>
      </c>
      <c r="F138" s="8"/>
    </row>
    <row r="139" spans="1:6" x14ac:dyDescent="0.25">
      <c r="A139" s="8" t="s">
        <v>607</v>
      </c>
      <c r="B139" s="8" t="s">
        <v>1700</v>
      </c>
      <c r="C139" s="8" t="s">
        <v>78</v>
      </c>
      <c r="D139" s="8" t="s">
        <v>192</v>
      </c>
      <c r="E139" s="8" t="s">
        <v>1848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1847</v>
      </c>
      <c r="F140" s="8"/>
    </row>
    <row r="141" spans="1:6" x14ac:dyDescent="0.25">
      <c r="A141" s="8" t="s">
        <v>619</v>
      </c>
      <c r="B141" s="8" t="s">
        <v>1697</v>
      </c>
      <c r="C141" s="8" t="s">
        <v>58</v>
      </c>
      <c r="D141" s="8" t="s">
        <v>77</v>
      </c>
      <c r="E141" s="8" t="s">
        <v>1848</v>
      </c>
      <c r="F141" s="8"/>
    </row>
    <row r="142" spans="1:6" x14ac:dyDescent="0.25">
      <c r="A142" s="8" t="s">
        <v>626</v>
      </c>
      <c r="B142" s="8" t="s">
        <v>1697</v>
      </c>
      <c r="C142" s="8" t="s">
        <v>115</v>
      </c>
      <c r="D142" s="8" t="s">
        <v>77</v>
      </c>
      <c r="E142" s="8" t="s">
        <v>1849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1847</v>
      </c>
      <c r="F143" s="8"/>
    </row>
    <row r="144" spans="1:6" x14ac:dyDescent="0.25">
      <c r="A144" s="8" t="s">
        <v>634</v>
      </c>
      <c r="B144" s="8" t="s">
        <v>1700</v>
      </c>
      <c r="C144" s="8"/>
      <c r="D144" s="8" t="s">
        <v>119</v>
      </c>
      <c r="E144" s="8" t="s">
        <v>1847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1847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1847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1847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1847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1847</v>
      </c>
      <c r="F149" s="8"/>
    </row>
    <row r="150" spans="1:6" x14ac:dyDescent="0.25">
      <c r="A150" s="8" t="s">
        <v>673</v>
      </c>
      <c r="B150" s="8" t="s">
        <v>1700</v>
      </c>
      <c r="C150" s="8"/>
      <c r="D150" s="8" t="s">
        <v>59</v>
      </c>
      <c r="E150" s="8" t="s">
        <v>1847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1847</v>
      </c>
      <c r="F151" s="8"/>
    </row>
    <row r="152" spans="1:6" x14ac:dyDescent="0.25">
      <c r="A152" s="8" t="s">
        <v>680</v>
      </c>
      <c r="B152" s="8" t="s">
        <v>1697</v>
      </c>
      <c r="C152" s="8" t="s">
        <v>83</v>
      </c>
      <c r="D152" s="8" t="s">
        <v>77</v>
      </c>
      <c r="E152" s="8" t="s">
        <v>1848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1847</v>
      </c>
      <c r="F153" s="8"/>
    </row>
    <row r="154" spans="1:6" x14ac:dyDescent="0.25">
      <c r="A154" s="8" t="s">
        <v>683</v>
      </c>
      <c r="B154" s="8" t="s">
        <v>1700</v>
      </c>
      <c r="C154" s="8"/>
      <c r="D154" s="8" t="s">
        <v>119</v>
      </c>
      <c r="E154" s="8" t="s">
        <v>1847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1854</v>
      </c>
      <c r="F155" s="8" t="s">
        <v>1855</v>
      </c>
    </row>
    <row r="156" spans="1:6" x14ac:dyDescent="0.25">
      <c r="A156" s="8" t="s">
        <v>689</v>
      </c>
      <c r="B156" s="8" t="s">
        <v>1697</v>
      </c>
      <c r="C156" s="8" t="s">
        <v>695</v>
      </c>
      <c r="D156" s="8" t="s">
        <v>83</v>
      </c>
      <c r="E156" s="8" t="s">
        <v>1849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1847</v>
      </c>
      <c r="F157" s="8"/>
    </row>
    <row r="158" spans="1:6" x14ac:dyDescent="0.25">
      <c r="A158" s="8" t="s">
        <v>699</v>
      </c>
      <c r="B158" s="8" t="s">
        <v>1697</v>
      </c>
      <c r="C158" s="8" t="s">
        <v>700</v>
      </c>
      <c r="D158" s="8" t="s">
        <v>323</v>
      </c>
      <c r="E158" s="8" t="s">
        <v>1848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1847</v>
      </c>
      <c r="F159" s="8"/>
    </row>
    <row r="160" spans="1:6" x14ac:dyDescent="0.25">
      <c r="A160" s="8" t="s">
        <v>703</v>
      </c>
      <c r="B160" s="8" t="s">
        <v>1700</v>
      </c>
      <c r="C160" s="8"/>
      <c r="D160" s="8" t="s">
        <v>49</v>
      </c>
      <c r="E160" s="8" t="s">
        <v>1847</v>
      </c>
      <c r="F160" s="8"/>
    </row>
    <row r="161" spans="1:6" x14ac:dyDescent="0.25">
      <c r="A161" s="8" t="s">
        <v>712</v>
      </c>
      <c r="B161" s="8" t="s">
        <v>1697</v>
      </c>
      <c r="C161" s="8"/>
      <c r="D161" s="8" t="s">
        <v>517</v>
      </c>
      <c r="E161" s="8" t="s">
        <v>1847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1847</v>
      </c>
      <c r="F162" s="8"/>
    </row>
    <row r="163" spans="1:6" x14ac:dyDescent="0.25">
      <c r="A163" s="8" t="s">
        <v>705</v>
      </c>
      <c r="B163" s="8" t="s">
        <v>1694</v>
      </c>
      <c r="C163" s="8"/>
      <c r="D163" s="8" t="s">
        <v>47</v>
      </c>
      <c r="E163" s="8" t="s">
        <v>1847</v>
      </c>
      <c r="F163" s="8" t="s">
        <v>1850</v>
      </c>
    </row>
    <row r="164" spans="1:6" x14ac:dyDescent="0.25">
      <c r="A164" s="8" t="s">
        <v>689</v>
      </c>
      <c r="B164" s="8" t="s">
        <v>1694</v>
      </c>
      <c r="C164" s="8"/>
      <c r="D164" s="8" t="s">
        <v>57</v>
      </c>
      <c r="E164" s="8" t="s">
        <v>1847</v>
      </c>
      <c r="F164" s="8"/>
    </row>
    <row r="165" spans="1:6" x14ac:dyDescent="0.25">
      <c r="A165" s="8" t="s">
        <v>689</v>
      </c>
      <c r="B165" s="8" t="s">
        <v>1697</v>
      </c>
      <c r="C165" s="8" t="s">
        <v>83</v>
      </c>
      <c r="D165" s="8" t="s">
        <v>272</v>
      </c>
      <c r="E165" s="8" t="s">
        <v>1848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1847</v>
      </c>
      <c r="F166" s="8"/>
    </row>
    <row r="167" spans="1:6" x14ac:dyDescent="0.25">
      <c r="A167" s="8" t="s">
        <v>725</v>
      </c>
      <c r="B167" s="8" t="s">
        <v>1700</v>
      </c>
      <c r="C167" s="8"/>
      <c r="D167" s="8" t="s">
        <v>119</v>
      </c>
      <c r="E167" s="8" t="s">
        <v>1847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1847</v>
      </c>
      <c r="F168" s="8"/>
    </row>
    <row r="169" spans="1:6" x14ac:dyDescent="0.25">
      <c r="A169" s="8" t="s">
        <v>729</v>
      </c>
      <c r="B169" s="8" t="s">
        <v>1697</v>
      </c>
      <c r="C169" s="8" t="s">
        <v>58</v>
      </c>
      <c r="D169" s="8" t="s">
        <v>1856</v>
      </c>
      <c r="E169" s="8" t="s">
        <v>1848</v>
      </c>
      <c r="F169" s="8"/>
    </row>
    <row r="170" spans="1:6" x14ac:dyDescent="0.25">
      <c r="A170" s="8" t="s">
        <v>729</v>
      </c>
      <c r="B170" s="8" t="s">
        <v>1700</v>
      </c>
      <c r="C170" s="8"/>
      <c r="D170" s="8" t="s">
        <v>133</v>
      </c>
      <c r="E170" s="8" t="s">
        <v>1847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1847</v>
      </c>
      <c r="F171" s="8"/>
    </row>
    <row r="172" spans="1:6" x14ac:dyDescent="0.25">
      <c r="A172" s="8" t="s">
        <v>741</v>
      </c>
      <c r="B172" s="8" t="s">
        <v>1697</v>
      </c>
      <c r="C172" s="8"/>
      <c r="D172" s="8" t="s">
        <v>77</v>
      </c>
      <c r="E172" s="8" t="s">
        <v>1847</v>
      </c>
      <c r="F172" s="8"/>
    </row>
    <row r="173" spans="1:6" x14ac:dyDescent="0.25">
      <c r="A173" s="8" t="s">
        <v>742</v>
      </c>
      <c r="B173" s="8" t="s">
        <v>1700</v>
      </c>
      <c r="C173" s="8" t="s">
        <v>72</v>
      </c>
      <c r="D173" s="8" t="s">
        <v>78</v>
      </c>
      <c r="E173" s="8" t="s">
        <v>1848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1847</v>
      </c>
      <c r="F174" s="8"/>
    </row>
    <row r="175" spans="1:6" x14ac:dyDescent="0.25">
      <c r="A175" s="8" t="s">
        <v>745</v>
      </c>
      <c r="B175" s="8" t="s">
        <v>1694</v>
      </c>
      <c r="C175" s="8"/>
      <c r="D175" s="8" t="s">
        <v>57</v>
      </c>
      <c r="E175" s="8" t="s">
        <v>1847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1847</v>
      </c>
      <c r="F176" s="8"/>
    </row>
    <row r="177" spans="1:6" x14ac:dyDescent="0.25">
      <c r="A177" s="8" t="s">
        <v>751</v>
      </c>
      <c r="B177" s="8" t="s">
        <v>1697</v>
      </c>
      <c r="C177" s="8" t="s">
        <v>752</v>
      </c>
      <c r="D177" s="8" t="s">
        <v>333</v>
      </c>
      <c r="E177" s="8" t="s">
        <v>1849</v>
      </c>
      <c r="F177" s="8"/>
    </row>
    <row r="178" spans="1:6" x14ac:dyDescent="0.25">
      <c r="A178" s="8" t="s">
        <v>751</v>
      </c>
      <c r="B178" s="8" t="s">
        <v>1700</v>
      </c>
      <c r="C178" s="8"/>
      <c r="D178" s="8" t="s">
        <v>72</v>
      </c>
      <c r="E178" s="8" t="s">
        <v>1847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1847</v>
      </c>
      <c r="F179" s="8"/>
    </row>
    <row r="180" spans="1:6" x14ac:dyDescent="0.25">
      <c r="A180" s="8" t="s">
        <v>758</v>
      </c>
      <c r="B180" s="8" t="s">
        <v>1700</v>
      </c>
      <c r="C180" s="8"/>
      <c r="D180" s="8" t="s">
        <v>71</v>
      </c>
      <c r="E180" s="8" t="s">
        <v>1847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1847</v>
      </c>
      <c r="F181" s="8"/>
    </row>
    <row r="182" spans="1:6" x14ac:dyDescent="0.25">
      <c r="A182" s="8" t="s">
        <v>760</v>
      </c>
      <c r="B182" s="8" t="s">
        <v>1694</v>
      </c>
      <c r="C182" s="8"/>
      <c r="D182" s="8" t="s">
        <v>47</v>
      </c>
      <c r="E182" s="8" t="s">
        <v>1847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1847</v>
      </c>
      <c r="F183" s="8" t="s">
        <v>1855</v>
      </c>
    </row>
    <row r="184" spans="1:6" x14ac:dyDescent="0.25">
      <c r="A184" s="8" t="s">
        <v>762</v>
      </c>
      <c r="B184" s="8" t="s">
        <v>1697</v>
      </c>
      <c r="C184" s="8" t="s">
        <v>767</v>
      </c>
      <c r="D184" s="8" t="s">
        <v>58</v>
      </c>
      <c r="E184" s="8" t="s">
        <v>1849</v>
      </c>
      <c r="F184" s="8"/>
    </row>
    <row r="185" spans="1:6" x14ac:dyDescent="0.25">
      <c r="A185" s="8" t="s">
        <v>769</v>
      </c>
      <c r="B185" s="8" t="s">
        <v>1697</v>
      </c>
      <c r="C185" s="8" t="s">
        <v>775</v>
      </c>
      <c r="D185" s="8" t="s">
        <v>83</v>
      </c>
      <c r="E185" s="8" t="s">
        <v>1849</v>
      </c>
      <c r="F185" s="8"/>
    </row>
    <row r="186" spans="1:6" x14ac:dyDescent="0.25">
      <c r="A186" s="8" t="s">
        <v>769</v>
      </c>
      <c r="B186" s="8" t="s">
        <v>1700</v>
      </c>
      <c r="C186" s="8" t="s">
        <v>72</v>
      </c>
      <c r="D186" s="8" t="s">
        <v>71</v>
      </c>
      <c r="E186" s="8" t="s">
        <v>1848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1847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1847</v>
      </c>
      <c r="F188" s="8"/>
    </row>
    <row r="189" spans="1:6" x14ac:dyDescent="0.25">
      <c r="A189" s="8" t="s">
        <v>779</v>
      </c>
      <c r="B189" s="8" t="s">
        <v>1700</v>
      </c>
      <c r="C189" s="8"/>
      <c r="D189" s="8" t="s">
        <v>91</v>
      </c>
      <c r="E189" s="8" t="s">
        <v>1847</v>
      </c>
      <c r="F189" s="8"/>
    </row>
    <row r="190" spans="1:6" x14ac:dyDescent="0.25">
      <c r="A190" s="8" t="s">
        <v>793</v>
      </c>
      <c r="B190" s="8" t="s">
        <v>1694</v>
      </c>
      <c r="C190" s="8"/>
      <c r="D190" s="8" t="s">
        <v>47</v>
      </c>
      <c r="E190" s="8" t="s">
        <v>1847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1847</v>
      </c>
      <c r="F191" s="8"/>
    </row>
    <row r="192" spans="1:6" x14ac:dyDescent="0.25">
      <c r="A192" s="8" t="s">
        <v>798</v>
      </c>
      <c r="B192" s="8" t="s">
        <v>1697</v>
      </c>
      <c r="C192" s="8" t="s">
        <v>664</v>
      </c>
      <c r="D192" s="8" t="s">
        <v>1857</v>
      </c>
      <c r="E192" s="8" t="s">
        <v>1848</v>
      </c>
      <c r="F192" s="8"/>
    </row>
    <row r="193" spans="1:6" x14ac:dyDescent="0.25">
      <c r="A193" s="8" t="s">
        <v>798</v>
      </c>
      <c r="B193" s="8" t="s">
        <v>1700</v>
      </c>
      <c r="C193" s="8"/>
      <c r="D193" s="8" t="s">
        <v>119</v>
      </c>
      <c r="E193" s="8" t="s">
        <v>1847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1847</v>
      </c>
      <c r="F194" s="8"/>
    </row>
    <row r="195" spans="1:6" x14ac:dyDescent="0.25">
      <c r="A195" s="8" t="s">
        <v>814</v>
      </c>
      <c r="B195" s="8" t="s">
        <v>1697</v>
      </c>
      <c r="C195" s="8" t="s">
        <v>752</v>
      </c>
      <c r="D195" s="8" t="s">
        <v>333</v>
      </c>
      <c r="E195" s="8" t="s">
        <v>1849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1847</v>
      </c>
      <c r="F196" s="8"/>
    </row>
    <row r="197" spans="1:6" x14ac:dyDescent="0.25">
      <c r="A197" s="8" t="s">
        <v>823</v>
      </c>
      <c r="B197" s="8" t="s">
        <v>1697</v>
      </c>
      <c r="C197" s="8"/>
      <c r="D197" s="8" t="s">
        <v>149</v>
      </c>
      <c r="E197" s="8" t="s">
        <v>1847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1847</v>
      </c>
      <c r="F198" s="8"/>
    </row>
    <row r="199" spans="1:6" x14ac:dyDescent="0.25">
      <c r="A199" s="8" t="s">
        <v>1179</v>
      </c>
      <c r="B199" s="8" t="s">
        <v>1694</v>
      </c>
      <c r="C199" s="8"/>
      <c r="D199" s="8" t="s">
        <v>57</v>
      </c>
      <c r="E199" s="8" t="s">
        <v>1847</v>
      </c>
      <c r="F199" s="8"/>
    </row>
    <row r="200" spans="1:6" x14ac:dyDescent="0.25">
      <c r="A200" s="8" t="s">
        <v>828</v>
      </c>
      <c r="B200" s="8" t="s">
        <v>1694</v>
      </c>
      <c r="C200" s="8"/>
      <c r="D200" s="8" t="s">
        <v>47</v>
      </c>
      <c r="E200" s="8" t="s">
        <v>1847</v>
      </c>
      <c r="F200" s="8"/>
    </row>
    <row r="201" spans="1:6" x14ac:dyDescent="0.25">
      <c r="A201" s="8" t="s">
        <v>829</v>
      </c>
      <c r="B201" s="8" t="s">
        <v>1700</v>
      </c>
      <c r="C201" s="8" t="s">
        <v>72</v>
      </c>
      <c r="D201" s="8" t="s">
        <v>133</v>
      </c>
      <c r="E201" s="8" t="s">
        <v>1848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1847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1847</v>
      </c>
      <c r="F203" s="8"/>
    </row>
    <row r="204" spans="1:6" x14ac:dyDescent="0.25">
      <c r="A204" s="8" t="s">
        <v>848</v>
      </c>
      <c r="B204" s="8" t="s">
        <v>1694</v>
      </c>
      <c r="C204" s="8"/>
      <c r="D204" s="8" t="s">
        <v>47</v>
      </c>
      <c r="E204" s="8" t="s">
        <v>1847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1847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1847</v>
      </c>
      <c r="F206" s="8" t="s">
        <v>1855</v>
      </c>
    </row>
    <row r="207" spans="1:6" x14ac:dyDescent="0.25">
      <c r="A207" s="8" t="s">
        <v>1320</v>
      </c>
      <c r="B207" s="8" t="s">
        <v>1697</v>
      </c>
      <c r="C207" s="8" t="s">
        <v>272</v>
      </c>
      <c r="D207" s="8" t="s">
        <v>702</v>
      </c>
      <c r="E207" s="8" t="s">
        <v>1848</v>
      </c>
      <c r="F207" s="8"/>
    </row>
    <row r="208" spans="1:6" x14ac:dyDescent="0.25">
      <c r="A208" s="8" t="s">
        <v>851</v>
      </c>
      <c r="B208" s="8" t="s">
        <v>1697</v>
      </c>
      <c r="C208" s="8" t="s">
        <v>1858</v>
      </c>
      <c r="D208" s="8" t="s">
        <v>314</v>
      </c>
      <c r="E208" s="8" t="s">
        <v>1849</v>
      </c>
      <c r="F208" s="8"/>
    </row>
    <row r="209" spans="1:6" x14ac:dyDescent="0.25">
      <c r="A209" s="8" t="s">
        <v>851</v>
      </c>
      <c r="B209" s="8" t="s">
        <v>1700</v>
      </c>
      <c r="C209" s="8" t="s">
        <v>178</v>
      </c>
      <c r="D209" s="8" t="s">
        <v>72</v>
      </c>
      <c r="E209" s="8" t="s">
        <v>1848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1847</v>
      </c>
      <c r="F210" s="8"/>
    </row>
    <row r="211" spans="1:6" x14ac:dyDescent="0.25">
      <c r="A211" s="8" t="s">
        <v>857</v>
      </c>
      <c r="B211" s="8" t="s">
        <v>1694</v>
      </c>
      <c r="C211" s="8"/>
      <c r="D211" s="8" t="s">
        <v>57</v>
      </c>
      <c r="E211" s="8" t="s">
        <v>1847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1847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1847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1847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1847</v>
      </c>
      <c r="F215" s="8"/>
    </row>
    <row r="216" spans="1:6" x14ac:dyDescent="0.25">
      <c r="A216" s="8" t="s">
        <v>876</v>
      </c>
      <c r="B216" s="8" t="s">
        <v>1697</v>
      </c>
      <c r="C216" s="8" t="s">
        <v>881</v>
      </c>
      <c r="D216" s="8" t="s">
        <v>272</v>
      </c>
      <c r="E216" s="8" t="s">
        <v>1849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1847</v>
      </c>
      <c r="F217" s="8"/>
    </row>
    <row r="218" spans="1:6" x14ac:dyDescent="0.25">
      <c r="A218" s="8" t="s">
        <v>886</v>
      </c>
      <c r="B218" s="8" t="s">
        <v>1694</v>
      </c>
      <c r="C218" s="8"/>
      <c r="D218" s="8" t="s">
        <v>57</v>
      </c>
      <c r="E218" s="8" t="s">
        <v>1847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1847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1847</v>
      </c>
      <c r="F220" s="8"/>
    </row>
    <row r="221" spans="1:6" x14ac:dyDescent="0.25">
      <c r="A221" s="8" t="s">
        <v>893</v>
      </c>
      <c r="B221" s="8" t="s">
        <v>1694</v>
      </c>
      <c r="C221" s="8"/>
      <c r="D221" s="8" t="s">
        <v>57</v>
      </c>
      <c r="E221" s="8" t="s">
        <v>1847</v>
      </c>
      <c r="F221" s="8"/>
    </row>
    <row r="222" spans="1:6" x14ac:dyDescent="0.25">
      <c r="A222" s="8" t="s">
        <v>1439</v>
      </c>
      <c r="B222" s="8" t="s">
        <v>1694</v>
      </c>
      <c r="C222" s="8"/>
      <c r="D222" s="8" t="s">
        <v>57</v>
      </c>
      <c r="E222" s="8" t="s">
        <v>1847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1847</v>
      </c>
      <c r="F223" s="8"/>
    </row>
    <row r="224" spans="1:6" x14ac:dyDescent="0.25">
      <c r="A224" s="8" t="s">
        <v>901</v>
      </c>
      <c r="B224" s="8" t="s">
        <v>1700</v>
      </c>
      <c r="C224" s="8"/>
      <c r="D224" s="8" t="s">
        <v>119</v>
      </c>
      <c r="E224" s="8" t="s">
        <v>1847</v>
      </c>
      <c r="F224" s="8"/>
    </row>
    <row r="225" spans="1:6" x14ac:dyDescent="0.25">
      <c r="A225" s="8" t="s">
        <v>895</v>
      </c>
      <c r="B225" s="8" t="s">
        <v>1694</v>
      </c>
      <c r="C225" s="8"/>
      <c r="D225" s="8" t="s">
        <v>47</v>
      </c>
      <c r="E225" s="8" t="s">
        <v>1847</v>
      </c>
      <c r="F225" s="8" t="s">
        <v>1850</v>
      </c>
    </row>
    <row r="226" spans="1:6" x14ac:dyDescent="0.25">
      <c r="A226" s="8" t="s">
        <v>895</v>
      </c>
      <c r="B226" s="8" t="s">
        <v>1700</v>
      </c>
      <c r="C226" s="8" t="s">
        <v>49</v>
      </c>
      <c r="D226" s="8" t="s">
        <v>119</v>
      </c>
      <c r="E226" s="8" t="s">
        <v>1848</v>
      </c>
      <c r="F226" s="8"/>
    </row>
    <row r="227" spans="1:6" x14ac:dyDescent="0.25">
      <c r="A227" s="8" t="s">
        <v>905</v>
      </c>
      <c r="B227" s="8" t="s">
        <v>1700</v>
      </c>
      <c r="C227" s="8"/>
      <c r="D227" s="8" t="s">
        <v>123</v>
      </c>
      <c r="E227" s="8" t="s">
        <v>1847</v>
      </c>
      <c r="F227" s="8"/>
    </row>
    <row r="228" spans="1:6" x14ac:dyDescent="0.25">
      <c r="A228" s="8" t="s">
        <v>1013</v>
      </c>
      <c r="B228" s="8" t="s">
        <v>1694</v>
      </c>
      <c r="C228" s="8"/>
      <c r="D228" s="8" t="s">
        <v>47</v>
      </c>
      <c r="E228" s="8" t="s">
        <v>1847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1847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1847</v>
      </c>
      <c r="F230" s="8"/>
    </row>
    <row r="231" spans="1:6" x14ac:dyDescent="0.25">
      <c r="A231" s="8" t="s">
        <v>925</v>
      </c>
      <c r="B231" s="8" t="s">
        <v>1700</v>
      </c>
      <c r="C231" s="8"/>
      <c r="D231" s="8" t="s">
        <v>91</v>
      </c>
      <c r="E231" s="8" t="s">
        <v>1847</v>
      </c>
      <c r="F231" s="8"/>
    </row>
    <row r="232" spans="1:6" x14ac:dyDescent="0.25">
      <c r="A232" s="8" t="s">
        <v>929</v>
      </c>
      <c r="B232" s="8" t="s">
        <v>1694</v>
      </c>
      <c r="C232" s="8"/>
      <c r="D232" s="8" t="s">
        <v>47</v>
      </c>
      <c r="E232" s="8" t="s">
        <v>1847</v>
      </c>
      <c r="F232" s="8"/>
    </row>
    <row r="233" spans="1:6" x14ac:dyDescent="0.25">
      <c r="A233" s="8" t="s">
        <v>929</v>
      </c>
      <c r="B233" s="8" t="s">
        <v>1700</v>
      </c>
      <c r="C233" s="8"/>
      <c r="D233" s="8" t="s">
        <v>91</v>
      </c>
      <c r="E233" s="8" t="s">
        <v>1847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1847</v>
      </c>
      <c r="F234" s="8" t="s">
        <v>1855</v>
      </c>
    </row>
    <row r="235" spans="1:6" x14ac:dyDescent="0.25">
      <c r="A235" s="8" t="s">
        <v>934</v>
      </c>
      <c r="B235" s="8" t="s">
        <v>1694</v>
      </c>
      <c r="C235" s="8"/>
      <c r="D235" s="8" t="s">
        <v>57</v>
      </c>
      <c r="E235" s="8" t="s">
        <v>1847</v>
      </c>
      <c r="F235" s="8"/>
    </row>
    <row r="236" spans="1:6" x14ac:dyDescent="0.25">
      <c r="A236" s="8" t="s">
        <v>934</v>
      </c>
      <c r="B236" s="8" t="s">
        <v>1697</v>
      </c>
      <c r="C236" s="8" t="s">
        <v>58</v>
      </c>
      <c r="D236" s="8" t="s">
        <v>272</v>
      </c>
      <c r="E236" s="8" t="s">
        <v>1848</v>
      </c>
      <c r="F236" s="8"/>
    </row>
    <row r="237" spans="1:6" x14ac:dyDescent="0.25">
      <c r="A237" s="8" t="s">
        <v>950</v>
      </c>
      <c r="B237" s="8" t="s">
        <v>1700</v>
      </c>
      <c r="C237" s="8" t="s">
        <v>72</v>
      </c>
      <c r="D237" s="8" t="s">
        <v>78</v>
      </c>
      <c r="E237" s="8" t="s">
        <v>1848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1847</v>
      </c>
      <c r="F238" s="8"/>
    </row>
    <row r="239" spans="1:6" x14ac:dyDescent="0.25">
      <c r="A239" s="8" t="s">
        <v>956</v>
      </c>
      <c r="B239" s="8" t="s">
        <v>1700</v>
      </c>
      <c r="C239" s="8"/>
      <c r="D239" s="8" t="s">
        <v>192</v>
      </c>
      <c r="E239" s="8" t="s">
        <v>1847</v>
      </c>
      <c r="F239" s="8"/>
    </row>
    <row r="240" spans="1:6" x14ac:dyDescent="0.25">
      <c r="A240" s="8" t="s">
        <v>965</v>
      </c>
      <c r="B240" s="8" t="s">
        <v>1694</v>
      </c>
      <c r="C240" s="8"/>
      <c r="D240" s="8" t="s">
        <v>47</v>
      </c>
      <c r="E240" s="8" t="s">
        <v>1847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1847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1847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1847</v>
      </c>
      <c r="F243" s="8"/>
    </row>
    <row r="244" spans="1:6" x14ac:dyDescent="0.25">
      <c r="A244" s="8" t="s">
        <v>977</v>
      </c>
      <c r="B244" s="8" t="s">
        <v>1697</v>
      </c>
      <c r="C244" s="8" t="s">
        <v>96</v>
      </c>
      <c r="D244" s="8" t="s">
        <v>1859</v>
      </c>
      <c r="E244" s="8" t="s">
        <v>1848</v>
      </c>
      <c r="F244" s="8"/>
    </row>
    <row r="245" spans="1:6" x14ac:dyDescent="0.25">
      <c r="A245" s="8" t="s">
        <v>977</v>
      </c>
      <c r="B245" s="8" t="s">
        <v>1700</v>
      </c>
      <c r="C245" s="8"/>
      <c r="D245" s="8" t="s">
        <v>91</v>
      </c>
      <c r="E245" s="8" t="s">
        <v>1847</v>
      </c>
      <c r="F245" s="8"/>
    </row>
    <row r="246" spans="1:6" x14ac:dyDescent="0.25">
      <c r="A246" s="8" t="s">
        <v>981</v>
      </c>
      <c r="B246" s="8" t="s">
        <v>1700</v>
      </c>
      <c r="C246" s="8"/>
      <c r="D246" s="8" t="s">
        <v>192</v>
      </c>
      <c r="E246" s="8" t="s">
        <v>1847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1847</v>
      </c>
      <c r="F247" s="8"/>
    </row>
    <row r="248" spans="1:6" x14ac:dyDescent="0.25">
      <c r="A248" s="8" t="s">
        <v>983</v>
      </c>
      <c r="B248" s="8" t="s">
        <v>1694</v>
      </c>
      <c r="C248" s="8"/>
      <c r="D248" s="8" t="s">
        <v>47</v>
      </c>
      <c r="E248" s="8" t="s">
        <v>1847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1847</v>
      </c>
      <c r="F249" s="8"/>
    </row>
    <row r="250" spans="1:6" x14ac:dyDescent="0.25">
      <c r="A250" s="8" t="s">
        <v>985</v>
      </c>
      <c r="B250" s="8" t="s">
        <v>1694</v>
      </c>
      <c r="C250" s="8"/>
      <c r="D250" s="8" t="s">
        <v>57</v>
      </c>
      <c r="E250" s="8" t="s">
        <v>1847</v>
      </c>
      <c r="F250" s="8"/>
    </row>
    <row r="251" spans="1:6" x14ac:dyDescent="0.25">
      <c r="A251" s="8" t="s">
        <v>989</v>
      </c>
      <c r="B251" s="8" t="s">
        <v>1700</v>
      </c>
      <c r="C251" s="8" t="s">
        <v>119</v>
      </c>
      <c r="D251" s="8" t="s">
        <v>71</v>
      </c>
      <c r="E251" s="8" t="s">
        <v>1848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1847</v>
      </c>
      <c r="F252" s="8"/>
    </row>
    <row r="253" spans="1:6" x14ac:dyDescent="0.25">
      <c r="A253" s="8" t="s">
        <v>994</v>
      </c>
      <c r="B253" s="8" t="s">
        <v>1697</v>
      </c>
      <c r="C253" s="8" t="s">
        <v>998</v>
      </c>
      <c r="D253" s="8" t="s">
        <v>323</v>
      </c>
      <c r="E253" s="8" t="s">
        <v>1849</v>
      </c>
      <c r="F253" s="8"/>
    </row>
    <row r="254" spans="1:6" x14ac:dyDescent="0.25">
      <c r="A254" s="8" t="s">
        <v>994</v>
      </c>
      <c r="B254" s="8" t="s">
        <v>1700</v>
      </c>
      <c r="C254" s="8"/>
      <c r="D254" s="8" t="s">
        <v>71</v>
      </c>
      <c r="E254" s="8" t="s">
        <v>1847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1847</v>
      </c>
      <c r="F255" s="8"/>
    </row>
    <row r="256" spans="1:6" x14ac:dyDescent="0.25">
      <c r="A256" s="8" t="s">
        <v>1002</v>
      </c>
      <c r="B256" s="8" t="s">
        <v>1697</v>
      </c>
      <c r="C256" s="8" t="s">
        <v>58</v>
      </c>
      <c r="D256" s="8" t="s">
        <v>1860</v>
      </c>
      <c r="E256" s="8" t="s">
        <v>1848</v>
      </c>
      <c r="F256" s="8"/>
    </row>
    <row r="257" spans="1:6" x14ac:dyDescent="0.25">
      <c r="A257" s="8" t="s">
        <v>1002</v>
      </c>
      <c r="B257" s="8" t="s">
        <v>1700</v>
      </c>
      <c r="C257" s="8"/>
      <c r="D257" s="8" t="s">
        <v>123</v>
      </c>
      <c r="E257" s="8" t="s">
        <v>1847</v>
      </c>
      <c r="F257" s="8"/>
    </row>
    <row r="258" spans="1:6" x14ac:dyDescent="0.25">
      <c r="A258" s="8" t="s">
        <v>1004</v>
      </c>
      <c r="B258" s="8" t="s">
        <v>1697</v>
      </c>
      <c r="C258" s="8" t="s">
        <v>422</v>
      </c>
      <c r="D258" s="8" t="s">
        <v>77</v>
      </c>
      <c r="E258" s="8" t="s">
        <v>1849</v>
      </c>
      <c r="F258" s="8"/>
    </row>
    <row r="259" spans="1:6" x14ac:dyDescent="0.25">
      <c r="A259" s="8" t="s">
        <v>1004</v>
      </c>
      <c r="B259" s="8" t="s">
        <v>1700</v>
      </c>
      <c r="C259" s="8" t="s">
        <v>59</v>
      </c>
      <c r="D259" s="8" t="s">
        <v>119</v>
      </c>
      <c r="E259" s="8" t="s">
        <v>1848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1847</v>
      </c>
      <c r="F260" s="8"/>
    </row>
    <row r="261" spans="1:6" x14ac:dyDescent="0.25">
      <c r="A261" s="8" t="s">
        <v>1007</v>
      </c>
      <c r="B261" s="8" t="s">
        <v>1697</v>
      </c>
      <c r="C261" s="8" t="s">
        <v>77</v>
      </c>
      <c r="D261" s="8" t="s">
        <v>83</v>
      </c>
      <c r="E261" s="8" t="s">
        <v>1848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1847</v>
      </c>
      <c r="F262" s="8"/>
    </row>
    <row r="263" spans="1:6" x14ac:dyDescent="0.25">
      <c r="A263" s="8" t="s">
        <v>1009</v>
      </c>
      <c r="B263" s="8" t="s">
        <v>1700</v>
      </c>
      <c r="C263" s="8"/>
      <c r="D263" s="8" t="s">
        <v>49</v>
      </c>
      <c r="E263" s="8" t="s">
        <v>1847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1847</v>
      </c>
      <c r="F264" s="8"/>
    </row>
    <row r="265" spans="1:6" x14ac:dyDescent="0.25">
      <c r="A265" s="8" t="s">
        <v>1016</v>
      </c>
      <c r="B265" s="8" t="s">
        <v>1697</v>
      </c>
      <c r="C265" s="8" t="s">
        <v>58</v>
      </c>
      <c r="D265" s="8" t="s">
        <v>77</v>
      </c>
      <c r="E265" s="8" t="s">
        <v>1848</v>
      </c>
      <c r="F265" s="8"/>
    </row>
    <row r="266" spans="1:6" x14ac:dyDescent="0.25">
      <c r="A266" s="8" t="s">
        <v>1016</v>
      </c>
      <c r="B266" s="8" t="s">
        <v>1700</v>
      </c>
      <c r="C266" s="8"/>
      <c r="D266" s="8" t="s">
        <v>91</v>
      </c>
      <c r="E266" s="8" t="s">
        <v>1847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1847</v>
      </c>
      <c r="F267" s="8"/>
    </row>
    <row r="268" spans="1:6" x14ac:dyDescent="0.25">
      <c r="A268" s="8" t="s">
        <v>1019</v>
      </c>
      <c r="B268" s="8" t="s">
        <v>1694</v>
      </c>
      <c r="C268" s="8"/>
      <c r="D268" s="8" t="s">
        <v>47</v>
      </c>
      <c r="E268" s="8" t="s">
        <v>1847</v>
      </c>
      <c r="F268" s="8"/>
    </row>
    <row r="269" spans="1:6" x14ac:dyDescent="0.25">
      <c r="A269" s="8" t="s">
        <v>1019</v>
      </c>
      <c r="B269" s="8" t="s">
        <v>1700</v>
      </c>
      <c r="C269" s="8"/>
      <c r="D269" s="8" t="s">
        <v>119</v>
      </c>
      <c r="E269" s="8" t="s">
        <v>1847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1847</v>
      </c>
      <c r="F270" s="8"/>
    </row>
    <row r="271" spans="1:6" x14ac:dyDescent="0.25">
      <c r="A271" s="8" t="s">
        <v>1025</v>
      </c>
      <c r="B271" s="8" t="s">
        <v>1694</v>
      </c>
      <c r="C271" s="8"/>
      <c r="D271" s="8" t="s">
        <v>57</v>
      </c>
      <c r="E271" s="8" t="s">
        <v>1847</v>
      </c>
      <c r="F271" s="8"/>
    </row>
    <row r="272" spans="1:6" x14ac:dyDescent="0.25">
      <c r="A272" s="8" t="s">
        <v>1025</v>
      </c>
      <c r="B272" s="8" t="s">
        <v>1697</v>
      </c>
      <c r="C272" s="8" t="s">
        <v>700</v>
      </c>
      <c r="D272" s="8" t="s">
        <v>58</v>
      </c>
      <c r="E272" s="8" t="s">
        <v>1848</v>
      </c>
      <c r="F272" s="8"/>
    </row>
    <row r="273" spans="1:6" x14ac:dyDescent="0.25">
      <c r="A273" s="8" t="s">
        <v>1025</v>
      </c>
      <c r="B273" s="8" t="s">
        <v>1700</v>
      </c>
      <c r="C273" s="8"/>
      <c r="D273" s="8" t="s">
        <v>119</v>
      </c>
      <c r="E273" s="8" t="s">
        <v>1847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1847</v>
      </c>
      <c r="F274" s="8"/>
    </row>
    <row r="275" spans="1:6" x14ac:dyDescent="0.25">
      <c r="A275" s="8" t="s">
        <v>1033</v>
      </c>
      <c r="B275" s="8" t="s">
        <v>1700</v>
      </c>
      <c r="C275" s="8" t="s">
        <v>119</v>
      </c>
      <c r="D275" s="8" t="s">
        <v>91</v>
      </c>
      <c r="E275" s="8" t="s">
        <v>1848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1847</v>
      </c>
      <c r="F276" s="8"/>
    </row>
    <row r="277" spans="1:6" x14ac:dyDescent="0.25">
      <c r="A277" s="8" t="s">
        <v>1045</v>
      </c>
      <c r="B277" s="8" t="s">
        <v>1694</v>
      </c>
      <c r="C277" s="8"/>
      <c r="D277" s="8" t="s">
        <v>57</v>
      </c>
      <c r="E277" s="8" t="s">
        <v>1847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1847</v>
      </c>
      <c r="F278" s="8"/>
    </row>
    <row r="279" spans="1:6" x14ac:dyDescent="0.25">
      <c r="A279" s="8" t="s">
        <v>1049</v>
      </c>
      <c r="B279" s="8" t="s">
        <v>1694</v>
      </c>
      <c r="C279" s="8"/>
      <c r="D279" s="8" t="s">
        <v>47</v>
      </c>
      <c r="E279" s="8" t="s">
        <v>1847</v>
      </c>
      <c r="F279" s="8"/>
    </row>
    <row r="280" spans="1:6" x14ac:dyDescent="0.25">
      <c r="A280" s="8" t="s">
        <v>1049</v>
      </c>
      <c r="B280" s="8" t="s">
        <v>1700</v>
      </c>
      <c r="C280" s="8"/>
      <c r="D280" s="8" t="s">
        <v>59</v>
      </c>
      <c r="E280" s="8" t="s">
        <v>1847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1847</v>
      </c>
      <c r="F281" s="8"/>
    </row>
    <row r="282" spans="1:6" x14ac:dyDescent="0.25">
      <c r="A282" s="8" t="s">
        <v>1056</v>
      </c>
      <c r="B282" s="8" t="s">
        <v>1694</v>
      </c>
      <c r="C282" s="8"/>
      <c r="D282" s="8" t="s">
        <v>47</v>
      </c>
      <c r="E282" s="8" t="s">
        <v>1847</v>
      </c>
      <c r="F282" s="8"/>
    </row>
    <row r="283" spans="1:6" x14ac:dyDescent="0.25">
      <c r="A283" s="8" t="s">
        <v>1065</v>
      </c>
      <c r="B283" s="8" t="s">
        <v>1694</v>
      </c>
      <c r="C283" s="8"/>
      <c r="D283" s="8" t="s">
        <v>47</v>
      </c>
      <c r="E283" s="8" t="s">
        <v>1847</v>
      </c>
      <c r="F283" s="8"/>
    </row>
    <row r="284" spans="1:6" x14ac:dyDescent="0.25">
      <c r="A284" s="8" t="s">
        <v>1065</v>
      </c>
      <c r="B284" s="8" t="s">
        <v>1700</v>
      </c>
      <c r="C284" s="8"/>
      <c r="D284" s="8" t="s">
        <v>91</v>
      </c>
      <c r="E284" s="8" t="s">
        <v>1847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1847</v>
      </c>
      <c r="F285" s="8"/>
    </row>
    <row r="286" spans="1:6" x14ac:dyDescent="0.25">
      <c r="A286" s="8" t="s">
        <v>439</v>
      </c>
      <c r="B286" s="8" t="s">
        <v>1700</v>
      </c>
      <c r="C286" s="8"/>
      <c r="D286" s="8" t="s">
        <v>91</v>
      </c>
      <c r="E286" s="8" t="s">
        <v>1847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1847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1847</v>
      </c>
      <c r="F288" s="8"/>
    </row>
    <row r="289" spans="1:6" x14ac:dyDescent="0.25">
      <c r="A289" s="8" t="s">
        <v>1076</v>
      </c>
      <c r="B289" s="8" t="s">
        <v>1697</v>
      </c>
      <c r="C289" s="8" t="s">
        <v>58</v>
      </c>
      <c r="D289" s="8" t="s">
        <v>333</v>
      </c>
      <c r="E289" s="8" t="s">
        <v>1848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1847</v>
      </c>
      <c r="F290" s="8"/>
    </row>
    <row r="291" spans="1:6" x14ac:dyDescent="0.25">
      <c r="A291" s="8" t="s">
        <v>1080</v>
      </c>
      <c r="B291" s="8" t="s">
        <v>1697</v>
      </c>
      <c r="C291" s="8" t="s">
        <v>96</v>
      </c>
      <c r="D291" s="8" t="s">
        <v>1137</v>
      </c>
      <c r="E291" s="8" t="s">
        <v>1848</v>
      </c>
      <c r="F291" s="8"/>
    </row>
    <row r="292" spans="1:6" x14ac:dyDescent="0.25">
      <c r="A292" s="8" t="s">
        <v>1080</v>
      </c>
      <c r="B292" s="8" t="s">
        <v>1700</v>
      </c>
      <c r="C292" s="8"/>
      <c r="D292" s="8" t="s">
        <v>59</v>
      </c>
      <c r="E292" s="8" t="s">
        <v>1847</v>
      </c>
      <c r="F292" s="8"/>
    </row>
    <row r="293" spans="1:6" x14ac:dyDescent="0.25">
      <c r="A293" s="8" t="s">
        <v>1084</v>
      </c>
      <c r="B293" s="8" t="s">
        <v>1694</v>
      </c>
      <c r="C293" s="8"/>
      <c r="D293" s="8" t="s">
        <v>47</v>
      </c>
      <c r="E293" s="8" t="s">
        <v>1847</v>
      </c>
      <c r="F293" s="8"/>
    </row>
    <row r="294" spans="1:6" x14ac:dyDescent="0.25">
      <c r="A294" s="8" t="s">
        <v>1084</v>
      </c>
      <c r="B294" s="8" t="s">
        <v>1700</v>
      </c>
      <c r="C294" s="8" t="s">
        <v>193</v>
      </c>
      <c r="D294" s="8" t="s">
        <v>59</v>
      </c>
      <c r="E294" s="8" t="s">
        <v>1848</v>
      </c>
      <c r="F294" s="8"/>
    </row>
    <row r="295" spans="1:6" x14ac:dyDescent="0.25">
      <c r="A295" s="8" t="s">
        <v>1092</v>
      </c>
      <c r="B295" s="8" t="s">
        <v>1697</v>
      </c>
      <c r="C295" s="8" t="s">
        <v>422</v>
      </c>
      <c r="D295" s="8" t="s">
        <v>77</v>
      </c>
      <c r="E295" s="8" t="s">
        <v>1849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1847</v>
      </c>
      <c r="F296" s="8" t="s">
        <v>1855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1847</v>
      </c>
      <c r="F297" s="8"/>
    </row>
    <row r="298" spans="1:6" x14ac:dyDescent="0.25">
      <c r="A298" s="8" t="s">
        <v>1115</v>
      </c>
      <c r="B298" s="8" t="s">
        <v>1694</v>
      </c>
      <c r="C298" s="8"/>
      <c r="D298" s="8" t="s">
        <v>57</v>
      </c>
      <c r="E298" s="8" t="s">
        <v>1847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1847</v>
      </c>
      <c r="F299" s="8"/>
    </row>
    <row r="300" spans="1:6" x14ac:dyDescent="0.25">
      <c r="A300" s="8" t="s">
        <v>1119</v>
      </c>
      <c r="B300" s="8" t="s">
        <v>1700</v>
      </c>
      <c r="C300" s="8"/>
      <c r="D300" s="8" t="s">
        <v>71</v>
      </c>
      <c r="E300" s="8" t="s">
        <v>1847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1847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1847</v>
      </c>
      <c r="F302" s="8"/>
    </row>
    <row r="303" spans="1:6" x14ac:dyDescent="0.25">
      <c r="A303" s="8" t="s">
        <v>1127</v>
      </c>
      <c r="B303" s="8" t="s">
        <v>1694</v>
      </c>
      <c r="C303" s="8"/>
      <c r="D303" s="8" t="s">
        <v>47</v>
      </c>
      <c r="E303" s="8" t="s">
        <v>1847</v>
      </c>
      <c r="F303" s="8"/>
    </row>
    <row r="304" spans="1:6" x14ac:dyDescent="0.25">
      <c r="A304" s="8" t="s">
        <v>1127</v>
      </c>
      <c r="B304" s="8" t="s">
        <v>1700</v>
      </c>
      <c r="C304" s="8"/>
      <c r="D304" s="8" t="s">
        <v>78</v>
      </c>
      <c r="E304" s="8" t="s">
        <v>1847</v>
      </c>
      <c r="F304" s="8"/>
    </row>
    <row r="305" spans="1:6" x14ac:dyDescent="0.25">
      <c r="A305" s="8" t="s">
        <v>1132</v>
      </c>
      <c r="B305" s="8" t="s">
        <v>1694</v>
      </c>
      <c r="C305" s="8"/>
      <c r="D305" s="8" t="s">
        <v>47</v>
      </c>
      <c r="E305" s="8" t="s">
        <v>1847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1847</v>
      </c>
      <c r="F306" s="8"/>
    </row>
    <row r="307" spans="1:6" x14ac:dyDescent="0.25">
      <c r="A307" s="8" t="s">
        <v>1138</v>
      </c>
      <c r="B307" s="8" t="s">
        <v>1694</v>
      </c>
      <c r="C307" s="8"/>
      <c r="D307" s="8" t="s">
        <v>47</v>
      </c>
      <c r="E307" s="8" t="s">
        <v>1847</v>
      </c>
      <c r="F307" s="8"/>
    </row>
    <row r="308" spans="1:6" x14ac:dyDescent="0.25">
      <c r="A308" s="8" t="s">
        <v>1138</v>
      </c>
      <c r="B308" s="8" t="s">
        <v>1700</v>
      </c>
      <c r="C308" s="8"/>
      <c r="D308" s="8" t="s">
        <v>91</v>
      </c>
      <c r="E308" s="8" t="s">
        <v>1847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1847</v>
      </c>
      <c r="F309" s="8"/>
    </row>
    <row r="310" spans="1:6" x14ac:dyDescent="0.25">
      <c r="A310" s="8" t="s">
        <v>1143</v>
      </c>
      <c r="B310" s="8" t="s">
        <v>1700</v>
      </c>
      <c r="C310" s="8"/>
      <c r="D310" s="8" t="s">
        <v>91</v>
      </c>
      <c r="E310" s="8" t="s">
        <v>1847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1847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1847</v>
      </c>
      <c r="F312" s="8"/>
    </row>
    <row r="313" spans="1:6" x14ac:dyDescent="0.25">
      <c r="A313" s="8" t="s">
        <v>1148</v>
      </c>
      <c r="B313" s="8" t="s">
        <v>1694</v>
      </c>
      <c r="C313" s="8"/>
      <c r="D313" s="8" t="s">
        <v>57</v>
      </c>
      <c r="E313" s="8" t="s">
        <v>1847</v>
      </c>
      <c r="F313" s="8"/>
    </row>
    <row r="314" spans="1:6" x14ac:dyDescent="0.25">
      <c r="A314" s="8" t="s">
        <v>1148</v>
      </c>
      <c r="B314" s="8" t="s">
        <v>1700</v>
      </c>
      <c r="C314" s="8"/>
      <c r="D314" s="8" t="s">
        <v>78</v>
      </c>
      <c r="E314" s="8" t="s">
        <v>1847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1847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1847</v>
      </c>
      <c r="F316" s="8"/>
    </row>
    <row r="317" spans="1:6" x14ac:dyDescent="0.25">
      <c r="A317" s="8" t="s">
        <v>1151</v>
      </c>
      <c r="B317" s="8" t="s">
        <v>1700</v>
      </c>
      <c r="C317" s="8"/>
      <c r="D317" s="8" t="s">
        <v>193</v>
      </c>
      <c r="E317" s="8" t="s">
        <v>1847</v>
      </c>
      <c r="F317" s="8"/>
    </row>
    <row r="318" spans="1:6" x14ac:dyDescent="0.25">
      <c r="A318" s="8" t="s">
        <v>1155</v>
      </c>
      <c r="B318" s="8" t="s">
        <v>1694</v>
      </c>
      <c r="C318" s="8"/>
      <c r="D318" s="8" t="s">
        <v>47</v>
      </c>
      <c r="E318" s="8" t="s">
        <v>1847</v>
      </c>
      <c r="F318" s="8" t="s">
        <v>1850</v>
      </c>
    </row>
    <row r="319" spans="1:6" x14ac:dyDescent="0.25">
      <c r="A319" s="8" t="s">
        <v>1162</v>
      </c>
      <c r="B319" s="8" t="s">
        <v>1694</v>
      </c>
      <c r="C319" s="8"/>
      <c r="D319" s="8" t="s">
        <v>47</v>
      </c>
      <c r="E319" s="8" t="s">
        <v>1847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1847</v>
      </c>
      <c r="F320" s="8"/>
    </row>
    <row r="321" spans="1:6" x14ac:dyDescent="0.25">
      <c r="A321" s="8" t="s">
        <v>1166</v>
      </c>
      <c r="B321" s="8" t="s">
        <v>1694</v>
      </c>
      <c r="C321" s="8"/>
      <c r="D321" s="8" t="s">
        <v>57</v>
      </c>
      <c r="E321" s="8" t="s">
        <v>1847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1847</v>
      </c>
      <c r="F322" s="8"/>
    </row>
    <row r="323" spans="1:6" x14ac:dyDescent="0.25">
      <c r="A323" s="8" t="s">
        <v>1171</v>
      </c>
      <c r="B323" s="8" t="s">
        <v>1700</v>
      </c>
      <c r="C323" s="8"/>
      <c r="D323" s="8" t="s">
        <v>193</v>
      </c>
      <c r="E323" s="8" t="s">
        <v>1847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1847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1847</v>
      </c>
      <c r="F325" s="8"/>
    </row>
    <row r="326" spans="1:6" x14ac:dyDescent="0.25">
      <c r="A326" s="8" t="s">
        <v>1176</v>
      </c>
      <c r="B326" s="8" t="s">
        <v>1700</v>
      </c>
      <c r="C326" s="8"/>
      <c r="D326" s="8" t="s">
        <v>133</v>
      </c>
      <c r="E326" s="8" t="s">
        <v>1847</v>
      </c>
      <c r="F326" s="8"/>
    </row>
    <row r="327" spans="1:6" x14ac:dyDescent="0.25">
      <c r="A327" s="8" t="s">
        <v>1179</v>
      </c>
      <c r="B327" s="8" t="s">
        <v>1697</v>
      </c>
      <c r="C327" s="8" t="s">
        <v>314</v>
      </c>
      <c r="D327" s="8" t="s">
        <v>458</v>
      </c>
      <c r="E327" s="8" t="s">
        <v>1848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1847</v>
      </c>
      <c r="F328" s="8"/>
    </row>
    <row r="329" spans="1:6" x14ac:dyDescent="0.25">
      <c r="A329" s="8" t="s">
        <v>1188</v>
      </c>
      <c r="B329" s="8" t="s">
        <v>1694</v>
      </c>
      <c r="C329" s="8"/>
      <c r="D329" s="8" t="s">
        <v>47</v>
      </c>
      <c r="E329" s="8" t="s">
        <v>1847</v>
      </c>
      <c r="F329" s="8"/>
    </row>
    <row r="330" spans="1:6" x14ac:dyDescent="0.25">
      <c r="A330" s="8" t="s">
        <v>1188</v>
      </c>
      <c r="B330" s="8" t="s">
        <v>1700</v>
      </c>
      <c r="C330" s="8"/>
      <c r="D330" s="8" t="s">
        <v>193</v>
      </c>
      <c r="E330" s="8" t="s">
        <v>1847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1847</v>
      </c>
      <c r="F331" s="8"/>
    </row>
    <row r="332" spans="1:6" x14ac:dyDescent="0.25">
      <c r="A332" s="8" t="s">
        <v>1197</v>
      </c>
      <c r="B332" s="8" t="s">
        <v>1694</v>
      </c>
      <c r="C332" s="8"/>
      <c r="D332" s="8" t="s">
        <v>57</v>
      </c>
      <c r="E332" s="8" t="s">
        <v>1847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1847</v>
      </c>
      <c r="F333" s="8"/>
    </row>
    <row r="334" spans="1:6" x14ac:dyDescent="0.25">
      <c r="A334" s="8" t="s">
        <v>1202</v>
      </c>
      <c r="B334" s="8" t="s">
        <v>1700</v>
      </c>
      <c r="C334" s="8"/>
      <c r="D334" s="8" t="s">
        <v>71</v>
      </c>
      <c r="E334" s="8" t="s">
        <v>1847</v>
      </c>
      <c r="F334" s="8"/>
    </row>
    <row r="335" spans="1:6" x14ac:dyDescent="0.25">
      <c r="A335" s="8" t="s">
        <v>1204</v>
      </c>
      <c r="B335" s="8" t="s">
        <v>1697</v>
      </c>
      <c r="C335" s="8" t="s">
        <v>96</v>
      </c>
      <c r="D335" s="8" t="s">
        <v>1137</v>
      </c>
      <c r="E335" s="8" t="s">
        <v>1848</v>
      </c>
      <c r="F335" s="8"/>
    </row>
    <row r="336" spans="1:6" x14ac:dyDescent="0.25">
      <c r="A336" s="8" t="s">
        <v>1204</v>
      </c>
      <c r="B336" s="8" t="s">
        <v>1700</v>
      </c>
      <c r="C336" s="8" t="s">
        <v>133</v>
      </c>
      <c r="D336" s="8" t="s">
        <v>78</v>
      </c>
      <c r="E336" s="8" t="s">
        <v>1848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1847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1847</v>
      </c>
      <c r="F338" s="8" t="s">
        <v>1855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1847</v>
      </c>
      <c r="F339" s="8" t="s">
        <v>1855</v>
      </c>
    </row>
    <row r="340" spans="1:6" x14ac:dyDescent="0.25">
      <c r="A340" s="8" t="s">
        <v>1217</v>
      </c>
      <c r="B340" s="8" t="s">
        <v>1694</v>
      </c>
      <c r="C340" s="8"/>
      <c r="D340" s="8" t="s">
        <v>57</v>
      </c>
      <c r="E340" s="8" t="s">
        <v>1847</v>
      </c>
      <c r="F340" s="8"/>
    </row>
    <row r="341" spans="1:6" x14ac:dyDescent="0.25">
      <c r="A341" s="8" t="s">
        <v>1217</v>
      </c>
      <c r="B341" s="8" t="s">
        <v>1697</v>
      </c>
      <c r="C341" s="8" t="s">
        <v>58</v>
      </c>
      <c r="D341" s="8" t="s">
        <v>272</v>
      </c>
      <c r="E341" s="8" t="s">
        <v>1848</v>
      </c>
      <c r="F341" s="8"/>
    </row>
    <row r="342" spans="1:6" x14ac:dyDescent="0.25">
      <c r="A342" s="8" t="s">
        <v>1217</v>
      </c>
      <c r="B342" s="8" t="s">
        <v>1700</v>
      </c>
      <c r="C342" s="8"/>
      <c r="D342" s="8" t="s">
        <v>192</v>
      </c>
      <c r="E342" s="8" t="s">
        <v>1847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1847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1847</v>
      </c>
      <c r="F344" s="8"/>
    </row>
    <row r="345" spans="1:6" x14ac:dyDescent="0.25">
      <c r="A345" s="8" t="s">
        <v>1227</v>
      </c>
      <c r="B345" s="8" t="s">
        <v>1697</v>
      </c>
      <c r="C345" s="8"/>
      <c r="D345" s="8" t="s">
        <v>149</v>
      </c>
      <c r="E345" s="8" t="s">
        <v>1847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1847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1847</v>
      </c>
      <c r="F347" s="8"/>
    </row>
    <row r="348" spans="1:6" x14ac:dyDescent="0.25">
      <c r="A348" s="8" t="s">
        <v>1245</v>
      </c>
      <c r="B348" s="8" t="s">
        <v>1694</v>
      </c>
      <c r="C348" s="8"/>
      <c r="D348" s="8" t="s">
        <v>47</v>
      </c>
      <c r="E348" s="8" t="s">
        <v>1847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1847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1847</v>
      </c>
      <c r="F350" s="8"/>
    </row>
    <row r="351" spans="1:6" x14ac:dyDescent="0.25">
      <c r="A351" s="8" t="s">
        <v>1249</v>
      </c>
      <c r="B351" s="8" t="s">
        <v>1697</v>
      </c>
      <c r="C351" s="8"/>
      <c r="D351" s="8" t="s">
        <v>77</v>
      </c>
      <c r="E351" s="8" t="s">
        <v>1847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1847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1847</v>
      </c>
      <c r="F353" s="8"/>
    </row>
    <row r="354" spans="1:6" x14ac:dyDescent="0.25">
      <c r="A354" s="8" t="s">
        <v>1258</v>
      </c>
      <c r="B354" s="8" t="s">
        <v>1697</v>
      </c>
      <c r="C354" s="8" t="s">
        <v>58</v>
      </c>
      <c r="D354" s="8" t="s">
        <v>458</v>
      </c>
      <c r="E354" s="8" t="s">
        <v>1848</v>
      </c>
      <c r="F354" s="8"/>
    </row>
    <row r="355" spans="1:6" x14ac:dyDescent="0.25">
      <c r="A355" s="8" t="s">
        <v>1267</v>
      </c>
      <c r="B355" s="8" t="s">
        <v>1694</v>
      </c>
      <c r="C355" s="8"/>
      <c r="D355" s="8" t="s">
        <v>47</v>
      </c>
      <c r="E355" s="8" t="s">
        <v>1847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1847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1847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1847</v>
      </c>
      <c r="F358" s="8"/>
    </row>
    <row r="359" spans="1:6" x14ac:dyDescent="0.25">
      <c r="A359" s="8" t="s">
        <v>1277</v>
      </c>
      <c r="B359" s="8" t="s">
        <v>1694</v>
      </c>
      <c r="C359" s="8"/>
      <c r="D359" s="8" t="s">
        <v>47</v>
      </c>
      <c r="E359" s="8" t="s">
        <v>1847</v>
      </c>
      <c r="F359" s="8"/>
    </row>
    <row r="360" spans="1:6" x14ac:dyDescent="0.25">
      <c r="A360" s="8" t="s">
        <v>1281</v>
      </c>
      <c r="B360" s="8" t="s">
        <v>1694</v>
      </c>
      <c r="C360" s="8"/>
      <c r="D360" s="8" t="s">
        <v>47</v>
      </c>
      <c r="E360" s="8" t="s">
        <v>1847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1847</v>
      </c>
      <c r="F361" s="8"/>
    </row>
    <row r="362" spans="1:6" x14ac:dyDescent="0.25">
      <c r="A362" s="8" t="s">
        <v>1286</v>
      </c>
      <c r="B362" s="8" t="s">
        <v>1694</v>
      </c>
      <c r="C362" s="8"/>
      <c r="D362" s="8" t="s">
        <v>47</v>
      </c>
      <c r="E362" s="8" t="s">
        <v>1847</v>
      </c>
      <c r="F362" s="8" t="s">
        <v>1850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1847</v>
      </c>
      <c r="F363" s="8"/>
    </row>
    <row r="364" spans="1:6" x14ac:dyDescent="0.25">
      <c r="A364" s="8" t="s">
        <v>1294</v>
      </c>
      <c r="B364" s="8" t="s">
        <v>1694</v>
      </c>
      <c r="C364" s="8"/>
      <c r="D364" s="8" t="s">
        <v>47</v>
      </c>
      <c r="E364" s="8" t="s">
        <v>1847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1847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1847</v>
      </c>
      <c r="F366" s="8"/>
    </row>
    <row r="367" spans="1:6" x14ac:dyDescent="0.25">
      <c r="A367" s="8" t="s">
        <v>1300</v>
      </c>
      <c r="B367" s="8" t="s">
        <v>1700</v>
      </c>
      <c r="C367" s="8"/>
      <c r="D367" s="8" t="s">
        <v>133</v>
      </c>
      <c r="E367" s="8" t="s">
        <v>1847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1847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1847</v>
      </c>
      <c r="F369" s="8"/>
    </row>
    <row r="370" spans="1:6" x14ac:dyDescent="0.25">
      <c r="A370" s="8" t="s">
        <v>1316</v>
      </c>
      <c r="B370" s="8" t="s">
        <v>1694</v>
      </c>
      <c r="C370" s="8"/>
      <c r="D370" s="8" t="s">
        <v>47</v>
      </c>
      <c r="E370" s="8" t="s">
        <v>1847</v>
      </c>
      <c r="F370" s="8"/>
    </row>
    <row r="371" spans="1:6" x14ac:dyDescent="0.25">
      <c r="A371" s="8" t="s">
        <v>1316</v>
      </c>
      <c r="B371" s="8" t="s">
        <v>1700</v>
      </c>
      <c r="C371" s="8"/>
      <c r="D371" s="8" t="s">
        <v>119</v>
      </c>
      <c r="E371" s="8" t="s">
        <v>1847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1847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1847</v>
      </c>
      <c r="F373" s="8"/>
    </row>
    <row r="374" spans="1:6" x14ac:dyDescent="0.25">
      <c r="A374" s="8" t="s">
        <v>1327</v>
      </c>
      <c r="B374" s="8" t="s">
        <v>1694</v>
      </c>
      <c r="C374" s="8"/>
      <c r="D374" s="8" t="s">
        <v>47</v>
      </c>
      <c r="E374" s="8" t="s">
        <v>1847</v>
      </c>
      <c r="F374" s="8"/>
    </row>
    <row r="375" spans="1:6" x14ac:dyDescent="0.25">
      <c r="A375" s="8" t="s">
        <v>1327</v>
      </c>
      <c r="B375" s="8" t="s">
        <v>1697</v>
      </c>
      <c r="C375" s="8" t="s">
        <v>58</v>
      </c>
      <c r="D375" s="8" t="s">
        <v>1851</v>
      </c>
      <c r="E375" s="8" t="s">
        <v>1848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1847</v>
      </c>
      <c r="F376" s="8"/>
    </row>
    <row r="377" spans="1:6" x14ac:dyDescent="0.25">
      <c r="A377" s="8" t="s">
        <v>1332</v>
      </c>
      <c r="B377" s="8" t="s">
        <v>1700</v>
      </c>
      <c r="C377" s="8"/>
      <c r="D377" s="8" t="s">
        <v>119</v>
      </c>
      <c r="E377" s="8" t="s">
        <v>1847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1847</v>
      </c>
      <c r="F378" s="8"/>
    </row>
    <row r="379" spans="1:6" x14ac:dyDescent="0.25">
      <c r="A379" s="8" t="s">
        <v>1334</v>
      </c>
      <c r="B379" s="8" t="s">
        <v>1700</v>
      </c>
      <c r="C379" s="8"/>
      <c r="D379" s="8" t="s">
        <v>49</v>
      </c>
      <c r="E379" s="8" t="s">
        <v>1847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1847</v>
      </c>
      <c r="F380" s="8"/>
    </row>
    <row r="381" spans="1:6" x14ac:dyDescent="0.25">
      <c r="A381" s="8" t="s">
        <v>1335</v>
      </c>
      <c r="B381" s="8" t="s">
        <v>1694</v>
      </c>
      <c r="C381" s="8"/>
      <c r="D381" s="8" t="s">
        <v>47</v>
      </c>
      <c r="E381" s="8" t="s">
        <v>1847</v>
      </c>
      <c r="F381" s="8"/>
    </row>
    <row r="382" spans="1:6" x14ac:dyDescent="0.25">
      <c r="A382" s="8" t="s">
        <v>1335</v>
      </c>
      <c r="B382" s="8" t="s">
        <v>1700</v>
      </c>
      <c r="C382" s="8"/>
      <c r="D382" s="8" t="s">
        <v>119</v>
      </c>
      <c r="E382" s="8" t="s">
        <v>1847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1847</v>
      </c>
      <c r="F383" s="8" t="s">
        <v>1855</v>
      </c>
    </row>
    <row r="384" spans="1:6" x14ac:dyDescent="0.25">
      <c r="A384" s="8" t="s">
        <v>1341</v>
      </c>
      <c r="B384" s="8" t="s">
        <v>1697</v>
      </c>
      <c r="C384" s="8"/>
      <c r="D384" s="8" t="s">
        <v>83</v>
      </c>
      <c r="E384" s="8" t="s">
        <v>1847</v>
      </c>
      <c r="F384" s="8"/>
    </row>
    <row r="385" spans="1:6" x14ac:dyDescent="0.25">
      <c r="A385" s="8" t="s">
        <v>1341</v>
      </c>
      <c r="B385" s="8" t="s">
        <v>1700</v>
      </c>
      <c r="C385" s="8"/>
      <c r="D385" s="8" t="s">
        <v>192</v>
      </c>
      <c r="E385" s="8" t="s">
        <v>1847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1847</v>
      </c>
      <c r="F386" s="8"/>
    </row>
    <row r="387" spans="1:6" x14ac:dyDescent="0.25">
      <c r="A387" s="8" t="s">
        <v>1345</v>
      </c>
      <c r="B387" s="8" t="s">
        <v>1694</v>
      </c>
      <c r="C387" s="8"/>
      <c r="D387" s="8" t="s">
        <v>47</v>
      </c>
      <c r="E387" s="8" t="s">
        <v>1847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1847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1847</v>
      </c>
      <c r="F389" s="8"/>
    </row>
    <row r="390" spans="1:6" x14ac:dyDescent="0.25">
      <c r="A390" s="8" t="s">
        <v>1356</v>
      </c>
      <c r="B390" s="8" t="s">
        <v>1694</v>
      </c>
      <c r="C390" s="8"/>
      <c r="D390" s="8" t="s">
        <v>57</v>
      </c>
      <c r="E390" s="8" t="s">
        <v>1847</v>
      </c>
      <c r="F390" s="8"/>
    </row>
    <row r="391" spans="1:6" x14ac:dyDescent="0.25">
      <c r="A391" s="8" t="s">
        <v>1356</v>
      </c>
      <c r="B391" s="8" t="s">
        <v>1697</v>
      </c>
      <c r="C391" s="8" t="s">
        <v>96</v>
      </c>
      <c r="D391" s="8" t="s">
        <v>1137</v>
      </c>
      <c r="E391" s="8" t="s">
        <v>1848</v>
      </c>
      <c r="F391" s="8"/>
    </row>
    <row r="392" spans="1:6" x14ac:dyDescent="0.25">
      <c r="A392" s="8" t="s">
        <v>1356</v>
      </c>
      <c r="B392" s="8" t="s">
        <v>1700</v>
      </c>
      <c r="C392" s="8"/>
      <c r="D392" s="8" t="s">
        <v>78</v>
      </c>
      <c r="E392" s="8" t="s">
        <v>1847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1847</v>
      </c>
      <c r="F393" s="8" t="s">
        <v>1855</v>
      </c>
    </row>
    <row r="394" spans="1:6" x14ac:dyDescent="0.25">
      <c r="A394" s="8" t="s">
        <v>1359</v>
      </c>
      <c r="B394" s="8" t="s">
        <v>1694</v>
      </c>
      <c r="C394" s="8"/>
      <c r="D394" s="8" t="s">
        <v>57</v>
      </c>
      <c r="E394" s="8" t="s">
        <v>1847</v>
      </c>
      <c r="F394" s="8"/>
    </row>
    <row r="395" spans="1:6" x14ac:dyDescent="0.25">
      <c r="A395" s="8" t="s">
        <v>1359</v>
      </c>
      <c r="B395" s="8" t="s">
        <v>1697</v>
      </c>
      <c r="C395" s="8" t="s">
        <v>1364</v>
      </c>
      <c r="D395" s="8" t="s">
        <v>574</v>
      </c>
      <c r="E395" s="8" t="s">
        <v>1849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1847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1847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1847</v>
      </c>
      <c r="F398" s="8"/>
    </row>
    <row r="399" spans="1:6" x14ac:dyDescent="0.25">
      <c r="A399" s="8" t="s">
        <v>1372</v>
      </c>
      <c r="B399" s="8" t="s">
        <v>1694</v>
      </c>
      <c r="C399" s="8"/>
      <c r="D399" s="8" t="s">
        <v>57</v>
      </c>
      <c r="E399" s="8" t="s">
        <v>1847</v>
      </c>
      <c r="F399" s="8"/>
    </row>
    <row r="400" spans="1:6" x14ac:dyDescent="0.25">
      <c r="A400" s="8" t="s">
        <v>1372</v>
      </c>
      <c r="B400" s="8" t="s">
        <v>1697</v>
      </c>
      <c r="C400" s="8" t="s">
        <v>77</v>
      </c>
      <c r="D400" s="8" t="s">
        <v>1544</v>
      </c>
      <c r="E400" s="8" t="s">
        <v>1848</v>
      </c>
      <c r="F400" s="8"/>
    </row>
    <row r="401" spans="1:6" x14ac:dyDescent="0.25">
      <c r="A401" s="8" t="s">
        <v>1372</v>
      </c>
      <c r="B401" s="8" t="s">
        <v>1700</v>
      </c>
      <c r="C401" s="8"/>
      <c r="D401" s="8" t="s">
        <v>192</v>
      </c>
      <c r="E401" s="8" t="s">
        <v>1847</v>
      </c>
      <c r="F401" s="8"/>
    </row>
    <row r="402" spans="1:6" x14ac:dyDescent="0.25">
      <c r="A402" s="8" t="s">
        <v>1377</v>
      </c>
      <c r="B402" s="8" t="s">
        <v>1697</v>
      </c>
      <c r="C402" s="8" t="s">
        <v>1378</v>
      </c>
      <c r="D402" s="8" t="s">
        <v>1861</v>
      </c>
      <c r="E402" s="8" t="s">
        <v>1848</v>
      </c>
      <c r="F402" s="8"/>
    </row>
    <row r="403" spans="1:6" x14ac:dyDescent="0.25">
      <c r="A403" s="8" t="s">
        <v>1377</v>
      </c>
      <c r="B403" s="8" t="s">
        <v>1700</v>
      </c>
      <c r="C403" s="8"/>
      <c r="D403" s="8" t="s">
        <v>49</v>
      </c>
      <c r="E403" s="8" t="s">
        <v>1847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1847</v>
      </c>
      <c r="F404" s="8"/>
    </row>
    <row r="405" spans="1:6" x14ac:dyDescent="0.25">
      <c r="A405" s="8" t="s">
        <v>1381</v>
      </c>
      <c r="B405" s="8" t="s">
        <v>1694</v>
      </c>
      <c r="C405" s="8"/>
      <c r="D405" s="8" t="s">
        <v>57</v>
      </c>
      <c r="E405" s="8" t="s">
        <v>1847</v>
      </c>
      <c r="F405" s="8"/>
    </row>
    <row r="406" spans="1:6" x14ac:dyDescent="0.25">
      <c r="A406" s="8" t="s">
        <v>1381</v>
      </c>
      <c r="B406" s="8" t="s">
        <v>1700</v>
      </c>
      <c r="C406" s="8"/>
      <c r="D406" s="8" t="s">
        <v>78</v>
      </c>
      <c r="E406" s="8" t="s">
        <v>1847</v>
      </c>
      <c r="F406" s="8"/>
    </row>
    <row r="407" spans="1:6" x14ac:dyDescent="0.25">
      <c r="A407" s="8" t="s">
        <v>1385</v>
      </c>
      <c r="B407" s="8" t="s">
        <v>1694</v>
      </c>
      <c r="C407" s="8"/>
      <c r="D407" s="8" t="s">
        <v>47</v>
      </c>
      <c r="E407" s="8" t="s">
        <v>1847</v>
      </c>
      <c r="F407" s="8"/>
    </row>
    <row r="408" spans="1:6" x14ac:dyDescent="0.25">
      <c r="A408" s="8" t="s">
        <v>1386</v>
      </c>
      <c r="B408" s="8" t="s">
        <v>1694</v>
      </c>
      <c r="C408" s="8"/>
      <c r="D408" s="8" t="s">
        <v>47</v>
      </c>
      <c r="E408" s="8" t="s">
        <v>1847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1847</v>
      </c>
      <c r="F409" s="8"/>
    </row>
    <row r="410" spans="1:6" x14ac:dyDescent="0.25">
      <c r="A410" s="8" t="s">
        <v>1389</v>
      </c>
      <c r="B410" s="8" t="s">
        <v>1694</v>
      </c>
      <c r="C410" s="8"/>
      <c r="D410" s="8" t="s">
        <v>47</v>
      </c>
      <c r="E410" s="8" t="s">
        <v>1847</v>
      </c>
      <c r="F410" s="8"/>
    </row>
    <row r="411" spans="1:6" x14ac:dyDescent="0.25">
      <c r="A411" s="8" t="s">
        <v>1389</v>
      </c>
      <c r="B411" s="8" t="s">
        <v>1700</v>
      </c>
      <c r="C411" s="8"/>
      <c r="D411" s="8" t="s">
        <v>91</v>
      </c>
      <c r="E411" s="8" t="s">
        <v>1847</v>
      </c>
      <c r="F411" s="8"/>
    </row>
    <row r="412" spans="1:6" x14ac:dyDescent="0.25">
      <c r="A412" s="8" t="s">
        <v>1391</v>
      </c>
      <c r="B412" s="8" t="s">
        <v>1700</v>
      </c>
      <c r="C412" s="8"/>
      <c r="D412" s="8" t="s">
        <v>49</v>
      </c>
      <c r="E412" s="8" t="s">
        <v>1847</v>
      </c>
      <c r="F412" s="8"/>
    </row>
    <row r="413" spans="1:6" x14ac:dyDescent="0.25">
      <c r="A413" s="8" t="s">
        <v>1395</v>
      </c>
      <c r="B413" s="8" t="s">
        <v>1694</v>
      </c>
      <c r="C413" s="8"/>
      <c r="D413" s="8" t="s">
        <v>57</v>
      </c>
      <c r="E413" s="8" t="s">
        <v>1847</v>
      </c>
      <c r="F413" s="8"/>
    </row>
    <row r="414" spans="1:6" x14ac:dyDescent="0.25">
      <c r="A414" s="8" t="s">
        <v>1395</v>
      </c>
      <c r="B414" s="8" t="s">
        <v>1697</v>
      </c>
      <c r="C414" s="8" t="s">
        <v>1133</v>
      </c>
      <c r="D414" s="8" t="s">
        <v>664</v>
      </c>
      <c r="E414" s="8" t="s">
        <v>1848</v>
      </c>
      <c r="F414" s="8"/>
    </row>
    <row r="415" spans="1:6" x14ac:dyDescent="0.25">
      <c r="A415" s="8" t="s">
        <v>1395</v>
      </c>
      <c r="B415" s="8" t="s">
        <v>1700</v>
      </c>
      <c r="C415" s="8" t="s">
        <v>119</v>
      </c>
      <c r="D415" s="8" t="s">
        <v>91</v>
      </c>
      <c r="E415" s="8" t="s">
        <v>1848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1847</v>
      </c>
      <c r="F416" s="8"/>
    </row>
    <row r="417" spans="1:6" x14ac:dyDescent="0.25">
      <c r="A417" s="8" t="s">
        <v>1399</v>
      </c>
      <c r="B417" s="8" t="s">
        <v>1700</v>
      </c>
      <c r="C417" s="8"/>
      <c r="D417" s="8" t="s">
        <v>91</v>
      </c>
      <c r="E417" s="8" t="s">
        <v>1847</v>
      </c>
      <c r="F417" s="8"/>
    </row>
    <row r="418" spans="1:6" x14ac:dyDescent="0.25">
      <c r="A418" s="8" t="s">
        <v>1401</v>
      </c>
      <c r="B418" s="8" t="s">
        <v>1694</v>
      </c>
      <c r="C418" s="8"/>
      <c r="D418" s="8" t="s">
        <v>57</v>
      </c>
      <c r="E418" s="8" t="s">
        <v>1847</v>
      </c>
      <c r="F418" s="8"/>
    </row>
    <row r="419" spans="1:6" x14ac:dyDescent="0.25">
      <c r="A419" s="8" t="s">
        <v>1405</v>
      </c>
      <c r="B419" s="8" t="s">
        <v>1694</v>
      </c>
      <c r="C419" s="8"/>
      <c r="D419" s="8" t="s">
        <v>47</v>
      </c>
      <c r="E419" s="8" t="s">
        <v>1847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1847</v>
      </c>
      <c r="F420" s="8"/>
    </row>
    <row r="421" spans="1:6" x14ac:dyDescent="0.25">
      <c r="A421" s="8" t="s">
        <v>1406</v>
      </c>
      <c r="B421" s="8" t="s">
        <v>1694</v>
      </c>
      <c r="C421" s="8"/>
      <c r="D421" s="8" t="s">
        <v>57</v>
      </c>
      <c r="E421" s="8" t="s">
        <v>1847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1847</v>
      </c>
      <c r="F422" s="8"/>
    </row>
    <row r="423" spans="1:6" x14ac:dyDescent="0.25">
      <c r="A423" s="8" t="s">
        <v>1409</v>
      </c>
      <c r="B423" s="8" t="s">
        <v>1694</v>
      </c>
      <c r="C423" s="8"/>
      <c r="D423" s="8" t="s">
        <v>47</v>
      </c>
      <c r="E423" s="8" t="s">
        <v>1847</v>
      </c>
      <c r="F423" s="8"/>
    </row>
    <row r="424" spans="1:6" x14ac:dyDescent="0.25">
      <c r="A424" s="8" t="s">
        <v>1409</v>
      </c>
      <c r="B424" s="8" t="s">
        <v>1700</v>
      </c>
      <c r="C424" s="8"/>
      <c r="D424" s="8" t="s">
        <v>91</v>
      </c>
      <c r="E424" s="8" t="s">
        <v>1847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1847</v>
      </c>
      <c r="F425" s="8"/>
    </row>
    <row r="426" spans="1:6" x14ac:dyDescent="0.25">
      <c r="A426" s="8" t="s">
        <v>1417</v>
      </c>
      <c r="B426" s="8" t="s">
        <v>1700</v>
      </c>
      <c r="C426" s="8"/>
      <c r="D426" s="8" t="s">
        <v>91</v>
      </c>
      <c r="E426" s="8" t="s">
        <v>1847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1847</v>
      </c>
      <c r="F427" s="8"/>
    </row>
    <row r="428" spans="1:6" x14ac:dyDescent="0.25">
      <c r="A428" s="8" t="s">
        <v>1424</v>
      </c>
      <c r="B428" s="8" t="s">
        <v>1697</v>
      </c>
      <c r="C428" s="8"/>
      <c r="D428" s="8" t="s">
        <v>77</v>
      </c>
      <c r="E428" s="8" t="s">
        <v>1847</v>
      </c>
      <c r="F428" s="8"/>
    </row>
    <row r="429" spans="1:6" x14ac:dyDescent="0.25">
      <c r="A429" s="8" t="s">
        <v>1424</v>
      </c>
      <c r="B429" s="8" t="s">
        <v>1700</v>
      </c>
      <c r="C429" s="8"/>
      <c r="D429" s="8" t="s">
        <v>71</v>
      </c>
      <c r="E429" s="8" t="s">
        <v>1847</v>
      </c>
      <c r="F429" s="8"/>
    </row>
    <row r="430" spans="1:6" x14ac:dyDescent="0.25">
      <c r="A430" s="8" t="s">
        <v>1427</v>
      </c>
      <c r="B430" s="8" t="s">
        <v>1700</v>
      </c>
      <c r="C430" s="8" t="s">
        <v>192</v>
      </c>
      <c r="D430" s="8" t="s">
        <v>72</v>
      </c>
      <c r="E430" s="8" t="s">
        <v>1848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1847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1847</v>
      </c>
      <c r="F432" s="8" t="s">
        <v>1855</v>
      </c>
    </row>
    <row r="433" spans="1:6" x14ac:dyDescent="0.25">
      <c r="A433" s="8" t="s">
        <v>1449</v>
      </c>
      <c r="B433" s="8" t="s">
        <v>1697</v>
      </c>
      <c r="C433" s="8" t="s">
        <v>1454</v>
      </c>
      <c r="D433" s="8" t="s">
        <v>272</v>
      </c>
      <c r="E433" s="8" t="s">
        <v>1849</v>
      </c>
      <c r="F433" s="8"/>
    </row>
    <row r="434" spans="1:6" x14ac:dyDescent="0.25">
      <c r="A434" s="8" t="s">
        <v>1456</v>
      </c>
      <c r="B434" s="8" t="s">
        <v>1697</v>
      </c>
      <c r="C434" s="8" t="s">
        <v>58</v>
      </c>
      <c r="D434" s="8" t="s">
        <v>285</v>
      </c>
      <c r="E434" s="8" t="s">
        <v>1848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1847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1847</v>
      </c>
      <c r="F436" s="8"/>
    </row>
    <row r="437" spans="1:6" x14ac:dyDescent="0.25">
      <c r="A437" s="8" t="s">
        <v>1484</v>
      </c>
      <c r="B437" s="8" t="s">
        <v>1700</v>
      </c>
      <c r="C437" s="8"/>
      <c r="D437" s="8" t="s">
        <v>119</v>
      </c>
      <c r="E437" s="8" t="s">
        <v>1847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1847</v>
      </c>
      <c r="F438" s="8"/>
    </row>
    <row r="439" spans="1:6" x14ac:dyDescent="0.25">
      <c r="A439" s="8" t="s">
        <v>1491</v>
      </c>
      <c r="B439" s="8" t="s">
        <v>1700</v>
      </c>
      <c r="C439" s="8"/>
      <c r="D439" s="8" t="s">
        <v>192</v>
      </c>
      <c r="E439" s="8" t="s">
        <v>1847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1847</v>
      </c>
      <c r="F440" s="8"/>
    </row>
    <row r="441" spans="1:6" x14ac:dyDescent="0.25">
      <c r="A441" s="8" t="s">
        <v>1494</v>
      </c>
      <c r="B441" s="8" t="s">
        <v>1694</v>
      </c>
      <c r="C441" s="8"/>
      <c r="D441" s="8" t="s">
        <v>57</v>
      </c>
      <c r="E441" s="8" t="s">
        <v>1847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1847</v>
      </c>
      <c r="F442" s="8"/>
    </row>
    <row r="443" spans="1:6" x14ac:dyDescent="0.25">
      <c r="A443" s="8" t="s">
        <v>1496</v>
      </c>
      <c r="B443" s="8" t="s">
        <v>1697</v>
      </c>
      <c r="C443" s="8" t="s">
        <v>115</v>
      </c>
      <c r="D443" s="8" t="s">
        <v>77</v>
      </c>
      <c r="E443" s="8" t="s">
        <v>1849</v>
      </c>
      <c r="F443" s="8"/>
    </row>
    <row r="444" spans="1:6" x14ac:dyDescent="0.25">
      <c r="A444" s="8" t="s">
        <v>1498</v>
      </c>
      <c r="B444" s="8" t="s">
        <v>1694</v>
      </c>
      <c r="C444" s="8"/>
      <c r="D444" s="8" t="s">
        <v>47</v>
      </c>
      <c r="E444" s="8" t="s">
        <v>1847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1847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1847</v>
      </c>
      <c r="F446" s="8" t="s">
        <v>1855</v>
      </c>
    </row>
    <row r="447" spans="1:6" x14ac:dyDescent="0.25">
      <c r="A447" s="8" t="s">
        <v>1505</v>
      </c>
      <c r="B447" s="8" t="s">
        <v>1697</v>
      </c>
      <c r="C447" s="8" t="s">
        <v>647</v>
      </c>
      <c r="D447" s="8" t="s">
        <v>83</v>
      </c>
      <c r="E447" s="8" t="s">
        <v>1848</v>
      </c>
      <c r="F447" s="8"/>
    </row>
    <row r="448" spans="1:6" x14ac:dyDescent="0.25">
      <c r="A448" s="8" t="s">
        <v>1505</v>
      </c>
      <c r="B448" s="8" t="s">
        <v>1700</v>
      </c>
      <c r="C448" s="8"/>
      <c r="D448" s="8" t="s">
        <v>192</v>
      </c>
      <c r="E448" s="8" t="s">
        <v>1847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1847</v>
      </c>
      <c r="F449" s="8"/>
    </row>
    <row r="450" spans="1:6" x14ac:dyDescent="0.25">
      <c r="A450" s="8" t="s">
        <v>1508</v>
      </c>
      <c r="B450" s="8" t="s">
        <v>1694</v>
      </c>
      <c r="C450" s="8"/>
      <c r="D450" s="8" t="s">
        <v>47</v>
      </c>
      <c r="E450" s="8" t="s">
        <v>1847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1847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1847</v>
      </c>
      <c r="F452" s="8"/>
    </row>
    <row r="453" spans="1:6" x14ac:dyDescent="0.25">
      <c r="A453" s="8" t="s">
        <v>1516</v>
      </c>
      <c r="B453" s="8" t="s">
        <v>1697</v>
      </c>
      <c r="C453" s="8" t="s">
        <v>96</v>
      </c>
      <c r="D453" s="8" t="s">
        <v>1137</v>
      </c>
      <c r="E453" s="8" t="s">
        <v>1848</v>
      </c>
      <c r="F453" s="8"/>
    </row>
    <row r="454" spans="1:6" x14ac:dyDescent="0.25">
      <c r="A454" s="8" t="s">
        <v>1516</v>
      </c>
      <c r="B454" s="8" t="s">
        <v>1700</v>
      </c>
      <c r="C454" s="8"/>
      <c r="D454" s="8" t="s">
        <v>91</v>
      </c>
      <c r="E454" s="8" t="s">
        <v>1847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1847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1847</v>
      </c>
      <c r="F456" s="8"/>
    </row>
    <row r="457" spans="1:6" x14ac:dyDescent="0.25">
      <c r="A457" s="8" t="s">
        <v>1524</v>
      </c>
      <c r="B457" s="8" t="s">
        <v>1694</v>
      </c>
      <c r="C457" s="8"/>
      <c r="D457" s="8" t="s">
        <v>47</v>
      </c>
      <c r="E457" s="8" t="s">
        <v>1847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1854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1847</v>
      </c>
      <c r="F459" s="8"/>
    </row>
    <row r="460" spans="1:6" x14ac:dyDescent="0.25">
      <c r="A460" s="8" t="s">
        <v>1533</v>
      </c>
      <c r="B460" s="8" t="s">
        <v>1694</v>
      </c>
      <c r="C460" s="8"/>
      <c r="D460" s="8" t="s">
        <v>57</v>
      </c>
      <c r="E460" s="8" t="s">
        <v>1847</v>
      </c>
      <c r="F460" s="8"/>
    </row>
    <row r="461" spans="1:6" x14ac:dyDescent="0.25">
      <c r="A461" s="8" t="s">
        <v>1533</v>
      </c>
      <c r="B461" s="8" t="s">
        <v>1700</v>
      </c>
      <c r="C461" s="8" t="s">
        <v>119</v>
      </c>
      <c r="D461" s="8" t="s">
        <v>91</v>
      </c>
      <c r="E461" s="8" t="s">
        <v>1848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1847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1847</v>
      </c>
      <c r="F463" s="8"/>
    </row>
    <row r="464" spans="1:6" x14ac:dyDescent="0.25">
      <c r="A464" s="8" t="s">
        <v>1378</v>
      </c>
      <c r="B464" s="8" t="s">
        <v>1697</v>
      </c>
      <c r="C464" s="8"/>
      <c r="D464" s="8" t="s">
        <v>1544</v>
      </c>
      <c r="E464" s="8" t="s">
        <v>1847</v>
      </c>
      <c r="F464" s="8"/>
    </row>
    <row r="465" spans="1:6" x14ac:dyDescent="0.25">
      <c r="A465" s="8" t="s">
        <v>1378</v>
      </c>
      <c r="B465" s="8" t="s">
        <v>1700</v>
      </c>
      <c r="C465" s="8"/>
      <c r="D465" s="8" t="s">
        <v>192</v>
      </c>
      <c r="E465" s="8" t="s">
        <v>1847</v>
      </c>
      <c r="F465" s="8"/>
    </row>
    <row r="466" spans="1:6" x14ac:dyDescent="0.25">
      <c r="A466" s="8" t="s">
        <v>1547</v>
      </c>
      <c r="B466" s="8" t="s">
        <v>1697</v>
      </c>
      <c r="C466" s="8" t="s">
        <v>83</v>
      </c>
      <c r="D466" s="8" t="s">
        <v>77</v>
      </c>
      <c r="E466" s="8" t="s">
        <v>1848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1847</v>
      </c>
      <c r="F467" s="8"/>
    </row>
    <row r="468" spans="1:6" x14ac:dyDescent="0.25">
      <c r="A468" s="8" t="s">
        <v>1560</v>
      </c>
      <c r="B468" s="8" t="s">
        <v>1700</v>
      </c>
      <c r="C468" s="8"/>
      <c r="D468" s="8" t="s">
        <v>192</v>
      </c>
      <c r="E468" s="8" t="s">
        <v>1847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1847</v>
      </c>
      <c r="F469" s="8"/>
    </row>
    <row r="470" spans="1:6" x14ac:dyDescent="0.25">
      <c r="A470" s="8" t="s">
        <v>1567</v>
      </c>
      <c r="B470" s="8" t="s">
        <v>1700</v>
      </c>
      <c r="C470" s="8"/>
      <c r="D470" s="8" t="s">
        <v>91</v>
      </c>
      <c r="E470" s="8" t="s">
        <v>1847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1847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1847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1847</v>
      </c>
      <c r="F473" s="8"/>
    </row>
    <row r="474" spans="1:6" x14ac:dyDescent="0.25">
      <c r="A474" s="8" t="s">
        <v>1596</v>
      </c>
      <c r="B474" s="8" t="s">
        <v>1694</v>
      </c>
      <c r="C474" s="8"/>
      <c r="D474" s="8" t="s">
        <v>47</v>
      </c>
      <c r="E474" s="8" t="s">
        <v>1847</v>
      </c>
      <c r="F474" s="8"/>
    </row>
    <row r="475" spans="1:6" x14ac:dyDescent="0.25">
      <c r="A475" s="8" t="s">
        <v>1596</v>
      </c>
      <c r="B475" s="8" t="s">
        <v>1700</v>
      </c>
      <c r="C475" s="8"/>
      <c r="D475" s="8" t="s">
        <v>72</v>
      </c>
      <c r="E475" s="8" t="s">
        <v>1847</v>
      </c>
      <c r="F475" s="8"/>
    </row>
    <row r="476" spans="1:6" x14ac:dyDescent="0.25">
      <c r="A476" s="8" t="s">
        <v>1602</v>
      </c>
      <c r="B476" s="8" t="s">
        <v>1694</v>
      </c>
      <c r="C476" s="8"/>
      <c r="D476" s="8" t="s">
        <v>47</v>
      </c>
      <c r="E476" s="8" t="s">
        <v>1847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1847</v>
      </c>
      <c r="F477" s="8"/>
    </row>
    <row r="478" spans="1:6" x14ac:dyDescent="0.25">
      <c r="A478" s="8" t="s">
        <v>1608</v>
      </c>
      <c r="B478" s="8" t="s">
        <v>1700</v>
      </c>
      <c r="C478" s="8"/>
      <c r="D478" s="8" t="s">
        <v>192</v>
      </c>
      <c r="E478" s="8" t="s">
        <v>1847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1847</v>
      </c>
      <c r="F479" s="8"/>
    </row>
    <row r="480" spans="1:6" x14ac:dyDescent="0.25">
      <c r="A480" s="8" t="s">
        <v>1610</v>
      </c>
      <c r="B480" s="8" t="s">
        <v>1694</v>
      </c>
      <c r="C480" s="8"/>
      <c r="D480" s="8" t="s">
        <v>57</v>
      </c>
      <c r="E480" s="8" t="s">
        <v>1847</v>
      </c>
      <c r="F480" s="8"/>
    </row>
    <row r="481" spans="1:6" x14ac:dyDescent="0.25">
      <c r="A481" s="8" t="s">
        <v>1612</v>
      </c>
      <c r="B481" s="8" t="s">
        <v>1694</v>
      </c>
      <c r="C481" s="8"/>
      <c r="D481" s="8" t="s">
        <v>57</v>
      </c>
      <c r="E481" s="8" t="s">
        <v>1847</v>
      </c>
      <c r="F481" s="8"/>
    </row>
    <row r="482" spans="1:6" x14ac:dyDescent="0.25">
      <c r="A482" s="8" t="s">
        <v>1612</v>
      </c>
      <c r="B482" s="8" t="s">
        <v>1700</v>
      </c>
      <c r="C482" s="8" t="s">
        <v>192</v>
      </c>
      <c r="D482" s="8" t="s">
        <v>193</v>
      </c>
      <c r="E482" s="8" t="s">
        <v>1848</v>
      </c>
      <c r="F482" s="8"/>
    </row>
    <row r="483" spans="1:6" x14ac:dyDescent="0.25">
      <c r="A483" s="8" t="s">
        <v>762</v>
      </c>
      <c r="B483" s="8" t="s">
        <v>1697</v>
      </c>
      <c r="C483" s="8" t="s">
        <v>58</v>
      </c>
      <c r="D483" s="8" t="s">
        <v>1338</v>
      </c>
      <c r="E483" s="8" t="s">
        <v>1848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1847</v>
      </c>
      <c r="F484" s="8"/>
    </row>
    <row r="485" spans="1:6" x14ac:dyDescent="0.25">
      <c r="A485" s="8" t="s">
        <v>1617</v>
      </c>
      <c r="B485" s="8" t="s">
        <v>1697</v>
      </c>
      <c r="C485" s="8" t="s">
        <v>77</v>
      </c>
      <c r="D485" s="8" t="s">
        <v>83</v>
      </c>
      <c r="E485" s="8" t="s">
        <v>1848</v>
      </c>
      <c r="F485" s="8"/>
    </row>
    <row r="486" spans="1:6" x14ac:dyDescent="0.25">
      <c r="A486" s="8" t="s">
        <v>1617</v>
      </c>
      <c r="B486" s="8" t="s">
        <v>1700</v>
      </c>
      <c r="C486" s="8"/>
      <c r="D486" s="8" t="s">
        <v>72</v>
      </c>
      <c r="E486" s="8" t="s">
        <v>1847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1847</v>
      </c>
      <c r="F487" s="8"/>
    </row>
    <row r="488" spans="1:6" x14ac:dyDescent="0.25">
      <c r="A488" s="8" t="s">
        <v>1631</v>
      </c>
      <c r="B488" s="8" t="s">
        <v>1700</v>
      </c>
      <c r="C488" s="8"/>
      <c r="D488" s="8" t="s">
        <v>91</v>
      </c>
      <c r="E488" s="8" t="s">
        <v>1847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1847</v>
      </c>
      <c r="F489" s="8"/>
    </row>
    <row r="490" spans="1:6" x14ac:dyDescent="0.25">
      <c r="A490" s="8" t="s">
        <v>1633</v>
      </c>
      <c r="B490" s="8" t="s">
        <v>1694</v>
      </c>
      <c r="C490" s="8"/>
      <c r="D490" s="8" t="s">
        <v>57</v>
      </c>
      <c r="E490" s="8" t="s">
        <v>1847</v>
      </c>
      <c r="F490" s="8"/>
    </row>
    <row r="491" spans="1:6" x14ac:dyDescent="0.25">
      <c r="A491" s="8" t="s">
        <v>1633</v>
      </c>
      <c r="B491" s="8" t="s">
        <v>1697</v>
      </c>
      <c r="C491" s="8" t="s">
        <v>96</v>
      </c>
      <c r="D491" s="8" t="s">
        <v>1137</v>
      </c>
      <c r="E491" s="8" t="s">
        <v>1848</v>
      </c>
      <c r="F491" s="8"/>
    </row>
    <row r="492" spans="1:6" x14ac:dyDescent="0.25">
      <c r="A492" s="8" t="s">
        <v>1633</v>
      </c>
      <c r="B492" s="8" t="s">
        <v>1700</v>
      </c>
      <c r="C492" s="8"/>
      <c r="D492" s="8" t="s">
        <v>133</v>
      </c>
      <c r="E492" s="8" t="s">
        <v>1847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1847</v>
      </c>
      <c r="F493" s="8"/>
    </row>
    <row r="494" spans="1:6" x14ac:dyDescent="0.25">
      <c r="A494" s="8" t="s">
        <v>1640</v>
      </c>
      <c r="B494" s="8" t="s">
        <v>1697</v>
      </c>
      <c r="C494" s="8" t="s">
        <v>1644</v>
      </c>
      <c r="D494" s="8" t="s">
        <v>83</v>
      </c>
      <c r="E494" s="8" t="s">
        <v>1849</v>
      </c>
      <c r="F494" s="8"/>
    </row>
    <row r="495" spans="1:6" x14ac:dyDescent="0.25">
      <c r="A495" s="8" t="s">
        <v>1646</v>
      </c>
      <c r="B495" s="8" t="s">
        <v>1694</v>
      </c>
      <c r="C495" s="8"/>
      <c r="D495" s="8" t="s">
        <v>47</v>
      </c>
      <c r="E495" s="8" t="s">
        <v>1847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1847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1847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1847</v>
      </c>
      <c r="F498" s="8"/>
    </row>
    <row r="499" spans="1:6" x14ac:dyDescent="0.25">
      <c r="A499" s="8" t="s">
        <v>1652</v>
      </c>
      <c r="B499" s="8" t="s">
        <v>1697</v>
      </c>
      <c r="C499" s="8" t="s">
        <v>58</v>
      </c>
      <c r="D499" s="8" t="s">
        <v>1097</v>
      </c>
      <c r="E499" s="8" t="s">
        <v>1848</v>
      </c>
      <c r="F499" s="8"/>
    </row>
    <row r="500" spans="1:6" x14ac:dyDescent="0.25">
      <c r="A500" s="8" t="s">
        <v>1652</v>
      </c>
      <c r="B500" s="8" t="s">
        <v>1700</v>
      </c>
      <c r="C500" s="8"/>
      <c r="D500" s="8" t="s">
        <v>49</v>
      </c>
      <c r="E500" s="8" t="s">
        <v>1847</v>
      </c>
      <c r="F500" s="8"/>
    </row>
    <row r="501" spans="1:6" x14ac:dyDescent="0.25">
      <c r="A501" s="8" t="s">
        <v>1449</v>
      </c>
      <c r="B501" s="8" t="s">
        <v>1694</v>
      </c>
      <c r="C501" s="8"/>
      <c r="D501" s="8" t="s">
        <v>57</v>
      </c>
      <c r="E501" s="8" t="s">
        <v>1847</v>
      </c>
      <c r="F501" s="8"/>
    </row>
    <row r="502" spans="1:6" x14ac:dyDescent="0.25">
      <c r="A502" s="8" t="s">
        <v>1449</v>
      </c>
      <c r="B502" s="8" t="s">
        <v>1697</v>
      </c>
      <c r="C502" s="8" t="s">
        <v>272</v>
      </c>
      <c r="D502" s="8" t="s">
        <v>83</v>
      </c>
      <c r="E502" s="8" t="s">
        <v>1848</v>
      </c>
      <c r="F502" s="8"/>
    </row>
    <row r="503" spans="1:6" x14ac:dyDescent="0.25">
      <c r="A503" s="8" t="s">
        <v>1657</v>
      </c>
      <c r="B503" s="8" t="s">
        <v>1694</v>
      </c>
      <c r="C503" s="8"/>
      <c r="D503" s="8" t="s">
        <v>57</v>
      </c>
      <c r="E503" s="8" t="s">
        <v>1847</v>
      </c>
      <c r="F503" s="8"/>
    </row>
    <row r="504" spans="1:6" x14ac:dyDescent="0.25">
      <c r="A504" s="8" t="s">
        <v>1657</v>
      </c>
      <c r="B504" s="8" t="s">
        <v>1697</v>
      </c>
      <c r="C504" s="8" t="s">
        <v>752</v>
      </c>
      <c r="D504" s="8" t="s">
        <v>333</v>
      </c>
      <c r="E504" s="8" t="s">
        <v>1849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1847</v>
      </c>
      <c r="F505" s="8"/>
    </row>
    <row r="506" spans="1:6" x14ac:dyDescent="0.25">
      <c r="A506" s="8" t="s">
        <v>1664</v>
      </c>
      <c r="B506" s="8" t="s">
        <v>1694</v>
      </c>
      <c r="C506" s="8"/>
      <c r="D506" s="8" t="s">
        <v>47</v>
      </c>
      <c r="E506" s="8" t="s">
        <v>1847</v>
      </c>
      <c r="F506" s="8"/>
    </row>
    <row r="507" spans="1:6" x14ac:dyDescent="0.25">
      <c r="A507" s="8" t="s">
        <v>1664</v>
      </c>
      <c r="B507" s="8" t="s">
        <v>1700</v>
      </c>
      <c r="C507" s="8"/>
      <c r="D507" s="8" t="s">
        <v>78</v>
      </c>
      <c r="E507" s="8" t="s">
        <v>1847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1847</v>
      </c>
      <c r="F508" s="8"/>
    </row>
    <row r="509" spans="1:6" x14ac:dyDescent="0.25">
      <c r="A509" s="8" t="s">
        <v>1670</v>
      </c>
      <c r="B509" s="8" t="s">
        <v>1694</v>
      </c>
      <c r="C509" s="8"/>
      <c r="D509" s="8" t="s">
        <v>47</v>
      </c>
      <c r="E509" s="8" t="s">
        <v>1847</v>
      </c>
      <c r="F509" s="8"/>
    </row>
    <row r="510" spans="1:6" x14ac:dyDescent="0.25">
      <c r="A510" s="8" t="s">
        <v>1670</v>
      </c>
      <c r="B510" s="8" t="s">
        <v>1700</v>
      </c>
      <c r="C510" s="8"/>
      <c r="D510" s="8" t="s">
        <v>91</v>
      </c>
      <c r="E510" s="8" t="s">
        <v>1847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1847</v>
      </c>
      <c r="F511" s="8"/>
    </row>
    <row r="512" spans="1:6" x14ac:dyDescent="0.25">
      <c r="A512" s="8" t="s">
        <v>1674</v>
      </c>
      <c r="B512" s="8" t="s">
        <v>1700</v>
      </c>
      <c r="C512" s="8"/>
      <c r="D512" s="8" t="s">
        <v>59</v>
      </c>
      <c r="E512" s="8" t="s">
        <v>1847</v>
      </c>
      <c r="F512" s="8"/>
    </row>
    <row r="513" spans="1:6" x14ac:dyDescent="0.25">
      <c r="A513" s="8" t="s">
        <v>1564</v>
      </c>
      <c r="B513" s="8" t="s">
        <v>1700</v>
      </c>
      <c r="C513" s="8"/>
      <c r="D513" s="8" t="s">
        <v>91</v>
      </c>
      <c r="E513" s="8" t="s">
        <v>1847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1694</v>
      </c>
      <c r="E1" s="16" t="s">
        <v>1700</v>
      </c>
      <c r="F1" s="16" t="s">
        <v>1862</v>
      </c>
      <c r="G1" s="16" t="s">
        <v>19</v>
      </c>
      <c r="H1" s="16" t="s">
        <v>1863</v>
      </c>
      <c r="I1" s="16" t="s">
        <v>1864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1812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1865</v>
      </c>
      <c r="G3" s="8" t="s">
        <v>128</v>
      </c>
      <c r="H3" s="8">
        <v>2</v>
      </c>
      <c r="I3" s="8" t="s">
        <v>1838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1866</v>
      </c>
      <c r="E4" s="8" t="s">
        <v>72</v>
      </c>
      <c r="G4" s="8" t="s">
        <v>1867</v>
      </c>
      <c r="H4" s="8">
        <v>3</v>
      </c>
      <c r="I4" s="8" t="s">
        <v>1868</v>
      </c>
    </row>
    <row r="5" spans="1:9" x14ac:dyDescent="0.25">
      <c r="A5" s="8" t="s">
        <v>1866</v>
      </c>
      <c r="B5" s="8" t="s">
        <v>1869</v>
      </c>
      <c r="C5" s="8" t="s">
        <v>1866</v>
      </c>
      <c r="E5" s="8" t="s">
        <v>59</v>
      </c>
      <c r="G5" s="8" t="s">
        <v>70</v>
      </c>
      <c r="I5" s="8" t="s">
        <v>1870</v>
      </c>
    </row>
    <row r="6" spans="1:9" x14ac:dyDescent="0.25">
      <c r="A6" s="8" t="inlineStr">
        <is>
          <t>Non-cape</t>
        </is>
      </c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2026-10-18T23:58:32Z</dcterms:modified>
  <dc:language>en-US</dc:language>
</cp:coreProperties>
</file>