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Research\Worm Wordle clone\"/>
    </mc:Choice>
  </mc:AlternateContent>
  <xr:revisionPtr revIDLastSave="0" documentId="13_ncr:1_{1104C53C-D245-4811-9037-9ECCF6E4C879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README" sheetId="1" r:id="rId1"/>
    <sheet name="Roster" sheetId="2" r:id="rId2"/>
    <sheet name="Clue Ladder" sheetId="3" r:id="rId3"/>
    <sheet name="Power Classes" sheetId="4" r:id="rId4"/>
    <sheet name="Settings" sheetId="5" r:id="rId5"/>
    <sheet name="Rules" sheetId="6" r:id="rId6"/>
    <sheet name="Edge Cases" sheetId="7" r:id="rId7"/>
    <sheet name="Sources" sheetId="8" r:id="rId8"/>
    <sheet name="Roadmap" sheetId="9" r:id="rId9"/>
    <sheet name="Open Questions" sheetId="10" r:id="rId10"/>
    <sheet name="Reference Merge Log" sheetId="11" r:id="rId11"/>
    <sheet name="Lists" sheetId="12" r:id="rId12"/>
  </sheets>
  <definedNames>
    <definedName name="_xlnm._FilterDatabase" localSheetId="10" hidden="1">'Reference Merge Log'!$A$1:$F$513</definedName>
    <definedName name="_xlnm._FilterDatabase" localSheetId="8" hidden="1">Roadmap!$A$1:$D$13</definedName>
    <definedName name="_xlnm._FilterDatabase" localSheetId="1" hidden="1">Roster!$A$1:$Y$701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5" l="1"/>
  <c r="B10" i="5"/>
  <c r="B2" i="5"/>
  <c r="B4" i="5" s="1"/>
  <c r="C13" i="4"/>
  <c r="C12" i="4"/>
  <c r="C11" i="4"/>
  <c r="C10" i="4"/>
  <c r="C9" i="4"/>
  <c r="C8" i="4"/>
  <c r="C7" i="4"/>
  <c r="C6" i="4"/>
  <c r="C5" i="4"/>
  <c r="C4" i="4"/>
  <c r="C3" i="4"/>
  <c r="C2" i="4"/>
  <c r="E7" i="3"/>
  <c r="F7" i="3" s="1"/>
  <c r="E6" i="3"/>
  <c r="F6" i="3" s="1"/>
  <c r="E5" i="3"/>
  <c r="F5" i="3" s="1"/>
  <c r="E4" i="3"/>
  <c r="F4" i="3" s="1"/>
  <c r="E3" i="3"/>
  <c r="F3" i="3" s="1"/>
  <c r="E2" i="3"/>
  <c r="F2" i="3" s="1"/>
  <c r="Q701" i="2"/>
  <c r="P701" i="2"/>
  <c r="Q700" i="2"/>
  <c r="P700" i="2"/>
  <c r="Q699" i="2"/>
  <c r="P699" i="2"/>
  <c r="Q698" i="2"/>
  <c r="P698" i="2"/>
  <c r="Q697" i="2"/>
  <c r="P697" i="2"/>
  <c r="Q696" i="2"/>
  <c r="P696" i="2"/>
  <c r="Q695" i="2"/>
  <c r="P695" i="2"/>
  <c r="Q694" i="2"/>
  <c r="P694" i="2"/>
  <c r="Q693" i="2"/>
  <c r="P693" i="2"/>
  <c r="Q692" i="2"/>
  <c r="P692" i="2"/>
  <c r="Q691" i="2"/>
  <c r="P691" i="2"/>
  <c r="Q690" i="2"/>
  <c r="P690" i="2"/>
  <c r="Q689" i="2"/>
  <c r="P689" i="2"/>
  <c r="Q688" i="2"/>
  <c r="P688" i="2"/>
  <c r="Q687" i="2"/>
  <c r="P687" i="2"/>
  <c r="Q686" i="2"/>
  <c r="P686" i="2"/>
  <c r="Q685" i="2"/>
  <c r="P685" i="2"/>
  <c r="Q684" i="2"/>
  <c r="P684" i="2"/>
  <c r="Q683" i="2"/>
  <c r="P683" i="2"/>
  <c r="Q682" i="2"/>
  <c r="P682" i="2"/>
  <c r="Q681" i="2"/>
  <c r="P681" i="2"/>
  <c r="Q680" i="2"/>
  <c r="P680" i="2"/>
  <c r="Q679" i="2"/>
  <c r="P679" i="2"/>
  <c r="Q678" i="2"/>
  <c r="P678" i="2"/>
  <c r="Q677" i="2"/>
  <c r="P677" i="2"/>
  <c r="Q676" i="2"/>
  <c r="P676" i="2"/>
  <c r="Q675" i="2"/>
  <c r="P675" i="2"/>
  <c r="Q674" i="2"/>
  <c r="P674" i="2"/>
  <c r="Q673" i="2"/>
  <c r="P673" i="2"/>
  <c r="Q672" i="2"/>
  <c r="P672" i="2"/>
  <c r="Q671" i="2"/>
  <c r="P671" i="2"/>
  <c r="Q670" i="2"/>
  <c r="P670" i="2"/>
  <c r="Q669" i="2"/>
  <c r="P669" i="2"/>
  <c r="Q668" i="2"/>
  <c r="P668" i="2"/>
  <c r="Q667" i="2"/>
  <c r="P667" i="2"/>
  <c r="Q666" i="2"/>
  <c r="P666" i="2"/>
  <c r="Q665" i="2"/>
  <c r="P665" i="2"/>
  <c r="Q664" i="2"/>
  <c r="P664" i="2"/>
  <c r="Q663" i="2"/>
  <c r="P663" i="2"/>
  <c r="Q662" i="2"/>
  <c r="P662" i="2"/>
  <c r="Q661" i="2"/>
  <c r="P661" i="2"/>
  <c r="Q660" i="2"/>
  <c r="P660" i="2"/>
  <c r="Q659" i="2"/>
  <c r="P659" i="2"/>
  <c r="Q658" i="2"/>
  <c r="P658" i="2"/>
  <c r="Q657" i="2"/>
  <c r="P657" i="2"/>
  <c r="Q656" i="2"/>
  <c r="P656" i="2"/>
  <c r="Q655" i="2"/>
  <c r="P655" i="2"/>
  <c r="Q654" i="2"/>
  <c r="P654" i="2"/>
  <c r="Q653" i="2"/>
  <c r="P653" i="2"/>
  <c r="Q652" i="2"/>
  <c r="P652" i="2"/>
  <c r="Q651" i="2"/>
  <c r="P651" i="2"/>
  <c r="Q650" i="2"/>
  <c r="P650" i="2"/>
  <c r="Q649" i="2"/>
  <c r="P649" i="2"/>
  <c r="Q648" i="2"/>
  <c r="P648" i="2"/>
  <c r="Q647" i="2"/>
  <c r="P647" i="2"/>
  <c r="Q646" i="2"/>
  <c r="P646" i="2"/>
  <c r="Q645" i="2"/>
  <c r="P645" i="2"/>
  <c r="Q644" i="2"/>
  <c r="P644" i="2"/>
  <c r="Q643" i="2"/>
  <c r="P643" i="2"/>
  <c r="Q642" i="2"/>
  <c r="P642" i="2"/>
  <c r="Q641" i="2"/>
  <c r="P641" i="2"/>
  <c r="Q640" i="2"/>
  <c r="P640" i="2"/>
  <c r="Q639" i="2"/>
  <c r="P639" i="2"/>
  <c r="Q638" i="2"/>
  <c r="P638" i="2"/>
  <c r="Q637" i="2"/>
  <c r="P637" i="2"/>
  <c r="Q636" i="2"/>
  <c r="P636" i="2"/>
  <c r="Q635" i="2"/>
  <c r="P635" i="2"/>
  <c r="Q634" i="2"/>
  <c r="P634" i="2"/>
  <c r="Q633" i="2"/>
  <c r="P633" i="2"/>
  <c r="Q632" i="2"/>
  <c r="P632" i="2"/>
  <c r="Q631" i="2"/>
  <c r="P631" i="2"/>
  <c r="Q630" i="2"/>
  <c r="P630" i="2"/>
  <c r="Q629" i="2"/>
  <c r="P629" i="2"/>
  <c r="Q628" i="2"/>
  <c r="P628" i="2"/>
  <c r="Q627" i="2"/>
  <c r="P627" i="2"/>
  <c r="Q626" i="2"/>
  <c r="P626" i="2"/>
  <c r="Q625" i="2"/>
  <c r="P625" i="2"/>
  <c r="Q624" i="2"/>
  <c r="P624" i="2"/>
  <c r="Q623" i="2"/>
  <c r="P623" i="2"/>
  <c r="Q622" i="2"/>
  <c r="P622" i="2"/>
  <c r="Q621" i="2"/>
  <c r="P621" i="2"/>
  <c r="Q620" i="2"/>
  <c r="P620" i="2"/>
  <c r="Q619" i="2"/>
  <c r="P619" i="2"/>
  <c r="Q618" i="2"/>
  <c r="P618" i="2"/>
  <c r="Q617" i="2"/>
  <c r="P617" i="2"/>
  <c r="Q616" i="2"/>
  <c r="P616" i="2"/>
  <c r="Q615" i="2"/>
  <c r="P615" i="2"/>
  <c r="Q614" i="2"/>
  <c r="P614" i="2"/>
  <c r="Q613" i="2"/>
  <c r="P613" i="2"/>
  <c r="Q612" i="2"/>
  <c r="P612" i="2"/>
  <c r="Q611" i="2"/>
  <c r="P611" i="2"/>
  <c r="Q610" i="2"/>
  <c r="P610" i="2"/>
  <c r="Q609" i="2"/>
  <c r="P609" i="2"/>
  <c r="Q608" i="2"/>
  <c r="P608" i="2"/>
  <c r="Q607" i="2"/>
  <c r="P607" i="2"/>
  <c r="Q606" i="2"/>
  <c r="P606" i="2"/>
  <c r="Q605" i="2"/>
  <c r="P605" i="2"/>
  <c r="Q604" i="2"/>
  <c r="P604" i="2"/>
  <c r="Q603" i="2"/>
  <c r="P603" i="2"/>
  <c r="Q602" i="2"/>
  <c r="P602" i="2"/>
  <c r="Q601" i="2"/>
  <c r="P601" i="2"/>
  <c r="Q600" i="2"/>
  <c r="P600" i="2"/>
  <c r="Q599" i="2"/>
  <c r="P599" i="2"/>
  <c r="Q598" i="2"/>
  <c r="P598" i="2"/>
  <c r="Q597" i="2"/>
  <c r="P597" i="2"/>
  <c r="Q596" i="2"/>
  <c r="P596" i="2"/>
  <c r="Q595" i="2"/>
  <c r="P595" i="2"/>
  <c r="Q594" i="2"/>
  <c r="P594" i="2"/>
  <c r="Q593" i="2"/>
  <c r="P593" i="2"/>
  <c r="Q592" i="2"/>
  <c r="P592" i="2"/>
  <c r="P591" i="2"/>
  <c r="Q591" i="2" s="1"/>
  <c r="P590" i="2"/>
  <c r="Q590" i="2" s="1"/>
  <c r="P589" i="2"/>
  <c r="Q589" i="2" s="1"/>
  <c r="P588" i="2"/>
  <c r="Q588" i="2" s="1"/>
  <c r="P587" i="2"/>
  <c r="Q587" i="2" s="1"/>
  <c r="P586" i="2"/>
  <c r="Q586" i="2" s="1"/>
  <c r="P585" i="2"/>
  <c r="Q585" i="2" s="1"/>
  <c r="P584" i="2"/>
  <c r="Q584" i="2" s="1"/>
  <c r="P583" i="2"/>
  <c r="Q583" i="2" s="1"/>
  <c r="P582" i="2"/>
  <c r="Q582" i="2" s="1"/>
  <c r="P581" i="2"/>
  <c r="Q581" i="2" s="1"/>
  <c r="P580" i="2"/>
  <c r="Q580" i="2" s="1"/>
  <c r="P579" i="2"/>
  <c r="Q579" i="2" s="1"/>
  <c r="P578" i="2"/>
  <c r="Q578" i="2" s="1"/>
  <c r="P577" i="2"/>
  <c r="Q577" i="2" s="1"/>
  <c r="P576" i="2"/>
  <c r="Q576" i="2" s="1"/>
  <c r="P575" i="2"/>
  <c r="Q575" i="2" s="1"/>
  <c r="P574" i="2"/>
  <c r="Q574" i="2" s="1"/>
  <c r="P573" i="2"/>
  <c r="Q573" i="2" s="1"/>
  <c r="P572" i="2"/>
  <c r="Q572" i="2" s="1"/>
  <c r="P571" i="2"/>
  <c r="Q571" i="2" s="1"/>
  <c r="P570" i="2"/>
  <c r="Q570" i="2" s="1"/>
  <c r="P569" i="2"/>
  <c r="Q569" i="2" s="1"/>
  <c r="P568" i="2"/>
  <c r="Q568" i="2" s="1"/>
  <c r="P567" i="2"/>
  <c r="Q567" i="2" s="1"/>
  <c r="P566" i="2"/>
  <c r="Q566" i="2" s="1"/>
  <c r="P565" i="2"/>
  <c r="Q565" i="2" s="1"/>
  <c r="P564" i="2"/>
  <c r="Q564" i="2" s="1"/>
  <c r="P563" i="2"/>
  <c r="Q563" i="2" s="1"/>
  <c r="P562" i="2"/>
  <c r="Q562" i="2" s="1"/>
  <c r="P561" i="2"/>
  <c r="Q561" i="2" s="1"/>
  <c r="P560" i="2"/>
  <c r="Q560" i="2" s="1"/>
  <c r="P559" i="2"/>
  <c r="Q559" i="2" s="1"/>
  <c r="P558" i="2"/>
  <c r="Q558" i="2" s="1"/>
  <c r="P557" i="2"/>
  <c r="Q557" i="2" s="1"/>
  <c r="P556" i="2"/>
  <c r="Q556" i="2" s="1"/>
  <c r="P555" i="2"/>
  <c r="Q555" i="2" s="1"/>
  <c r="P554" i="2"/>
  <c r="Q554" i="2" s="1"/>
  <c r="P553" i="2"/>
  <c r="Q553" i="2" s="1"/>
  <c r="P552" i="2"/>
  <c r="Q552" i="2" s="1"/>
  <c r="P551" i="2"/>
  <c r="Q551" i="2" s="1"/>
  <c r="P550" i="2"/>
  <c r="Q550" i="2" s="1"/>
  <c r="P549" i="2"/>
  <c r="Q549" i="2" s="1"/>
  <c r="P548" i="2"/>
  <c r="Q548" i="2" s="1"/>
  <c r="P547" i="2"/>
  <c r="Q547" i="2" s="1"/>
  <c r="P546" i="2"/>
  <c r="Q546" i="2" s="1"/>
  <c r="P545" i="2"/>
  <c r="Q545" i="2" s="1"/>
  <c r="P544" i="2"/>
  <c r="Q544" i="2" s="1"/>
  <c r="Q543" i="2"/>
  <c r="P543" i="2"/>
  <c r="P542" i="2"/>
  <c r="Q542" i="2" s="1"/>
  <c r="P541" i="2"/>
  <c r="Q541" i="2" s="1"/>
  <c r="P540" i="2"/>
  <c r="Q540" i="2" s="1"/>
  <c r="P539" i="2"/>
  <c r="Q539" i="2" s="1"/>
  <c r="P538" i="2"/>
  <c r="Q538" i="2" s="1"/>
  <c r="P537" i="2"/>
  <c r="Q537" i="2" s="1"/>
  <c r="P536" i="2"/>
  <c r="Q536" i="2" s="1"/>
  <c r="P535" i="2"/>
  <c r="Q535" i="2" s="1"/>
  <c r="P534" i="2"/>
  <c r="Q534" i="2" s="1"/>
  <c r="P533" i="2"/>
  <c r="Q533" i="2" s="1"/>
  <c r="P532" i="2"/>
  <c r="Q532" i="2" s="1"/>
  <c r="P531" i="2"/>
  <c r="Q531" i="2" s="1"/>
  <c r="P530" i="2"/>
  <c r="Q530" i="2" s="1"/>
  <c r="P529" i="2"/>
  <c r="Q529" i="2" s="1"/>
  <c r="P528" i="2"/>
  <c r="Q528" i="2" s="1"/>
  <c r="P527" i="2"/>
  <c r="Q527" i="2" s="1"/>
  <c r="P526" i="2"/>
  <c r="Q526" i="2" s="1"/>
  <c r="P525" i="2"/>
  <c r="Q525" i="2" s="1"/>
  <c r="P524" i="2"/>
  <c r="Q524" i="2" s="1"/>
  <c r="P523" i="2"/>
  <c r="Q523" i="2" s="1"/>
  <c r="P522" i="2"/>
  <c r="Q522" i="2" s="1"/>
  <c r="P521" i="2"/>
  <c r="Q521" i="2" s="1"/>
  <c r="P520" i="2"/>
  <c r="Q520" i="2" s="1"/>
  <c r="P519" i="2"/>
  <c r="Q519" i="2" s="1"/>
  <c r="P518" i="2"/>
  <c r="Q518" i="2" s="1"/>
  <c r="P517" i="2"/>
  <c r="Q517" i="2" s="1"/>
  <c r="P516" i="2"/>
  <c r="Q516" i="2" s="1"/>
  <c r="P515" i="2"/>
  <c r="Q515" i="2" s="1"/>
  <c r="P514" i="2"/>
  <c r="Q514" i="2" s="1"/>
  <c r="Q513" i="2"/>
  <c r="P513" i="2"/>
  <c r="P512" i="2"/>
  <c r="Q512" i="2" s="1"/>
  <c r="P511" i="2"/>
  <c r="Q511" i="2" s="1"/>
  <c r="P510" i="2"/>
  <c r="Q510" i="2" s="1"/>
  <c r="P509" i="2"/>
  <c r="Q509" i="2" s="1"/>
  <c r="P508" i="2"/>
  <c r="Q508" i="2" s="1"/>
  <c r="P507" i="2"/>
  <c r="Q507" i="2" s="1"/>
  <c r="P506" i="2"/>
  <c r="Q506" i="2" s="1"/>
  <c r="P505" i="2"/>
  <c r="Q505" i="2" s="1"/>
  <c r="P504" i="2"/>
  <c r="Q504" i="2" s="1"/>
  <c r="P503" i="2"/>
  <c r="Q503" i="2" s="1"/>
  <c r="P502" i="2"/>
  <c r="Q502" i="2" s="1"/>
  <c r="P501" i="2"/>
  <c r="Q501" i="2" s="1"/>
  <c r="P500" i="2"/>
  <c r="Q500" i="2" s="1"/>
  <c r="P499" i="2"/>
  <c r="Q499" i="2" s="1"/>
  <c r="P498" i="2"/>
  <c r="Q498" i="2" s="1"/>
  <c r="P497" i="2"/>
  <c r="Q497" i="2" s="1"/>
  <c r="P496" i="2"/>
  <c r="Q496" i="2" s="1"/>
  <c r="P495" i="2"/>
  <c r="Q495" i="2" s="1"/>
  <c r="P494" i="2"/>
  <c r="Q494" i="2" s="1"/>
  <c r="P493" i="2"/>
  <c r="Q493" i="2" s="1"/>
  <c r="P492" i="2"/>
  <c r="Q492" i="2" s="1"/>
  <c r="P491" i="2"/>
  <c r="Q491" i="2" s="1"/>
  <c r="P490" i="2"/>
  <c r="Q490" i="2" s="1"/>
  <c r="P489" i="2"/>
  <c r="Q489" i="2" s="1"/>
  <c r="P488" i="2"/>
  <c r="Q488" i="2" s="1"/>
  <c r="P487" i="2"/>
  <c r="Q487" i="2" s="1"/>
  <c r="P486" i="2"/>
  <c r="Q486" i="2" s="1"/>
  <c r="P485" i="2"/>
  <c r="Q485" i="2" s="1"/>
  <c r="P484" i="2"/>
  <c r="Q484" i="2" s="1"/>
  <c r="P483" i="2"/>
  <c r="Q483" i="2" s="1"/>
  <c r="P482" i="2"/>
  <c r="Q482" i="2" s="1"/>
  <c r="P481" i="2"/>
  <c r="Q481" i="2" s="1"/>
  <c r="Q480" i="2"/>
  <c r="P480" i="2"/>
  <c r="P479" i="2"/>
  <c r="Q479" i="2" s="1"/>
  <c r="P478" i="2"/>
  <c r="Q478" i="2" s="1"/>
  <c r="P477" i="2"/>
  <c r="Q477" i="2" s="1"/>
  <c r="P476" i="2"/>
  <c r="Q476" i="2" s="1"/>
  <c r="P475" i="2"/>
  <c r="Q475" i="2" s="1"/>
  <c r="P474" i="2"/>
  <c r="Q474" i="2" s="1"/>
  <c r="P473" i="2"/>
  <c r="Q473" i="2" s="1"/>
  <c r="P472" i="2"/>
  <c r="Q472" i="2" s="1"/>
  <c r="P471" i="2"/>
  <c r="Q471" i="2" s="1"/>
  <c r="P470" i="2"/>
  <c r="Q470" i="2" s="1"/>
  <c r="P469" i="2"/>
  <c r="Q469" i="2" s="1"/>
  <c r="P468" i="2"/>
  <c r="Q468" i="2" s="1"/>
  <c r="P467" i="2"/>
  <c r="Q467" i="2" s="1"/>
  <c r="P466" i="2"/>
  <c r="Q466" i="2" s="1"/>
  <c r="P465" i="2"/>
  <c r="Q465" i="2" s="1"/>
  <c r="P464" i="2"/>
  <c r="Q464" i="2" s="1"/>
  <c r="P463" i="2"/>
  <c r="Q463" i="2" s="1"/>
  <c r="P462" i="2"/>
  <c r="Q462" i="2" s="1"/>
  <c r="P461" i="2"/>
  <c r="Q461" i="2" s="1"/>
  <c r="P460" i="2"/>
  <c r="Q460" i="2" s="1"/>
  <c r="P459" i="2"/>
  <c r="Q459" i="2" s="1"/>
  <c r="P458" i="2"/>
  <c r="Q458" i="2" s="1"/>
  <c r="P457" i="2"/>
  <c r="Q457" i="2" s="1"/>
  <c r="P456" i="2"/>
  <c r="Q456" i="2" s="1"/>
  <c r="P455" i="2"/>
  <c r="Q455" i="2" s="1"/>
  <c r="P454" i="2"/>
  <c r="Q454" i="2" s="1"/>
  <c r="P453" i="2"/>
  <c r="Q453" i="2" s="1"/>
  <c r="P452" i="2"/>
  <c r="Q452" i="2" s="1"/>
  <c r="P451" i="2"/>
  <c r="Q451" i="2" s="1"/>
  <c r="P450" i="2"/>
  <c r="Q450" i="2" s="1"/>
  <c r="P449" i="2"/>
  <c r="Q449" i="2" s="1"/>
  <c r="P448" i="2"/>
  <c r="Q448" i="2" s="1"/>
  <c r="P447" i="2"/>
  <c r="Q447" i="2" s="1"/>
  <c r="P446" i="2"/>
  <c r="Q446" i="2" s="1"/>
  <c r="P445" i="2"/>
  <c r="Q445" i="2" s="1"/>
  <c r="P444" i="2"/>
  <c r="Q444" i="2" s="1"/>
  <c r="P443" i="2"/>
  <c r="Q443" i="2" s="1"/>
  <c r="P442" i="2"/>
  <c r="Q442" i="2" s="1"/>
  <c r="P441" i="2"/>
  <c r="Q441" i="2" s="1"/>
  <c r="P440" i="2"/>
  <c r="Q440" i="2" s="1"/>
  <c r="P439" i="2"/>
  <c r="Q439" i="2" s="1"/>
  <c r="P438" i="2"/>
  <c r="Q438" i="2" s="1"/>
  <c r="P437" i="2"/>
  <c r="Q437" i="2" s="1"/>
  <c r="P436" i="2"/>
  <c r="Q436" i="2" s="1"/>
  <c r="P435" i="2"/>
  <c r="Q435" i="2" s="1"/>
  <c r="P434" i="2"/>
  <c r="Q434" i="2" s="1"/>
  <c r="P433" i="2"/>
  <c r="Q433" i="2" s="1"/>
  <c r="Q432" i="2"/>
  <c r="P432" i="2"/>
  <c r="P431" i="2"/>
  <c r="Q431" i="2" s="1"/>
  <c r="P430" i="2"/>
  <c r="Q430" i="2" s="1"/>
  <c r="P429" i="2"/>
  <c r="Q429" i="2" s="1"/>
  <c r="P428" i="2"/>
  <c r="Q428" i="2" s="1"/>
  <c r="P427" i="2"/>
  <c r="Q427" i="2" s="1"/>
  <c r="P426" i="2"/>
  <c r="Q426" i="2" s="1"/>
  <c r="P425" i="2"/>
  <c r="Q425" i="2" s="1"/>
  <c r="P424" i="2"/>
  <c r="Q424" i="2" s="1"/>
  <c r="P423" i="2"/>
  <c r="Q423" i="2" s="1"/>
  <c r="P422" i="2"/>
  <c r="Q422" i="2" s="1"/>
  <c r="P421" i="2"/>
  <c r="Q421" i="2" s="1"/>
  <c r="P420" i="2"/>
  <c r="Q420" i="2" s="1"/>
  <c r="P419" i="2"/>
  <c r="Q419" i="2" s="1"/>
  <c r="P418" i="2"/>
  <c r="Q418" i="2" s="1"/>
  <c r="P417" i="2"/>
  <c r="Q417" i="2" s="1"/>
  <c r="P416" i="2"/>
  <c r="Q416" i="2" s="1"/>
  <c r="P415" i="2"/>
  <c r="Q415" i="2" s="1"/>
  <c r="P414" i="2"/>
  <c r="Q414" i="2" s="1"/>
  <c r="P413" i="2"/>
  <c r="Q413" i="2" s="1"/>
  <c r="P412" i="2"/>
  <c r="Q412" i="2" s="1"/>
  <c r="P411" i="2"/>
  <c r="Q411" i="2" s="1"/>
  <c r="P410" i="2"/>
  <c r="Q410" i="2" s="1"/>
  <c r="P409" i="2"/>
  <c r="Q409" i="2" s="1"/>
  <c r="P408" i="2"/>
  <c r="Q408" i="2" s="1"/>
  <c r="P407" i="2"/>
  <c r="Q407" i="2" s="1"/>
  <c r="P406" i="2"/>
  <c r="Q406" i="2" s="1"/>
  <c r="P405" i="2"/>
  <c r="Q405" i="2" s="1"/>
  <c r="P404" i="2"/>
  <c r="Q404" i="2" s="1"/>
  <c r="P403" i="2"/>
  <c r="Q403" i="2" s="1"/>
  <c r="P402" i="2"/>
  <c r="Q402" i="2" s="1"/>
  <c r="P401" i="2"/>
  <c r="Q401" i="2" s="1"/>
  <c r="Q400" i="2"/>
  <c r="P400" i="2"/>
  <c r="P399" i="2"/>
  <c r="Q399" i="2" s="1"/>
  <c r="P398" i="2"/>
  <c r="Q398" i="2" s="1"/>
  <c r="P397" i="2"/>
  <c r="Q397" i="2" s="1"/>
  <c r="P396" i="2"/>
  <c r="Q396" i="2" s="1"/>
  <c r="P395" i="2"/>
  <c r="Q395" i="2" s="1"/>
  <c r="P394" i="2"/>
  <c r="Q394" i="2" s="1"/>
  <c r="Q393" i="2"/>
  <c r="P393" i="2"/>
  <c r="P392" i="2"/>
  <c r="Q392" i="2" s="1"/>
  <c r="P391" i="2"/>
  <c r="Q391" i="2" s="1"/>
  <c r="P390" i="2"/>
  <c r="Q390" i="2" s="1"/>
  <c r="P389" i="2"/>
  <c r="Q389" i="2" s="1"/>
  <c r="P388" i="2"/>
  <c r="Q388" i="2" s="1"/>
  <c r="P387" i="2"/>
  <c r="Q387" i="2" s="1"/>
  <c r="P386" i="2"/>
  <c r="Q386" i="2" s="1"/>
  <c r="P385" i="2"/>
  <c r="Q385" i="2" s="1"/>
  <c r="P384" i="2"/>
  <c r="Q384" i="2" s="1"/>
  <c r="P383" i="2"/>
  <c r="Q383" i="2" s="1"/>
  <c r="P382" i="2"/>
  <c r="Q382" i="2" s="1"/>
  <c r="P381" i="2"/>
  <c r="Q381" i="2" s="1"/>
  <c r="P380" i="2"/>
  <c r="Q380" i="2" s="1"/>
  <c r="P379" i="2"/>
  <c r="Q379" i="2" s="1"/>
  <c r="P378" i="2"/>
  <c r="Q378" i="2" s="1"/>
  <c r="P377" i="2"/>
  <c r="Q377" i="2" s="1"/>
  <c r="P376" i="2"/>
  <c r="Q376" i="2" s="1"/>
  <c r="P375" i="2"/>
  <c r="Q375" i="2" s="1"/>
  <c r="P374" i="2"/>
  <c r="Q374" i="2" s="1"/>
  <c r="P373" i="2"/>
  <c r="Q373" i="2" s="1"/>
  <c r="P372" i="2"/>
  <c r="Q372" i="2" s="1"/>
  <c r="P371" i="2"/>
  <c r="Q371" i="2" s="1"/>
  <c r="P370" i="2"/>
  <c r="Q370" i="2" s="1"/>
  <c r="P369" i="2"/>
  <c r="Q369" i="2" s="1"/>
  <c r="P368" i="2"/>
  <c r="Q368" i="2" s="1"/>
  <c r="P367" i="2"/>
  <c r="Q367" i="2" s="1"/>
  <c r="P366" i="2"/>
  <c r="Q366" i="2" s="1"/>
  <c r="P365" i="2"/>
  <c r="Q365" i="2" s="1"/>
  <c r="P364" i="2"/>
  <c r="Q364" i="2" s="1"/>
  <c r="P363" i="2"/>
  <c r="Q363" i="2" s="1"/>
  <c r="P362" i="2"/>
  <c r="Q362" i="2" s="1"/>
  <c r="P361" i="2"/>
  <c r="Q361" i="2" s="1"/>
  <c r="P360" i="2"/>
  <c r="Q360" i="2" s="1"/>
  <c r="P359" i="2"/>
  <c r="Q359" i="2" s="1"/>
  <c r="P358" i="2"/>
  <c r="Q358" i="2" s="1"/>
  <c r="P357" i="2"/>
  <c r="Q357" i="2" s="1"/>
  <c r="P356" i="2"/>
  <c r="Q356" i="2" s="1"/>
  <c r="P355" i="2"/>
  <c r="Q355" i="2" s="1"/>
  <c r="P354" i="2"/>
  <c r="Q354" i="2" s="1"/>
  <c r="P353" i="2"/>
  <c r="Q353" i="2" s="1"/>
  <c r="P352" i="2"/>
  <c r="Q352" i="2" s="1"/>
  <c r="P351" i="2"/>
  <c r="Q351" i="2" s="1"/>
  <c r="P350" i="2"/>
  <c r="Q350" i="2" s="1"/>
  <c r="P349" i="2"/>
  <c r="Q349" i="2" s="1"/>
  <c r="P348" i="2"/>
  <c r="Q348" i="2" s="1"/>
  <c r="P347" i="2"/>
  <c r="Q347" i="2" s="1"/>
  <c r="P346" i="2"/>
  <c r="Q346" i="2" s="1"/>
  <c r="P345" i="2"/>
  <c r="Q345" i="2" s="1"/>
  <c r="P344" i="2"/>
  <c r="Q344" i="2" s="1"/>
  <c r="P343" i="2"/>
  <c r="Q343" i="2" s="1"/>
  <c r="P342" i="2"/>
  <c r="Q342" i="2" s="1"/>
  <c r="P341" i="2"/>
  <c r="Q341" i="2" s="1"/>
  <c r="P340" i="2"/>
  <c r="Q340" i="2" s="1"/>
  <c r="P339" i="2"/>
  <c r="Q339" i="2" s="1"/>
  <c r="P338" i="2"/>
  <c r="Q338" i="2" s="1"/>
  <c r="P337" i="2"/>
  <c r="Q337" i="2" s="1"/>
  <c r="P336" i="2"/>
  <c r="Q336" i="2" s="1"/>
  <c r="P335" i="2"/>
  <c r="Q335" i="2" s="1"/>
  <c r="P334" i="2"/>
  <c r="Q334" i="2" s="1"/>
  <c r="P333" i="2"/>
  <c r="Q333" i="2" s="1"/>
  <c r="P332" i="2"/>
  <c r="Q332" i="2" s="1"/>
  <c r="P331" i="2"/>
  <c r="Q331" i="2" s="1"/>
  <c r="P330" i="2"/>
  <c r="Q330" i="2" s="1"/>
  <c r="P329" i="2"/>
  <c r="Q329" i="2" s="1"/>
  <c r="P328" i="2"/>
  <c r="Q328" i="2" s="1"/>
  <c r="P327" i="2"/>
  <c r="Q327" i="2" s="1"/>
  <c r="P326" i="2"/>
  <c r="Q326" i="2" s="1"/>
  <c r="P325" i="2"/>
  <c r="Q325" i="2" s="1"/>
  <c r="P324" i="2"/>
  <c r="Q324" i="2" s="1"/>
  <c r="P323" i="2"/>
  <c r="Q323" i="2" s="1"/>
  <c r="P322" i="2"/>
  <c r="Q322" i="2" s="1"/>
  <c r="P321" i="2"/>
  <c r="Q321" i="2" s="1"/>
  <c r="P320" i="2"/>
  <c r="Q320" i="2" s="1"/>
  <c r="P319" i="2"/>
  <c r="Q319" i="2" s="1"/>
  <c r="P318" i="2"/>
  <c r="Q318" i="2" s="1"/>
  <c r="P317" i="2"/>
  <c r="Q317" i="2" s="1"/>
  <c r="Q316" i="2"/>
  <c r="P316" i="2"/>
  <c r="P315" i="2"/>
  <c r="Q315" i="2" s="1"/>
  <c r="P314" i="2"/>
  <c r="Q314" i="2" s="1"/>
  <c r="P313" i="2"/>
  <c r="Q313" i="2" s="1"/>
  <c r="P312" i="2"/>
  <c r="Q312" i="2" s="1"/>
  <c r="P311" i="2"/>
  <c r="Q311" i="2" s="1"/>
  <c r="P310" i="2"/>
  <c r="Q310" i="2" s="1"/>
  <c r="P309" i="2"/>
  <c r="Q309" i="2" s="1"/>
  <c r="P308" i="2"/>
  <c r="Q308" i="2" s="1"/>
  <c r="P307" i="2"/>
  <c r="Q307" i="2" s="1"/>
  <c r="P306" i="2"/>
  <c r="Q306" i="2" s="1"/>
  <c r="P305" i="2"/>
  <c r="Q305" i="2" s="1"/>
  <c r="P304" i="2"/>
  <c r="Q304" i="2" s="1"/>
  <c r="P303" i="2"/>
  <c r="Q303" i="2" s="1"/>
  <c r="P302" i="2"/>
  <c r="Q302" i="2" s="1"/>
  <c r="P301" i="2"/>
  <c r="Q301" i="2" s="1"/>
  <c r="P300" i="2"/>
  <c r="Q300" i="2" s="1"/>
  <c r="P299" i="2"/>
  <c r="Q299" i="2" s="1"/>
  <c r="P298" i="2"/>
  <c r="Q298" i="2" s="1"/>
  <c r="P297" i="2"/>
  <c r="Q297" i="2" s="1"/>
  <c r="P296" i="2"/>
  <c r="Q296" i="2" s="1"/>
  <c r="P295" i="2"/>
  <c r="Q295" i="2" s="1"/>
  <c r="P294" i="2"/>
  <c r="Q294" i="2" s="1"/>
  <c r="P293" i="2"/>
  <c r="Q293" i="2" s="1"/>
  <c r="P292" i="2"/>
  <c r="Q292" i="2" s="1"/>
  <c r="P291" i="2"/>
  <c r="Q291" i="2" s="1"/>
  <c r="P290" i="2"/>
  <c r="Q290" i="2" s="1"/>
  <c r="P289" i="2"/>
  <c r="Q289" i="2" s="1"/>
  <c r="P288" i="2"/>
  <c r="Q288" i="2" s="1"/>
  <c r="P287" i="2"/>
  <c r="Q287" i="2" s="1"/>
  <c r="P286" i="2"/>
  <c r="Q286" i="2" s="1"/>
  <c r="P285" i="2"/>
  <c r="Q285" i="2" s="1"/>
  <c r="P284" i="2"/>
  <c r="Q284" i="2" s="1"/>
  <c r="P283" i="2"/>
  <c r="Q283" i="2" s="1"/>
  <c r="P282" i="2"/>
  <c r="Q282" i="2" s="1"/>
  <c r="P281" i="2"/>
  <c r="Q281" i="2" s="1"/>
  <c r="P280" i="2"/>
  <c r="Q280" i="2" s="1"/>
  <c r="P279" i="2"/>
  <c r="Q279" i="2" s="1"/>
  <c r="P278" i="2"/>
  <c r="Q278" i="2" s="1"/>
  <c r="P277" i="2"/>
  <c r="Q277" i="2" s="1"/>
  <c r="P276" i="2"/>
  <c r="Q276" i="2" s="1"/>
  <c r="P275" i="2"/>
  <c r="Q275" i="2" s="1"/>
  <c r="P274" i="2"/>
  <c r="Q274" i="2" s="1"/>
  <c r="P273" i="2"/>
  <c r="Q273" i="2" s="1"/>
  <c r="P272" i="2"/>
  <c r="Q272" i="2" s="1"/>
  <c r="P271" i="2"/>
  <c r="Q271" i="2" s="1"/>
  <c r="P270" i="2"/>
  <c r="Q270" i="2" s="1"/>
  <c r="P269" i="2"/>
  <c r="Q269" i="2" s="1"/>
  <c r="P268" i="2"/>
  <c r="Q268" i="2" s="1"/>
  <c r="P267" i="2"/>
  <c r="Q267" i="2" s="1"/>
  <c r="P266" i="2"/>
  <c r="Q266" i="2" s="1"/>
  <c r="P265" i="2"/>
  <c r="Q265" i="2" s="1"/>
  <c r="P264" i="2"/>
  <c r="Q264" i="2" s="1"/>
  <c r="P263" i="2"/>
  <c r="Q263" i="2" s="1"/>
  <c r="P262" i="2"/>
  <c r="Q262" i="2" s="1"/>
  <c r="P261" i="2"/>
  <c r="Q261" i="2" s="1"/>
  <c r="P260" i="2"/>
  <c r="Q260" i="2" s="1"/>
  <c r="P259" i="2"/>
  <c r="Q259" i="2" s="1"/>
  <c r="P258" i="2"/>
  <c r="Q258" i="2" s="1"/>
  <c r="P257" i="2"/>
  <c r="Q257" i="2" s="1"/>
  <c r="P256" i="2"/>
  <c r="Q256" i="2" s="1"/>
  <c r="P255" i="2"/>
  <c r="Q255" i="2" s="1"/>
  <c r="P254" i="2"/>
  <c r="Q254" i="2" s="1"/>
  <c r="P253" i="2"/>
  <c r="Q253" i="2" s="1"/>
  <c r="P252" i="2"/>
  <c r="Q252" i="2" s="1"/>
  <c r="P251" i="2"/>
  <c r="Q251" i="2" s="1"/>
  <c r="P250" i="2"/>
  <c r="Q250" i="2" s="1"/>
  <c r="P249" i="2"/>
  <c r="Q249" i="2" s="1"/>
  <c r="P248" i="2"/>
  <c r="Q248" i="2" s="1"/>
  <c r="P247" i="2"/>
  <c r="Q247" i="2" s="1"/>
  <c r="P246" i="2"/>
  <c r="Q246" i="2" s="1"/>
  <c r="P245" i="2"/>
  <c r="Q245" i="2" s="1"/>
  <c r="P244" i="2"/>
  <c r="Q244" i="2" s="1"/>
  <c r="P243" i="2"/>
  <c r="Q243" i="2" s="1"/>
  <c r="P242" i="2"/>
  <c r="Q242" i="2" s="1"/>
  <c r="P241" i="2"/>
  <c r="Q241" i="2" s="1"/>
  <c r="P240" i="2"/>
  <c r="Q240" i="2" s="1"/>
  <c r="P239" i="2"/>
  <c r="Q239" i="2" s="1"/>
  <c r="P238" i="2"/>
  <c r="Q238" i="2" s="1"/>
  <c r="P237" i="2"/>
  <c r="Q237" i="2" s="1"/>
  <c r="P236" i="2"/>
  <c r="Q236" i="2" s="1"/>
  <c r="P235" i="2"/>
  <c r="Q235" i="2" s="1"/>
  <c r="P234" i="2"/>
  <c r="Q234" i="2" s="1"/>
  <c r="P233" i="2"/>
  <c r="Q233" i="2" s="1"/>
  <c r="P232" i="2"/>
  <c r="Q232" i="2" s="1"/>
  <c r="P231" i="2"/>
  <c r="Q231" i="2" s="1"/>
  <c r="P230" i="2"/>
  <c r="Q230" i="2" s="1"/>
  <c r="P229" i="2"/>
  <c r="Q229" i="2" s="1"/>
  <c r="P228" i="2"/>
  <c r="Q228" i="2" s="1"/>
  <c r="P227" i="2"/>
  <c r="Q227" i="2" s="1"/>
  <c r="P226" i="2"/>
  <c r="Q226" i="2" s="1"/>
  <c r="P225" i="2"/>
  <c r="Q225" i="2" s="1"/>
  <c r="P224" i="2"/>
  <c r="Q224" i="2" s="1"/>
  <c r="P223" i="2"/>
  <c r="Q223" i="2" s="1"/>
  <c r="P222" i="2"/>
  <c r="Q222" i="2" s="1"/>
  <c r="P221" i="2"/>
  <c r="Q221" i="2" s="1"/>
  <c r="P220" i="2"/>
  <c r="Q220" i="2" s="1"/>
  <c r="P219" i="2"/>
  <c r="Q219" i="2" s="1"/>
  <c r="P218" i="2"/>
  <c r="Q218" i="2" s="1"/>
  <c r="P217" i="2"/>
  <c r="Q217" i="2" s="1"/>
  <c r="P216" i="2"/>
  <c r="Q216" i="2" s="1"/>
  <c r="P215" i="2"/>
  <c r="Q215" i="2" s="1"/>
  <c r="P214" i="2"/>
  <c r="Q214" i="2" s="1"/>
  <c r="P213" i="2"/>
  <c r="Q213" i="2" s="1"/>
  <c r="P212" i="2"/>
  <c r="Q212" i="2" s="1"/>
  <c r="P211" i="2"/>
  <c r="Q211" i="2" s="1"/>
  <c r="P210" i="2"/>
  <c r="Q210" i="2" s="1"/>
  <c r="P209" i="2"/>
  <c r="Q209" i="2" s="1"/>
  <c r="P208" i="2"/>
  <c r="Q208" i="2" s="1"/>
  <c r="P207" i="2"/>
  <c r="Q207" i="2" s="1"/>
  <c r="P206" i="2"/>
  <c r="Q206" i="2" s="1"/>
  <c r="P205" i="2"/>
  <c r="Q205" i="2" s="1"/>
  <c r="P204" i="2"/>
  <c r="Q204" i="2" s="1"/>
  <c r="P203" i="2"/>
  <c r="Q203" i="2" s="1"/>
  <c r="P202" i="2"/>
  <c r="Q202" i="2" s="1"/>
  <c r="P201" i="2"/>
  <c r="Q201" i="2" s="1"/>
  <c r="P200" i="2"/>
  <c r="Q200" i="2" s="1"/>
  <c r="P199" i="2"/>
  <c r="Q199" i="2" s="1"/>
  <c r="P198" i="2"/>
  <c r="Q198" i="2" s="1"/>
  <c r="P197" i="2"/>
  <c r="Q197" i="2" s="1"/>
  <c r="P196" i="2"/>
  <c r="Q196" i="2" s="1"/>
  <c r="P195" i="2"/>
  <c r="Q195" i="2" s="1"/>
  <c r="P194" i="2"/>
  <c r="Q194" i="2" s="1"/>
  <c r="P193" i="2"/>
  <c r="Q193" i="2" s="1"/>
  <c r="P192" i="2"/>
  <c r="Q192" i="2" s="1"/>
  <c r="P191" i="2"/>
  <c r="Q191" i="2" s="1"/>
  <c r="P190" i="2"/>
  <c r="Q190" i="2" s="1"/>
  <c r="P189" i="2"/>
  <c r="Q189" i="2" s="1"/>
  <c r="P188" i="2"/>
  <c r="Q188" i="2" s="1"/>
  <c r="P187" i="2"/>
  <c r="Q187" i="2" s="1"/>
  <c r="P186" i="2"/>
  <c r="Q186" i="2" s="1"/>
  <c r="P185" i="2"/>
  <c r="Q185" i="2" s="1"/>
  <c r="P184" i="2"/>
  <c r="Q184" i="2" s="1"/>
  <c r="P183" i="2"/>
  <c r="Q183" i="2" s="1"/>
  <c r="P182" i="2"/>
  <c r="Q182" i="2" s="1"/>
  <c r="P181" i="2"/>
  <c r="Q181" i="2" s="1"/>
  <c r="P180" i="2"/>
  <c r="Q180" i="2" s="1"/>
  <c r="P179" i="2"/>
  <c r="Q179" i="2" s="1"/>
  <c r="P178" i="2"/>
  <c r="Q178" i="2" s="1"/>
  <c r="P177" i="2"/>
  <c r="Q177" i="2" s="1"/>
  <c r="P176" i="2"/>
  <c r="Q176" i="2" s="1"/>
  <c r="P175" i="2"/>
  <c r="Q175" i="2" s="1"/>
  <c r="P174" i="2"/>
  <c r="Q174" i="2" s="1"/>
  <c r="P173" i="2"/>
  <c r="Q173" i="2" s="1"/>
  <c r="P172" i="2"/>
  <c r="Q172" i="2" s="1"/>
  <c r="P171" i="2"/>
  <c r="Q171" i="2" s="1"/>
  <c r="P170" i="2"/>
  <c r="Q170" i="2" s="1"/>
  <c r="P169" i="2"/>
  <c r="Q169" i="2" s="1"/>
  <c r="P168" i="2"/>
  <c r="Q168" i="2" s="1"/>
  <c r="P167" i="2"/>
  <c r="Q167" i="2" s="1"/>
  <c r="P166" i="2"/>
  <c r="Q166" i="2" s="1"/>
  <c r="P165" i="2"/>
  <c r="Q165" i="2" s="1"/>
  <c r="P164" i="2"/>
  <c r="Q164" i="2" s="1"/>
  <c r="P163" i="2"/>
  <c r="Q163" i="2" s="1"/>
  <c r="P162" i="2"/>
  <c r="Q162" i="2" s="1"/>
  <c r="P161" i="2"/>
  <c r="Q161" i="2" s="1"/>
  <c r="P160" i="2"/>
  <c r="Q160" i="2" s="1"/>
  <c r="P159" i="2"/>
  <c r="Q159" i="2" s="1"/>
  <c r="P158" i="2"/>
  <c r="Q158" i="2" s="1"/>
  <c r="P157" i="2"/>
  <c r="Q157" i="2" s="1"/>
  <c r="P156" i="2"/>
  <c r="Q156" i="2" s="1"/>
  <c r="P155" i="2"/>
  <c r="Q155" i="2" s="1"/>
  <c r="P154" i="2"/>
  <c r="Q154" i="2" s="1"/>
  <c r="P153" i="2"/>
  <c r="Q153" i="2" s="1"/>
  <c r="P152" i="2"/>
  <c r="Q152" i="2" s="1"/>
  <c r="P151" i="2"/>
  <c r="Q151" i="2" s="1"/>
  <c r="P150" i="2"/>
  <c r="Q150" i="2" s="1"/>
  <c r="P149" i="2"/>
  <c r="Q149" i="2" s="1"/>
  <c r="P148" i="2"/>
  <c r="Q148" i="2" s="1"/>
  <c r="P147" i="2"/>
  <c r="Q147" i="2" s="1"/>
  <c r="P146" i="2"/>
  <c r="Q146" i="2" s="1"/>
  <c r="P145" i="2"/>
  <c r="Q145" i="2" s="1"/>
  <c r="P144" i="2"/>
  <c r="Q144" i="2" s="1"/>
  <c r="P143" i="2"/>
  <c r="Q143" i="2" s="1"/>
  <c r="P142" i="2"/>
  <c r="Q142" i="2" s="1"/>
  <c r="P141" i="2"/>
  <c r="Q141" i="2" s="1"/>
  <c r="P140" i="2"/>
  <c r="Q140" i="2" s="1"/>
  <c r="P139" i="2"/>
  <c r="Q139" i="2" s="1"/>
  <c r="P138" i="2"/>
  <c r="Q138" i="2" s="1"/>
  <c r="P137" i="2"/>
  <c r="Q137" i="2" s="1"/>
  <c r="P136" i="2"/>
  <c r="Q136" i="2" s="1"/>
  <c r="P135" i="2"/>
  <c r="Q135" i="2" s="1"/>
  <c r="P134" i="2"/>
  <c r="Q134" i="2" s="1"/>
  <c r="P133" i="2"/>
  <c r="Q133" i="2" s="1"/>
  <c r="P132" i="2"/>
  <c r="Q132" i="2" s="1"/>
  <c r="P131" i="2"/>
  <c r="Q131" i="2" s="1"/>
  <c r="P130" i="2"/>
  <c r="Q130" i="2" s="1"/>
  <c r="P129" i="2"/>
  <c r="Q129" i="2" s="1"/>
  <c r="P128" i="2"/>
  <c r="Q128" i="2" s="1"/>
  <c r="P127" i="2"/>
  <c r="Q127" i="2" s="1"/>
  <c r="P126" i="2"/>
  <c r="Q126" i="2" s="1"/>
  <c r="P125" i="2"/>
  <c r="Q125" i="2" s="1"/>
  <c r="P124" i="2"/>
  <c r="Q124" i="2" s="1"/>
  <c r="P123" i="2"/>
  <c r="Q123" i="2" s="1"/>
  <c r="P122" i="2"/>
  <c r="Q122" i="2" s="1"/>
  <c r="P121" i="2"/>
  <c r="Q121" i="2" s="1"/>
  <c r="P120" i="2"/>
  <c r="Q120" i="2" s="1"/>
  <c r="P119" i="2"/>
  <c r="Q119" i="2" s="1"/>
  <c r="P118" i="2"/>
  <c r="Q118" i="2" s="1"/>
  <c r="P117" i="2"/>
  <c r="Q117" i="2" s="1"/>
  <c r="P116" i="2"/>
  <c r="Q116" i="2" s="1"/>
  <c r="P115" i="2"/>
  <c r="Q115" i="2" s="1"/>
  <c r="P114" i="2"/>
  <c r="Q114" i="2" s="1"/>
  <c r="P113" i="2"/>
  <c r="Q113" i="2" s="1"/>
  <c r="P112" i="2"/>
  <c r="Q112" i="2" s="1"/>
  <c r="P111" i="2"/>
  <c r="Q111" i="2" s="1"/>
  <c r="P110" i="2"/>
  <c r="Q110" i="2" s="1"/>
  <c r="P109" i="2"/>
  <c r="Q109" i="2" s="1"/>
  <c r="P108" i="2"/>
  <c r="Q108" i="2" s="1"/>
  <c r="Q107" i="2"/>
  <c r="P107" i="2"/>
  <c r="P106" i="2"/>
  <c r="Q106" i="2" s="1"/>
  <c r="P105" i="2"/>
  <c r="Q105" i="2" s="1"/>
  <c r="P104" i="2"/>
  <c r="Q104" i="2" s="1"/>
  <c r="P103" i="2"/>
  <c r="Q103" i="2" s="1"/>
  <c r="P102" i="2"/>
  <c r="Q102" i="2" s="1"/>
  <c r="P101" i="2"/>
  <c r="Q101" i="2" s="1"/>
  <c r="P100" i="2"/>
  <c r="Q100" i="2" s="1"/>
  <c r="P99" i="2"/>
  <c r="Q99" i="2" s="1"/>
  <c r="P98" i="2"/>
  <c r="Q98" i="2" s="1"/>
  <c r="P97" i="2"/>
  <c r="Q97" i="2" s="1"/>
  <c r="P96" i="2"/>
  <c r="Q96" i="2" s="1"/>
  <c r="P95" i="2"/>
  <c r="Q95" i="2" s="1"/>
  <c r="P94" i="2"/>
  <c r="Q94" i="2" s="1"/>
  <c r="P93" i="2"/>
  <c r="Q92" i="2"/>
  <c r="P92" i="2"/>
  <c r="P91" i="2"/>
  <c r="Q91" i="2" s="1"/>
  <c r="P90" i="2"/>
  <c r="Q90" i="2" s="1"/>
  <c r="P89" i="2"/>
  <c r="Q89" i="2" s="1"/>
  <c r="P88" i="2"/>
  <c r="Q88" i="2" s="1"/>
  <c r="P87" i="2"/>
  <c r="Q87" i="2" s="1"/>
  <c r="P86" i="2"/>
  <c r="Q86" i="2" s="1"/>
  <c r="P85" i="2"/>
  <c r="Q85" i="2" s="1"/>
  <c r="P84" i="2"/>
  <c r="Q84" i="2" s="1"/>
  <c r="P83" i="2"/>
  <c r="Q83" i="2" s="1"/>
  <c r="P82" i="2"/>
  <c r="Q82" i="2" s="1"/>
  <c r="P81" i="2"/>
  <c r="Q81" i="2" s="1"/>
  <c r="P80" i="2"/>
  <c r="Q80" i="2" s="1"/>
  <c r="P79" i="2"/>
  <c r="Q79" i="2" s="1"/>
  <c r="P78" i="2"/>
  <c r="Q78" i="2" s="1"/>
  <c r="P77" i="2"/>
  <c r="Q77" i="2" s="1"/>
  <c r="P76" i="2"/>
  <c r="Q76" i="2" s="1"/>
  <c r="P75" i="2"/>
  <c r="Q75" i="2" s="1"/>
  <c r="P74" i="2"/>
  <c r="Q74" i="2" s="1"/>
  <c r="P73" i="2"/>
  <c r="Q73" i="2" s="1"/>
  <c r="P72" i="2"/>
  <c r="Q72" i="2" s="1"/>
  <c r="P71" i="2"/>
  <c r="Q71" i="2" s="1"/>
  <c r="P70" i="2"/>
  <c r="Q70" i="2" s="1"/>
  <c r="P69" i="2"/>
  <c r="Q69" i="2" s="1"/>
  <c r="P68" i="2"/>
  <c r="Q68" i="2" s="1"/>
  <c r="P67" i="2"/>
  <c r="Q67" i="2" s="1"/>
  <c r="P66" i="2"/>
  <c r="Q66" i="2" s="1"/>
  <c r="P65" i="2"/>
  <c r="Q65" i="2" s="1"/>
  <c r="P64" i="2"/>
  <c r="Q64" i="2" s="1"/>
  <c r="P63" i="2"/>
  <c r="Q63" i="2" s="1"/>
  <c r="P62" i="2"/>
  <c r="Q62" i="2" s="1"/>
  <c r="P61" i="2"/>
  <c r="Q61" i="2" s="1"/>
  <c r="P60" i="2"/>
  <c r="Q60" i="2" s="1"/>
  <c r="P59" i="2"/>
  <c r="Q59" i="2" s="1"/>
  <c r="P58" i="2"/>
  <c r="Q58" i="2" s="1"/>
  <c r="P57" i="2"/>
  <c r="Q57" i="2" s="1"/>
  <c r="P56" i="2"/>
  <c r="Q56" i="2" s="1"/>
  <c r="P55" i="2"/>
  <c r="Q55" i="2" s="1"/>
  <c r="P54" i="2"/>
  <c r="Q54" i="2" s="1"/>
  <c r="P53" i="2"/>
  <c r="Q53" i="2" s="1"/>
  <c r="P52" i="2"/>
  <c r="Q52" i="2" s="1"/>
  <c r="P51" i="2"/>
  <c r="Q51" i="2" s="1"/>
  <c r="P50" i="2"/>
  <c r="Q50" i="2" s="1"/>
  <c r="P49" i="2"/>
  <c r="Q49" i="2" s="1"/>
  <c r="P48" i="2"/>
  <c r="Q48" i="2" s="1"/>
  <c r="P47" i="2"/>
  <c r="Q47" i="2" s="1"/>
  <c r="P46" i="2"/>
  <c r="Q46" i="2" s="1"/>
  <c r="P45" i="2"/>
  <c r="Q45" i="2" s="1"/>
  <c r="P44" i="2"/>
  <c r="Q44" i="2" s="1"/>
  <c r="P43" i="2"/>
  <c r="Q43" i="2" s="1"/>
  <c r="P42" i="2"/>
  <c r="Q42" i="2" s="1"/>
  <c r="P41" i="2"/>
  <c r="Q41" i="2" s="1"/>
  <c r="P40" i="2"/>
  <c r="Q40" i="2" s="1"/>
  <c r="P39" i="2"/>
  <c r="Q39" i="2" s="1"/>
  <c r="P38" i="2"/>
  <c r="Q38" i="2" s="1"/>
  <c r="P37" i="2"/>
  <c r="Q37" i="2" s="1"/>
  <c r="P36" i="2"/>
  <c r="Q36" i="2" s="1"/>
  <c r="P35" i="2"/>
  <c r="Q35" i="2" s="1"/>
  <c r="P34" i="2"/>
  <c r="Q34" i="2" s="1"/>
  <c r="P33" i="2"/>
  <c r="Q33" i="2" s="1"/>
  <c r="Q32" i="2"/>
  <c r="P32" i="2"/>
  <c r="P31" i="2"/>
  <c r="Q31" i="2" s="1"/>
  <c r="P30" i="2"/>
  <c r="Q30" i="2" s="1"/>
  <c r="P29" i="2"/>
  <c r="Q29" i="2" s="1"/>
  <c r="P28" i="2"/>
  <c r="Q28" i="2" s="1"/>
  <c r="P27" i="2"/>
  <c r="Q27" i="2" s="1"/>
  <c r="P26" i="2"/>
  <c r="Q26" i="2" s="1"/>
  <c r="P25" i="2"/>
  <c r="Q25" i="2" s="1"/>
  <c r="P24" i="2"/>
  <c r="Q24" i="2" s="1"/>
  <c r="P23" i="2"/>
  <c r="Q23" i="2" s="1"/>
  <c r="P22" i="2"/>
  <c r="Q22" i="2" s="1"/>
  <c r="P21" i="2"/>
  <c r="Q21" i="2" s="1"/>
  <c r="P20" i="2"/>
  <c r="Q20" i="2" s="1"/>
  <c r="P19" i="2"/>
  <c r="Q19" i="2" s="1"/>
  <c r="P18" i="2"/>
  <c r="Q18" i="2" s="1"/>
  <c r="P17" i="2"/>
  <c r="Q17" i="2" s="1"/>
  <c r="P16" i="2"/>
  <c r="Q16" i="2" s="1"/>
  <c r="P15" i="2"/>
  <c r="Q15" i="2" s="1"/>
  <c r="P14" i="2"/>
  <c r="Q14" i="2" s="1"/>
  <c r="P13" i="2"/>
  <c r="Q13" i="2" s="1"/>
  <c r="P12" i="2"/>
  <c r="Q12" i="2" s="1"/>
  <c r="P11" i="2"/>
  <c r="Q11" i="2" s="1"/>
  <c r="P10" i="2"/>
  <c r="Q10" i="2" s="1"/>
  <c r="P9" i="2"/>
  <c r="Q9" i="2" s="1"/>
  <c r="P8" i="2"/>
  <c r="Q8" i="2" s="1"/>
  <c r="P7" i="2"/>
  <c r="Q7" i="2" s="1"/>
  <c r="P6" i="2"/>
  <c r="Q6" i="2" s="1"/>
  <c r="P5" i="2"/>
  <c r="Q5" i="2" s="1"/>
  <c r="P4" i="2"/>
  <c r="Q4" i="2" s="1"/>
  <c r="P3" i="2"/>
  <c r="Q3" i="2" s="1"/>
  <c r="P2" i="2"/>
  <c r="Q2" i="2" s="1"/>
  <c r="D2" i="4" l="1"/>
  <c r="D4" i="4"/>
  <c r="D3" i="4"/>
  <c r="D7" i="4"/>
  <c r="D8" i="4"/>
  <c r="D11" i="4"/>
  <c r="D6" i="4"/>
  <c r="D10" i="4"/>
  <c r="D5" i="4"/>
  <c r="D12" i="4"/>
  <c r="C14" i="4"/>
  <c r="D13" i="4"/>
  <c r="D9" i="4"/>
  <c r="Q93" i="2"/>
  <c r="B13" i="5"/>
  <c r="B11" i="5"/>
  <c r="B12" i="5" s="1"/>
</calcChain>
</file>

<file path=xl/sharedStrings.xml><?xml version="1.0" encoding="utf-8"?>
<sst xmlns="http://schemas.openxmlformats.org/spreadsheetml/2006/main" count="9356" uniqueCount="1872">
  <si>
    <t>Parahumandle – design workbook</t>
  </si>
  <si>
    <t>What this is</t>
  </si>
  <si>
    <t>Sortable/updatable version of the design outline for a daily guess-the-cape game for Worm and Ward (modeled on Eldendle).</t>
  </si>
  <si>
    <t>Where to edit</t>
  </si>
  <si>
    <t>Blue text on yellow = cells meant for you to edit (Settings inputs, Roadmap status, Open Questions decisions). Roster rows are fully editable; columns P–Q are formulas, don't overwrite.</t>
  </si>
  <si>
    <t>Roster</t>
  </si>
  <si>
    <t>Sheet 'Roster' holds up to 700 capes, sorted A–Z. Rows come from (a) your full uploaded parahumanList.xlsx ('People' tab; 9 placeholder rows named 'Unknown' skipped; 'Copy of People' is a subset and was ignored) and (b) a Worm Wiki seed list (power class/rating) for Endbringers, Scion, Dragon and any cape missing from the sheet. Raw sheet values are kept in columns S–X.</t>
  </si>
  <si>
    <t>Reference sheet</t>
  </si>
  <si>
    <t>Character_Reference_Sheet_from_Wiki.pdf (Worm Wiki) was parsed and merged: it fills Disposition (final identity for multi-identity capes, e.g. Skitter/Weaver/Khepri → Hero), Type (Case 53, Endbringer, Entity/AI), Team (first current group), Status, and missing power classes, and adds capes absent from your sheet. Reference wins for Disposition and non-Human Type; existing values are kept for Status/Team/Power class when they conflict. Every change is in the 'Reference Merge Log' sheet. Capes in the reference without a known work get Series 'Canon (unspecified)'. Gender is not in the reference.</t>
  </si>
  <si>
    <t>Import rules</t>
  </si>
  <si>
    <t>Status: 'Killed…'/'Dead'/'Implied killed' → Dead (uncertain '?' ones flagged); 'Alive' → Alive; 'Alive' → Alive; anything else (e.g. 'In Time Out', 'Imprisoned', 'Trapped by Gray Boy', 'Ambiguous') left blank for review. Team = sheet Affiliation ('Independent' → 'No team'; slash entries flagged). Series from Origin (Worm/Ward/Glow-Worm→Ward); PRT Quest and Lausanne RP capes get blank Series and are excluded from the answer pool. Primary power class = first class named; others go to Hybrid column; 'Shifter' → Changer. Sheet values override my earlier wiki seed where both exist.</t>
  </si>
  <si>
    <t>Sorting</t>
  </si>
  <si>
    <t>Use the filter arrows on Roster. Sort on any column, including 'Fields filled' to find incomplete rows. Sorting is safe: formulas only reference their own row.</t>
  </si>
  <si>
    <t>Assumptions made</t>
  </si>
  <si>
    <t>1) Added a fifth Type value 'Other (Entity/AI)' for Scion, Dragon etc., since the spec's four types don't cover them. 2) Max guesses = clues + 1 (7). 3) Answer pool target 150–250 capes, ~300 on classification page (approximate). 4) Primary power class = first-listed class on the wiki page. 5) Disposition, gender, spoiler level not in the sheet – left blank. Where the sheet had none, status/team/class are blank too. 6) Titan roster unverified.</t>
  </si>
  <si>
    <t>Sources</t>
  </si>
  <si>
    <t>Worm Wiki (worm.fandom.com), parahumans.wordpress.com (Worm), parahumans.net (Ward). Wiki text is CC-BY-SA – keep attribution.</t>
  </si>
  <si>
    <t>Cape name</t>
  </si>
  <si>
    <t>Aliases</t>
  </si>
  <si>
    <t>Series</t>
  </si>
  <si>
    <t>Disposition (final)</t>
  </si>
  <si>
    <t>Type</t>
  </si>
  <si>
    <t>Gender</t>
  </si>
  <si>
    <t>Status (end of Ward)</t>
  </si>
  <si>
    <t>Team (last known, or 'No team')</t>
  </si>
  <si>
    <t>Power class (primary)</t>
  </si>
  <si>
    <t>Hybrid / sub-ratings</t>
  </si>
  <si>
    <t>PRT rating (as listed)</t>
  </si>
  <si>
    <t>Disputed rating? (Y/N)</t>
  </si>
  <si>
    <t>Spoiler level (1-3)</t>
  </si>
  <si>
    <t>Source URL</t>
  </si>
  <si>
    <t>Notes</t>
  </si>
  <si>
    <t>Fields filled (of 6)</t>
  </si>
  <si>
    <t>Answer-pool eligible</t>
  </si>
  <si>
    <t>Data status</t>
  </si>
  <si>
    <t>Civilian name</t>
  </si>
  <si>
    <t>Power description</t>
  </si>
  <si>
    <t>Affiliation (raw, from sheet)</t>
  </si>
  <si>
    <t>Status (raw, from sheet)</t>
  </si>
  <si>
    <t>Origin (raw, from sheet)</t>
  </si>
  <si>
    <t>First mentioned</t>
  </si>
  <si>
    <t>Disposition/Gender/Type provenance</t>
  </si>
  <si>
    <t>Accord</t>
  </si>
  <si>
    <t>Worm</t>
  </si>
  <si>
    <t>Villain</t>
  </si>
  <si>
    <t>Human</t>
  </si>
  <si>
    <t>Male</t>
  </si>
  <si>
    <t>Dead</t>
  </si>
  <si>
    <t>Ambassadors</t>
  </si>
  <si>
    <t>Thinker</t>
  </si>
  <si>
    <t>https://docs.google.com/spreadsheets/d/1ERsmPxZ5bO6PD5W5d_Rxg9dEhnz8JxZaNLQr0HtjqcE (parahumanList.xlsx upload) ; https://worm.fandom.com/wiki/Character_Reference_Sheet (PDF upload)</t>
  </si>
  <si>
    <t>Imported from user sheet</t>
  </si>
  <si>
    <t>Makes plans. Better as more complex</t>
  </si>
  <si>
    <t>The Ambassadors</t>
  </si>
  <si>
    <t>Killed by Perdition</t>
  </si>
  <si>
    <t>Gender: from memory of canon (verify on wiki); Type: default Human – no Case 53/Endbringer/Titan indicator found (verify); Reference sheet: Disposition</t>
  </si>
  <si>
    <t>Acidbath</t>
  </si>
  <si>
    <t>Alive</t>
  </si>
  <si>
    <t>No team</t>
  </si>
  <si>
    <t>Breaker</t>
  </si>
  <si>
    <t>Changer, Blaster, Striker, Mover</t>
  </si>
  <si>
    <t>Breaker/Changer (Blaster, Striker &amp; Mover Sub powers)</t>
  </si>
  <si>
    <t>Could turn into, sling blasts of, &amp; move as tidal wave of acid</t>
  </si>
  <si>
    <t>Independent</t>
  </si>
  <si>
    <t>Reference sheet: Disposition, Status</t>
  </si>
  <si>
    <t>Acoustic</t>
  </si>
  <si>
    <t>https://docs.google.com/spreadsheets/d/1ERsmPxZ5bO6PD5W5d_Rxg9dEhnz8JxZaNLQr0HtjqcE (parahumanList.xlsx upload)</t>
  </si>
  <si>
    <t>Killed by Leviathan</t>
  </si>
  <si>
    <t>8.02</t>
  </si>
  <si>
    <t>Adalid</t>
  </si>
  <si>
    <t>Canon (unspecified)</t>
  </si>
  <si>
    <t>Mover</t>
  </si>
  <si>
    <t>Brute</t>
  </si>
  <si>
    <t>Mover Brute</t>
  </si>
  <si>
    <t>Reference sheet: Series</t>
  </si>
  <si>
    <t>Adamant</t>
  </si>
  <si>
    <t>Hero</t>
  </si>
  <si>
    <t>Protectorate</t>
  </si>
  <si>
    <t>Striker</t>
  </si>
  <si>
    <t>Striker/Brute</t>
  </si>
  <si>
    <t>A metallokinetic that can manipulate armor and weapons, making him mobile in heavy plate and deflecting metal attacks away from him.</t>
  </si>
  <si>
    <t>Reference sheet: Disposition, Status, Power class; Gender: pronouns in sheet text</t>
  </si>
  <si>
    <t>Aegis</t>
  </si>
  <si>
    <t>Wards</t>
  </si>
  <si>
    <t>Brute Mover</t>
  </si>
  <si>
    <t>Carlos</t>
  </si>
  <si>
    <t>Redundant biology, operating at peak capacity so long as alive, possessed of flight and ability to use body with no fear of self harm.</t>
  </si>
  <si>
    <t>Interlude 2</t>
  </si>
  <si>
    <t>Gender: from memory of canon (verify on wiki); Disposition: final status per memory of canon/affiliation (verify on wiki); Type: default Human – no Case 53/Endbringer/Titan indicator found (verify)</t>
  </si>
  <si>
    <t>Agnes Court</t>
  </si>
  <si>
    <t>The Elite</t>
  </si>
  <si>
    <t>Shaker</t>
  </si>
  <si>
    <t>Creates organic structures that grow exponentially and harden to a stone-like substance</t>
  </si>
  <si>
    <t>Elite</t>
  </si>
  <si>
    <t>Reference sheet: Disposition, Status, Power class</t>
  </si>
  <si>
    <t>Alabaster</t>
  </si>
  <si>
    <t>Empire Eighty-Eight</t>
  </si>
  <si>
    <t>Status needs review: 'In Time Out'</t>
  </si>
  <si>
    <t>Restored to perfect condition every 4.3 sec</t>
  </si>
  <si>
    <t>E88</t>
  </si>
  <si>
    <t>In Time Out</t>
  </si>
  <si>
    <t>Gender: from memory of canon (verify on wiki); Disposition: final status per memory of canon/affiliation (verify on wiki); Type: default Human – no Case 53/Endbringer/Titan indicator found (verify); Reference sheet: Status</t>
  </si>
  <si>
    <t>Albatross</t>
  </si>
  <si>
    <t>Origin PRT Quest: not in the novels; excluded from answers (Series blank)</t>
  </si>
  <si>
    <t>Can fly, and cast out "bombs" that expel all gas from an area.</t>
  </si>
  <si>
    <t>PRT Quest</t>
  </si>
  <si>
    <t>Alexandria</t>
  </si>
  <si>
    <t>Female</t>
  </si>
  <si>
    <t>Mover, Thinker</t>
  </si>
  <si>
    <t>Brute Mover Thinker</t>
  </si>
  <si>
    <t>https://docs.google.com/spreadsheets/d/1ERsmPxZ5bO6PD5W5d_Rxg9dEhnz8JxZaNLQr0HtjqcE (parahumanList.xlsx upload) ; https://worm.fandom.com/wiki/Power_Classifications ; https://worm.fandom.com/wiki/Character_Reference_Sheet (PDF upload)</t>
  </si>
  <si>
    <t>Power class sourced; Multiple affiliations – choose last known team</t>
  </si>
  <si>
    <t>Imported from user sheet; merged with Worm Wiki seed</t>
  </si>
  <si>
    <t>Rebecca Costa Brown</t>
  </si>
  <si>
    <t>Invincibility via. body in stasis, flight and vastly enhanced strength, with perfect eidetic recall and consequent mastery of many skills</t>
  </si>
  <si>
    <t>Protectorate/Cauldron</t>
  </si>
  <si>
    <t>Killed by Skitter, body puppeted by Pretender</t>
  </si>
  <si>
    <t>Gender: from memory of canon (verify on wiki); Disposition: final status per memory of canon/affiliation (verify on wiki); Type: default Human – no Case 53/Endbringer/Titan indicator found (verify); Reference sheet: Team</t>
  </si>
  <si>
    <t>Allfather</t>
  </si>
  <si>
    <t>Blaster</t>
  </si>
  <si>
    <t>Richard Anders</t>
  </si>
  <si>
    <t>Created mid-air portals from which to launch volleys of weapons</t>
  </si>
  <si>
    <t>Andrew Richter</t>
  </si>
  <si>
    <t>Tinker</t>
  </si>
  <si>
    <t>https://worm.fandom.com/wiki/Character_Reference_Sheet (PDF upload)</t>
  </si>
  <si>
    <t>Added from Character Reference Sheet</t>
  </si>
  <si>
    <t>Reference sheet: disposition, status</t>
  </si>
  <si>
    <t>Anelace</t>
  </si>
  <si>
    <t>Ward</t>
  </si>
  <si>
    <t>Foresight</t>
  </si>
  <si>
    <t>2.01</t>
  </si>
  <si>
    <t>Animos</t>
  </si>
  <si>
    <t>The Teeth</t>
  </si>
  <si>
    <t>Trump</t>
  </si>
  <si>
    <t>Trump Blaster</t>
  </si>
  <si>
    <t>Limited time transformation and power nullification</t>
  </si>
  <si>
    <t>Reference sheet: Disposition</t>
  </si>
  <si>
    <t>Annette Rose | Hebert</t>
  </si>
  <si>
    <t>-</t>
  </si>
  <si>
    <t>None</t>
  </si>
  <si>
    <t>only qualified alignments in reference: Civilian</t>
  </si>
  <si>
    <t>Reference sheet: team, status; Gender: from memory of canon / civilian name (verify on wiki)</t>
  </si>
  <si>
    <t>Annex</t>
  </si>
  <si>
    <t>Breaker Shaker</t>
  </si>
  <si>
    <t>Kirk</t>
  </si>
  <si>
    <t>Can meld with inorganic material and reshape it</t>
  </si>
  <si>
    <t>Anomaly</t>
  </si>
  <si>
    <t>Creates spheres with intense gravity wells</t>
  </si>
  <si>
    <t>Apotheosis</t>
  </si>
  <si>
    <t>Haven</t>
  </si>
  <si>
    <t>Reference sheet: Disposition, Team</t>
  </si>
  <si>
    <t>Appraiser</t>
  </si>
  <si>
    <t>Thinker capable of assigning threats with colors depending on severity.</t>
  </si>
  <si>
    <t>Arash</t>
  </si>
  <si>
    <t>Mythics</t>
  </si>
  <si>
    <t>Reference sheet: disposition, team</t>
  </si>
  <si>
    <t>Arbiter</t>
  </si>
  <si>
    <t>Blaster, Shaker</t>
  </si>
  <si>
    <t>Thinker Blaster Shaker</t>
  </si>
  <si>
    <t>Kim Mecham</t>
  </si>
  <si>
    <t>Danger sense, and can determine threat level of those surrounding an individual based on color. Can also produce forcefields and sonic beams</t>
  </si>
  <si>
    <t>Gender: from memory of canon (verify on wiki); Disposition: final status per memory of canon/affiliation (verify on wiki); Type: default Human – no Case 53/Endbringer/Titan indicator found (verify); Reference sheet: Series</t>
  </si>
  <si>
    <t>Armada</t>
  </si>
  <si>
    <t>Origin Lausanne RP: not in the novels; excluded from answers (Series blank)</t>
  </si>
  <si>
    <t>Robert Pelle</t>
  </si>
  <si>
    <t>Specialty in copy paste robotic soldiers.</t>
  </si>
  <si>
    <t>Lausanne RP</t>
  </si>
  <si>
    <t>Gender: from memory of canon (verify on wiki); Type: default Human – no Case 53/Endbringer/Titan indicator found (verify)</t>
  </si>
  <si>
    <t>Armsmaster</t>
  </si>
  <si>
    <t>Defiant</t>
  </si>
  <si>
    <t>Colin Wallis</t>
  </si>
  <si>
    <t>Expert at condensing and efficient technology</t>
  </si>
  <si>
    <t>1.06</t>
  </si>
  <si>
    <t>Arthwys</t>
  </si>
  <si>
    <t>Ascendant</t>
  </si>
  <si>
    <t>D. J. Lampkin</t>
  </si>
  <si>
    <t>Type: default Human – no Case 53/Endbringer/Titan indicator found (verify); Reference sheet: Disposition, Team</t>
  </si>
  <si>
    <t>Ash Beast</t>
  </si>
  <si>
    <t>Changer</t>
  </si>
  <si>
    <t>Breaker Changer</t>
  </si>
  <si>
    <t>Shapeshifting beast form generated through constant matter to energy and energy to matter conversion</t>
  </si>
  <si>
    <t>Killed by Zion</t>
  </si>
  <si>
    <t>Assault</t>
  </si>
  <si>
    <t>Madcap</t>
  </si>
  <si>
    <t>Striker 7</t>
  </si>
  <si>
    <t>Ethan</t>
  </si>
  <si>
    <t>Manipulates kinetic energy.</t>
  </si>
  <si>
    <t>3.05</t>
  </si>
  <si>
    <t>Astrologer</t>
  </si>
  <si>
    <t>Reference sheet: Disposition, Series</t>
  </si>
  <si>
    <t>August Prince</t>
  </si>
  <si>
    <t>Bambina's Crew</t>
  </si>
  <si>
    <t>Master</t>
  </si>
  <si>
    <t>Stranger</t>
  </si>
  <si>
    <t>Master/Stranger 3</t>
  </si>
  <si>
    <t>Passive aura preventing others from directly harming him</t>
  </si>
  <si>
    <t>Bambina</t>
  </si>
  <si>
    <t>Gender: pronouns in sheet text; Type: default Human – no Case 53/Endbringer/Titan indicator found (verify); Reference sheet: Disposition</t>
  </si>
  <si>
    <t>Auroch</t>
  </si>
  <si>
    <t>Shaker, Striker, Mover</t>
  </si>
  <si>
    <t>Brute 2 Shaker 3 Striker 2 Mover 2</t>
  </si>
  <si>
    <t>Charley nCothra</t>
  </si>
  <si>
    <t>Aura effect manipulates inertia in radius around herself, with positive bias for herself.</t>
  </si>
  <si>
    <t>Gender: pronouns in sheet text; Type: default Human – no Case 53/Endbringer/Titan indicator found (verify)</t>
  </si>
  <si>
    <t>Bahu</t>
  </si>
  <si>
    <t>Thanda</t>
  </si>
  <si>
    <t>Bakuda</t>
  </si>
  <si>
    <t>Azn Bad Boys</t>
  </si>
  <si>
    <t>Tinker 6</t>
  </si>
  <si>
    <t>https://docs.google.com/spreadsheets/d/1ERsmPxZ5bO6PD5W5d_Rxg9dEhnz8JxZaNLQr0HtjqcE (parahumanList.xlsx upload) ; https://worm.fandom.com/wiki/Power_Classifications</t>
  </si>
  <si>
    <t>Expert on bombs</t>
  </si>
  <si>
    <t>ABB</t>
  </si>
  <si>
    <t>Killed by Lung, kept as shade</t>
  </si>
  <si>
    <t>Ballistic</t>
  </si>
  <si>
    <t>Travelers</t>
  </si>
  <si>
    <t>Striker/Blaster</t>
  </si>
  <si>
    <t>Luke Brito</t>
  </si>
  <si>
    <t>Imbues kinetic energy on touched objects</t>
  </si>
  <si>
    <t>6.01</t>
  </si>
  <si>
    <t>Gender: from memory of canon (verify on wiki); Type: default Human – no Case 53/Endbringer/Titan indicator found (verify); Reference sheet: Disposition, Status</t>
  </si>
  <si>
    <t>Mover 4 Shaker 4</t>
  </si>
  <si>
    <t>Launches at high speeds, ricochets with resulting explosions on impacts, for multiple impacts per launch.  Enhanced balance/agility.</t>
  </si>
  <si>
    <t>8.01</t>
  </si>
  <si>
    <t>Barker</t>
  </si>
  <si>
    <t>Coil's Organization</t>
  </si>
  <si>
    <t>Multiple affiliations – choose last known team</t>
  </si>
  <si>
    <t>Converts utterances to an energy that can then be converted into a variety of effects, including concussive force and flame.</t>
  </si>
  <si>
    <t>Undersiders/Bitch</t>
  </si>
  <si>
    <t>2.02</t>
  </si>
  <si>
    <t>Reference sheet: Disposition, Status, Team, Power class</t>
  </si>
  <si>
    <t>Barrow</t>
  </si>
  <si>
    <t>Lost Garden</t>
  </si>
  <si>
    <t>Slowly replaces environment within a fair radius with an otherworldly forest. Cannot move beyond forest effect, but can extend radius by standing at perimeter.</t>
  </si>
  <si>
    <t>Bastard Son</t>
  </si>
  <si>
    <t>Master/Trump</t>
  </si>
  <si>
    <t>Bastion</t>
  </si>
  <si>
    <t>Mover Breaker</t>
  </si>
  <si>
    <t>Can create forcefields and deflectors</t>
  </si>
  <si>
    <t>Disposition: final status per memory of canon/affiliation (verify on wiki); Reference sheet: Status</t>
  </si>
  <si>
    <t>Battery</t>
  </si>
  <si>
    <t>Mover 4</t>
  </si>
  <si>
    <t>"Charges" herself up with immobility to grant enhanced speed, reflexes, strength, and electromagnetic telekinesis</t>
  </si>
  <si>
    <t>Killed by Bonesaw</t>
  </si>
  <si>
    <t>Gender: pronouns in sheet text; Disposition: final status per memory of canon/affiliation (verify on wiki); Type: default Human – no Case 53/Endbringer/Titan indicator found (verify)</t>
  </si>
  <si>
    <t>Bauble</t>
  </si>
  <si>
    <t>Rogue</t>
  </si>
  <si>
    <t>Toybox</t>
  </si>
  <si>
    <t>Specialist in glasswork</t>
  </si>
  <si>
    <t>Bearach</t>
  </si>
  <si>
    <t>Beast of Burden</t>
  </si>
  <si>
    <t>1.x</t>
  </si>
  <si>
    <t>Behemoth</t>
  </si>
  <si>
    <t>Hadhayosh; Prathama</t>
  </si>
  <si>
    <t>Endbringer</t>
  </si>
  <si>
    <t>Brute 10</t>
  </si>
  <si>
    <t>https://worm.fandom.com/wiki/Power_Classifications ; https://worm.fandom.com/wiki/Character_Reference_Sheet (PDF upload)</t>
  </si>
  <si>
    <t>Power class/rating from Worm Wiki; other fields to verify</t>
  </si>
  <si>
    <t>Reference sheet: Status, Series</t>
  </si>
  <si>
    <t>Beowulf</t>
  </si>
  <si>
    <t>Four of Swords</t>
  </si>
  <si>
    <t>The Suits</t>
  </si>
  <si>
    <t>Imbues weapons and armor with energy, powering them up over time.</t>
  </si>
  <si>
    <t>Suits</t>
  </si>
  <si>
    <t>Big Picture</t>
  </si>
  <si>
    <t>Can duplicate self to study all available angles/details; includes slowed perception.</t>
  </si>
  <si>
    <t>2.x</t>
  </si>
  <si>
    <t>Big Rig</t>
  </si>
  <si>
    <t>Focus on construction drones, specialization in buildings</t>
  </si>
  <si>
    <t>Bilious</t>
  </si>
  <si>
    <t>1.01</t>
  </si>
  <si>
    <t>Bitch</t>
  </si>
  <si>
    <t>Hellhound</t>
  </si>
  <si>
    <t>Undersiders</t>
  </si>
  <si>
    <t>Master 5 Striker 5</t>
  </si>
  <si>
    <t>Rachel Lindt</t>
  </si>
  <si>
    <t>Can morph dogs into massive monsters</t>
  </si>
  <si>
    <t>1.05</t>
  </si>
  <si>
    <t>Biter</t>
  </si>
  <si>
    <t>Distorts the size of individual body parts</t>
  </si>
  <si>
    <t>Bitter Pill</t>
  </si>
  <si>
    <t>Black Kaze</t>
  </si>
  <si>
    <t>Mover/Striker</t>
  </si>
  <si>
    <t>Teleported, with momentary existence in all spaces between departure and arrival, allowing katana strikes at intervening foes</t>
  </si>
  <si>
    <t>Blasphemies</t>
  </si>
  <si>
    <t>Themselves</t>
  </si>
  <si>
    <t>?</t>
  </si>
  <si>
    <t>Reference sheet: disposition, team, status</t>
  </si>
  <si>
    <t>Blasto</t>
  </si>
  <si>
    <t>Master, Changer, Brute</t>
  </si>
  <si>
    <t>Tinker 6 Master 5 Shifter 2 Brute 2</t>
  </si>
  <si>
    <t>Rey Andino</t>
  </si>
  <si>
    <t>Expert with plant-animal hybrids</t>
  </si>
  <si>
    <t>Blindside</t>
  </si>
  <si>
    <t>Power prevents outside contact, including sight and touch, physically affecting others' bodies to prevent interaction.</t>
  </si>
  <si>
    <t>1.04</t>
  </si>
  <si>
    <t>Blister</t>
  </si>
  <si>
    <t>Shaker/Master</t>
  </si>
  <si>
    <t>Louis Villareal</t>
  </si>
  <si>
    <t>Forms bulges of space, which pop when approached, revealing Blister duplicates.</t>
  </si>
  <si>
    <t>Blowout</t>
  </si>
  <si>
    <t>Striker/Master</t>
  </si>
  <si>
    <t>Telekinetically enhanced strength. Also capable of stunning/slowing his enemies.</t>
  </si>
  <si>
    <t>Reference sheet: Disposition, Power class, Series; Gender: pronouns in sheet text</t>
  </si>
  <si>
    <t>Blue Bomber</t>
  </si>
  <si>
    <t>Changer/Brute</t>
  </si>
  <si>
    <t>Dexter Schucandy</t>
  </si>
  <si>
    <t>Can shift between different forms, including tall and rubbery, thin and metallic, and muscular and brutish.</t>
  </si>
  <si>
    <t>Blueblood</t>
  </si>
  <si>
    <t>Bohu</t>
  </si>
  <si>
    <t>only qualified alignments in reference: Endbringer</t>
  </si>
  <si>
    <t>Endbringers</t>
  </si>
  <si>
    <t>Dormant</t>
  </si>
  <si>
    <t>Reference sheet: type, status</t>
  </si>
  <si>
    <t>Bonesaw</t>
  </si>
  <si>
    <t>Slaughterhouse Nine</t>
  </si>
  <si>
    <t>Riley</t>
  </si>
  <si>
    <t>Expert with biology and anatomy, including medicinal tools</t>
  </si>
  <si>
    <t>Slaughterhouse 9</t>
  </si>
  <si>
    <t>Boundless</t>
  </si>
  <si>
    <t>Reach</t>
  </si>
  <si>
    <t>Glow-Worm</t>
  </si>
  <si>
    <t>P.2</t>
  </si>
  <si>
    <t>Brandish</t>
  </si>
  <si>
    <t>New Wave</t>
  </si>
  <si>
    <t>Striker 5 Changer 1</t>
  </si>
  <si>
    <t>Carol Dallon</t>
  </si>
  <si>
    <t>Makes energy weapons and can turn into a near invulnerable sphere</t>
  </si>
  <si>
    <t>Brazier</t>
  </si>
  <si>
    <t>Reference sheet: Disposition, Team, Series</t>
  </si>
  <si>
    <t>Breed</t>
  </si>
  <si>
    <t>Creates small lifeforms that inhabit corpses, grow and become more dangerous over time/after eating</t>
  </si>
  <si>
    <t>Brickhaus</t>
  </si>
  <si>
    <t>Case 53</t>
  </si>
  <si>
    <t>Irregulars</t>
  </si>
  <si>
    <t>Reference sheet: Disposition, Type, Series</t>
  </si>
  <si>
    <t>Brigandine</t>
  </si>
  <si>
    <t>Morgan Soto</t>
  </si>
  <si>
    <t>Type: default Human – no Case 53/Endbringer/Titan indicator found (verify)</t>
  </si>
  <si>
    <t>Browbeat</t>
  </si>
  <si>
    <t>Point blank telekinesis and personal biokinesis for personal healing and self alteration.</t>
  </si>
  <si>
    <t>Independent/Wards</t>
  </si>
  <si>
    <t>Killed by Echidna</t>
  </si>
  <si>
    <t>3.08</t>
  </si>
  <si>
    <t>Burnscar</t>
  </si>
  <si>
    <t>Blaster/Mover</t>
  </si>
  <si>
    <t>Mimi</t>
  </si>
  <si>
    <t>Pyrokinetic, can teleport through flames. More fire=less sanity</t>
  </si>
  <si>
    <t>Killed by Grue</t>
  </si>
  <si>
    <t>Type: default Human – no Case 53/Endbringer/Titan indicator found (verify); Reference sheet: Disposition, Power class; Gender: from memory of canon / civilian name (verify on wiki)</t>
  </si>
  <si>
    <t>Butcher</t>
  </si>
  <si>
    <t>Shaker, Trump</t>
  </si>
  <si>
    <t>Brute/Shaker/Trump</t>
  </si>
  <si>
    <t>Super strength and could inflict agony at range</t>
  </si>
  <si>
    <t>Reference sheet: Disposition, Power class</t>
  </si>
  <si>
    <t>Butcher II</t>
  </si>
  <si>
    <t>All former Butcher abilities, could see blood vessels through walls</t>
  </si>
  <si>
    <t>Butcher III</t>
  </si>
  <si>
    <t>All former Butcher powers, had danger sense and super strength</t>
  </si>
  <si>
    <t>Butcher IV</t>
  </si>
  <si>
    <t>All former Butcher powers. Inflicted wounds would fester and rot</t>
  </si>
  <si>
    <t>Butcher IX</t>
  </si>
  <si>
    <t>All former Butcher powers, along with super strength and rage aura</t>
  </si>
  <si>
    <t>Butcher VI</t>
  </si>
  <si>
    <t>All former Butcher powers, could teleport with an explosion at the emergence site</t>
  </si>
  <si>
    <t>Butcher VIII</t>
  </si>
  <si>
    <t>All former Butcher powers, and could manipulate earth and sand</t>
  </si>
  <si>
    <t>Butcher XI</t>
  </si>
  <si>
    <t>All former Butcher powers, along with super strength</t>
  </si>
  <si>
    <t>Butcher XII</t>
  </si>
  <si>
    <t>All former Butcher powers, could ignore pain and had enhanced durability</t>
  </si>
  <si>
    <t>Butcher XIII</t>
  </si>
  <si>
    <t>Butcher XIV</t>
  </si>
  <si>
    <t>Quarrel</t>
  </si>
  <si>
    <t>All former Butcher abilites, can guarantee attacks hit</t>
  </si>
  <si>
    <t>Killed by Cherish</t>
  </si>
  <si>
    <t>Cache</t>
  </si>
  <si>
    <t>Can store/retrieve items and individuals in pocket dimension</t>
  </si>
  <si>
    <t>Cadence</t>
  </si>
  <si>
    <t>Tuurngait</t>
  </si>
  <si>
    <t>Utilizes vibrations to create horrifying illusions to those within range</t>
  </si>
  <si>
    <t>Califa de Perro</t>
  </si>
  <si>
    <t>Super strength and agility augmented with point blank aerokinesis</t>
  </si>
  <si>
    <t>Camion</t>
  </si>
  <si>
    <t>Creates a variety of vehicles, from hovercars to personal aircraft.</t>
  </si>
  <si>
    <t>Campanile</t>
  </si>
  <si>
    <t>Giant growth with gravity altering aura.</t>
  </si>
  <si>
    <t>Canary</t>
  </si>
  <si>
    <t>Master 8</t>
  </si>
  <si>
    <t>Paige Mcabee</t>
  </si>
  <si>
    <t>Can infuse voice with power, forcing those listening to feel or obey what she wishes</t>
  </si>
  <si>
    <t>Interlude 6</t>
  </si>
  <si>
    <t>Gender: pronouns in sheet text; Disposition: final status per memory of canon/affiliation (verify on wiki); Type: default Human – no Case 53/Endbringer/Titan indicator found (verify); Reference sheet: Status</t>
  </si>
  <si>
    <t>Capricorn</t>
  </si>
  <si>
    <t>Tristan</t>
  </si>
  <si>
    <t>Type: default Human – no Case 53/Endbringer/Titan indicator found (verify); Gender: from memory of canon / civilian name (verify on wiki)</t>
  </si>
  <si>
    <t>Carapacitor</t>
  </si>
  <si>
    <t>Carnal</t>
  </si>
  <si>
    <t>Durable healer that accelerates healing by bathing in blood</t>
  </si>
  <si>
    <t>11.h</t>
  </si>
  <si>
    <t>Cascade</t>
  </si>
  <si>
    <t>The Urchins</t>
  </si>
  <si>
    <t>Gravity manipulation, variable with mass of effected object.</t>
  </si>
  <si>
    <t>Cask</t>
  </si>
  <si>
    <t>Blaster, Brute, Master, Trump</t>
  </si>
  <si>
    <t>Tinker 5 Blaster 1 Brute 2* Master 1 Trump 2</t>
  </si>
  <si>
    <t>Lawrence Baston</t>
  </si>
  <si>
    <t>Produces chemical mixtures with a range of healing, transformative, deleterious and physical/mental altering qualities. Limited ammounts at a time</t>
  </si>
  <si>
    <t>Chain Man</t>
  </si>
  <si>
    <t>Challenger</t>
  </si>
  <si>
    <t>Chariot</t>
  </si>
  <si>
    <t>Trevor Medina</t>
  </si>
  <si>
    <t>Tinker, produced devices, suits and vehicles relating to movement and teleportation</t>
  </si>
  <si>
    <t>Wards/Coil</t>
  </si>
  <si>
    <t>9.4</t>
  </si>
  <si>
    <t>Gender: from memory of canon (verify on wiki); Type: default Human – no Case 53/Endbringer/Titan indicator found (verify); Reference sheet: Disposition, Status, Team</t>
  </si>
  <si>
    <t>Cherish</t>
  </si>
  <si>
    <t>Butcher XV</t>
  </si>
  <si>
    <t>Cherie Vasil</t>
  </si>
  <si>
    <t>Can manipulate/sense emotions. Later gained all former Butcher Powers</t>
  </si>
  <si>
    <t>11.g</t>
  </si>
  <si>
    <t>Chevalier</t>
  </si>
  <si>
    <t>Can combine similar items, giving resulting item select qualities of different 'parent' items</t>
  </si>
  <si>
    <t>Protectorate/Wardens</t>
  </si>
  <si>
    <t>Interlude 5</t>
  </si>
  <si>
    <t>Gender: from memory of canon (verify on wiki); Disposition: final status per memory of canon/affiliation (verify on wiki); Type: default Human – no Case 53/Endbringer/Titan indicator found (verify); Reference sheet: Status, Team</t>
  </si>
  <si>
    <t>Chopshop</t>
  </si>
  <si>
    <t>Derian</t>
  </si>
  <si>
    <t>Tinker, macro specialization. Bigger it is, better it works. Materials &amp; time are only limitation.</t>
  </si>
  <si>
    <t>Chronicler</t>
  </si>
  <si>
    <t>Can create solid mirrors of past events, potentially multiplying attack effectiveness. Also flies</t>
  </si>
  <si>
    <t>Reference sheet: Disposition, Power class, Series</t>
  </si>
  <si>
    <t>Chubster</t>
  </si>
  <si>
    <t>Ben Cothran</t>
  </si>
  <si>
    <t>Gained durability and ambient momentum dampening effect at will, tied to consequent loss of mobility.</t>
  </si>
  <si>
    <t>8.3</t>
  </si>
  <si>
    <t>Gender: from memory of canon (verify on wiki); Type: default Human – no Case 53/Endbringer/Titan indicator found (verify); Reference sheet: Disposition, Team</t>
  </si>
  <si>
    <t>Chuckles</t>
  </si>
  <si>
    <t>Super speed in head and legs. Super strength in chest and arms.</t>
  </si>
  <si>
    <t>Cinderhands</t>
  </si>
  <si>
    <t>Marquis</t>
  </si>
  <si>
    <t>Pyrokinetic</t>
  </si>
  <si>
    <t>Cinereal</t>
  </si>
  <si>
    <t>Shaker, Breaker, Mover</t>
  </si>
  <si>
    <t>Blaster/Shaker/Breaker/Mover</t>
  </si>
  <si>
    <t>Creates plumes of dense, clinging ash, that can be incinerated at will - can travel through or reform from ash</t>
  </si>
  <si>
    <t>Circus</t>
  </si>
  <si>
    <t>Nonbinary</t>
  </si>
  <si>
    <t>Striker, Thinker</t>
  </si>
  <si>
    <t>Stranger/Striker/Thinker</t>
  </si>
  <si>
    <t>Type/Team/Power class provided by you</t>
  </si>
  <si>
    <t>Many weaker powers, including balance, personal pocket dimension, and pyrokinesis if flame is available</t>
  </si>
  <si>
    <t>Independent/Coil</t>
  </si>
  <si>
    <t>2.06</t>
  </si>
  <si>
    <t>Reference sheet: Disposition, Status, Power class; Gender: Nonbinary/genderfluid – provided by you</t>
  </si>
  <si>
    <t>Citrine</t>
  </si>
  <si>
    <t>Shaker Trump</t>
  </si>
  <si>
    <t>Altered reality in a small area, adjusting physics or natural laws.  Could attune 'frequency' to diminish or disrupt a parahuman's powers, with perfect frequency killing them.</t>
  </si>
  <si>
    <t>Clairvoyant</t>
  </si>
  <si>
    <t>Cauldron</t>
  </si>
  <si>
    <t>Thinker/Striker</t>
  </si>
  <si>
    <t>Reference sheet: team, status</t>
  </si>
  <si>
    <t>Clasp</t>
  </si>
  <si>
    <t>Clay</t>
  </si>
  <si>
    <t>Tinker, Striker</t>
  </si>
  <si>
    <t>Shaker 4 Tinker 1* Striker 1</t>
  </si>
  <si>
    <t>Jess Greiss</t>
  </si>
  <si>
    <t>Creates a spray of liquid forcefield that quickly hardens and can be formed into rough shapes</t>
  </si>
  <si>
    <t>Cleat</t>
  </si>
  <si>
    <t>2.07</t>
  </si>
  <si>
    <t>Clockblocker</t>
  </si>
  <si>
    <t>Dennis</t>
  </si>
  <si>
    <t>Freezes objects in spacetime with a touch for a random duration</t>
  </si>
  <si>
    <t>Killed by Zion, kept as shade</t>
  </si>
  <si>
    <t>3.02</t>
  </si>
  <si>
    <t>Cloister</t>
  </si>
  <si>
    <t>Mary Peet</t>
  </si>
  <si>
    <t>Type: default Human – no Case 53/Endbringer/Titan indicator found (verify); Reference sheet: Disposition, Team; Gender: from memory of canon / civilian name (verify on wiki)</t>
  </si>
  <si>
    <t>Codex</t>
  </si>
  <si>
    <t>Blaster Thinker</t>
  </si>
  <si>
    <t>Causes permanent brain damage while enhancing her own</t>
  </si>
  <si>
    <t>Coiffure</t>
  </si>
  <si>
    <t>Coil</t>
  </si>
  <si>
    <t>Thomas Calvert</t>
  </si>
  <si>
    <t>Can split timelines to attempt alternate strategies at will</t>
  </si>
  <si>
    <t>Killed by Skitter</t>
  </si>
  <si>
    <t>Contessa</t>
  </si>
  <si>
    <t>Thinker 10+ ("Run")</t>
  </si>
  <si>
    <t>Fortuna</t>
  </si>
  <si>
    <t>Is shown "Path to Victory" for any query she gives</t>
  </si>
  <si>
    <t>Gender: pronouns in sheet text; Type: default Human – no Case 53/Endbringer/Titan indicator found (verify); Reference sheet: Disposition, Status</t>
  </si>
  <si>
    <t>Countenance</t>
  </si>
  <si>
    <t>Coup De Grace</t>
  </si>
  <si>
    <t>Ace of Swords</t>
  </si>
  <si>
    <t>Hemokinetic, can move self with power.</t>
  </si>
  <si>
    <t>Cozen</t>
  </si>
  <si>
    <t>Red Hand</t>
  </si>
  <si>
    <t>Pocket dimension could stow/produce items and individuals at range, could act as very slow teleportation, only operated ideally when under minimal stress/undistracted.</t>
  </si>
  <si>
    <t>Crane the Harmonious</t>
  </si>
  <si>
    <t>Shaker Thinker</t>
  </si>
  <si>
    <t>Abigail Rowan-Sato</t>
  </si>
  <si>
    <t>Keen understanding of movement &amp; fighting styles, could learn &amp; teach the 'perfect style' for a given individual.  Floating orb redirected movement in vicinity.</t>
  </si>
  <si>
    <t>Cranial</t>
  </si>
  <si>
    <t>Focus on neurology</t>
  </si>
  <si>
    <t>Crawler</t>
  </si>
  <si>
    <t>Ned</t>
  </si>
  <si>
    <t>Powerful regeneration and gains personal adaptations in response to any damage taken.</t>
  </si>
  <si>
    <t>Killed by PRT</t>
  </si>
  <si>
    <t>Crested</t>
  </si>
  <si>
    <t>Cricket</t>
  </si>
  <si>
    <t>Vastly increased reflexes, personal sonar that could be keyed to disrupt others' senses</t>
  </si>
  <si>
    <t>7.08</t>
  </si>
  <si>
    <t>Crimson</t>
  </si>
  <si>
    <t>Enhances strength, durability, etc. by drinking blood of others</t>
  </si>
  <si>
    <t>Crucible</t>
  </si>
  <si>
    <t>Generates forcefields within which he can create infernos</t>
  </si>
  <si>
    <t>Gender: pronouns in sheet text; Type: default Human – no Case 53/Endbringer/Titan indicator found (verify); Reference sheet: Disposition, Series</t>
  </si>
  <si>
    <t>Crusader</t>
  </si>
  <si>
    <t>The Pure</t>
  </si>
  <si>
    <t>Master 6</t>
  </si>
  <si>
    <t>Justin</t>
  </si>
  <si>
    <t>Can create shades of himself to fight, lift himself.  Favorably manton limited as shades ignore inorganic matter, penetrating armor and passing through walls.</t>
  </si>
  <si>
    <t>E88/The Pure</t>
  </si>
  <si>
    <t>Gender: pronouns in sheet text; Disposition: final status per memory of canon/affiliation (verify on wiki); Type: default Human – no Case 53/Endbringer/Titan indicator found (verify); Reference sheet: Status, Team</t>
  </si>
  <si>
    <t>Crystalclear</t>
  </si>
  <si>
    <t>Norfair Neighborhood Heroes/Foresight</t>
  </si>
  <si>
    <t>Precog based on time based transparency vision (overlays). Also blaster power which phases through matter.</t>
  </si>
  <si>
    <t>1.02</t>
  </si>
  <si>
    <t>Cuff</t>
  </si>
  <si>
    <t>Ava</t>
  </si>
  <si>
    <t>Enhanced strength, durability, and metallokinesis, augmenting agility by manipulating own armor.</t>
  </si>
  <si>
    <t>The Custodian</t>
  </si>
  <si>
    <t>Master Breaker</t>
  </si>
  <si>
    <t>Nearly intangible, capable of affecting surroundings through mass self replication</t>
  </si>
  <si>
    <t>Daiichi</t>
  </si>
  <si>
    <t>Creates ghostly phantoms of himself capable of actions</t>
  </si>
  <si>
    <t>Killed by Contessa</t>
  </si>
  <si>
    <t>Damsel of Distress</t>
  </si>
  <si>
    <t>Mover Shaker</t>
  </si>
  <si>
    <t>Ashley Stillions</t>
  </si>
  <si>
    <t>High recoil 'shotgun' bursts of warped space, disintegration and gravity shearing destroy virtually anything, fling her back.  Can be used as mover power</t>
  </si>
  <si>
    <t>Independent/Slaughterhouse 9</t>
  </si>
  <si>
    <t>Killed by Defiant</t>
  </si>
  <si>
    <t>Gender: pronouns in sheet text; Disposition: final status per memory of canon/affiliation (verify on wiki); Type: default Human – no Case 53/Endbringer/Titan indicator found (verify); Reference sheet: Team</t>
  </si>
  <si>
    <t>Danger Zone</t>
  </si>
  <si>
    <t>Can see likelihood of people committing violence towards others.</t>
  </si>
  <si>
    <t>P.1</t>
  </si>
  <si>
    <t>Danny Hebert</t>
  </si>
  <si>
    <t>Reference sheet: team; Gender: from memory of canon / civilian name (verify on wiki)</t>
  </si>
  <si>
    <t>The Dart</t>
  </si>
  <si>
    <t>Reference sheet: Status</t>
  </si>
  <si>
    <t>Dauntless</t>
  </si>
  <si>
    <t>Striker Trump</t>
  </si>
  <si>
    <t>Can "charge" objects over time, giving them various powers</t>
  </si>
  <si>
    <t>The Dealer</t>
  </si>
  <si>
    <t>Cauldron (formerly)</t>
  </si>
  <si>
    <t>Reference sheet: disposition</t>
  </si>
  <si>
    <t>Deathadder</t>
  </si>
  <si>
    <t>Debaser</t>
  </si>
  <si>
    <t>Deva Yaga</t>
  </si>
  <si>
    <t>Saltykovkava Bratva</t>
  </si>
  <si>
    <t>Could alter other parahuman abilities, granting or removing power, range, effectiveness, duration, with minor costs on other fronts.</t>
  </si>
  <si>
    <t>Deviant</t>
  </si>
  <si>
    <t>Could manifest changes in response to damage taken, though would be away from point of damage.</t>
  </si>
  <si>
    <t>Killed by Upperhand</t>
  </si>
  <si>
    <t>Dido</t>
  </si>
  <si>
    <t>Auzure</t>
  </si>
  <si>
    <t>Dinah Alcott</t>
  </si>
  <si>
    <t>Precog who can determine various probabilites</t>
  </si>
  <si>
    <t>7.11</t>
  </si>
  <si>
    <t>Dispatch</t>
  </si>
  <si>
    <t>Shaker, Mover</t>
  </si>
  <si>
    <t>Brute, Shaker, Mover</t>
  </si>
  <si>
    <t>Creates time bubbles in which those inside move faster than those outside</t>
  </si>
  <si>
    <t>Dobrynja</t>
  </si>
  <si>
    <t>Dragonslayers</t>
  </si>
  <si>
    <t>Mischa</t>
  </si>
  <si>
    <t>Doctor Mother</t>
  </si>
  <si>
    <t>Reference sheet: disposition, team, status; Gender: from memory of canon / civilian name (verify on wiki)</t>
  </si>
  <si>
    <t>Dodge</t>
  </si>
  <si>
    <t>Made access devices for pocket dimensions</t>
  </si>
  <si>
    <t>Gender: from memory of canon (verify on wiki); Type: default Human – no Case 53/Endbringer/Titan indicator found (verify); Reference sheet: Disposition, Status, Series</t>
  </si>
  <si>
    <t>Dogwood</t>
  </si>
  <si>
    <t>Brute, Master</t>
  </si>
  <si>
    <t>Changer/Brute/Master</t>
  </si>
  <si>
    <t>Changer form grows an exterior shell of thick, heavy wood, turning him massive and powerful - can shed chunks of wood to form minions</t>
  </si>
  <si>
    <t>Gender: pronouns in sheet text</t>
  </si>
  <si>
    <t>Doormaker</t>
  </si>
  <si>
    <t>Able to open portals to any location in line of sight</t>
  </si>
  <si>
    <t>Killed, kept as shade</t>
  </si>
  <si>
    <t>Reference sheet: Power class</t>
  </si>
  <si>
    <t>Dovetail</t>
  </si>
  <si>
    <t>Mover/Shaker</t>
  </si>
  <si>
    <t>Flight, drops a 'rain' of forcefield pellets that accumulate and hamper those caught in her wake.</t>
  </si>
  <si>
    <t>Reference sheet: Disposition, Power class; Gender: pronouns in sheet text</t>
  </si>
  <si>
    <t>Dragon</t>
  </si>
  <si>
    <t>Other (Entity/AI)</t>
  </si>
  <si>
    <t>Guild</t>
  </si>
  <si>
    <t>Tinker, Trump</t>
  </si>
  <si>
    <t>AI – confirm Type handling (see Edge Cases); Multiple affiliations – choose last known team</t>
  </si>
  <si>
    <t>AI with the ability to replicate other Tinkers' work</t>
  </si>
  <si>
    <t>Protectorate/The Guild</t>
  </si>
  <si>
    <t>Gender: from memory of canon (verify on wiki); Disposition: final status per memory of canon/affiliation (verify on wiki); Reference sheet: Team</t>
  </si>
  <si>
    <t>Dredge</t>
  </si>
  <si>
    <t>Thinker 5</t>
  </si>
  <si>
    <t>Durandal</t>
  </si>
  <si>
    <t>Ten of Swords</t>
  </si>
  <si>
    <t>Can expend great ammounts of power in bursts, with hour long recharges</t>
  </si>
  <si>
    <t>Echidna</t>
  </si>
  <si>
    <t>Master, Trump, Brute</t>
  </si>
  <si>
    <t>Striker/Master/Trump Brute</t>
  </si>
  <si>
    <t>Hybrid; Multiple affiliations – choose last known team</t>
  </si>
  <si>
    <t>Noelle Meinhardt</t>
  </si>
  <si>
    <t>Durable, can create "evil" duplicates of capes that she absorbs</t>
  </si>
  <si>
    <t>Travelers/Independent</t>
  </si>
  <si>
    <t>Killed by Sundancer</t>
  </si>
  <si>
    <t>Eden</t>
  </si>
  <si>
    <t>Omnipotent</t>
  </si>
  <si>
    <t>only qualified alignments in reference: Entity</t>
  </si>
  <si>
    <t>Reference sheet: type, team, status</t>
  </si>
  <si>
    <t>Edict</t>
  </si>
  <si>
    <t>Gave commands that caused random and temporary issues in individuals who disobeyed.  Included mental illnesses, crippling emotional swings, or partial paralysis. Unreliable in severity</t>
  </si>
  <si>
    <t>Gender: from memory of canon (verify on wiki); Type: default Human – no Case 53/Endbringer/Titan indicator found (verify); Reference sheet: Disposition, Series</t>
  </si>
  <si>
    <t>Effervescent</t>
  </si>
  <si>
    <t>Emotion manipulator with emphasis on stuns.</t>
  </si>
  <si>
    <t>Egessa</t>
  </si>
  <si>
    <t>Teleportation?</t>
  </si>
  <si>
    <t>Eidolon</t>
  </si>
  <si>
    <t>Trump 12</t>
  </si>
  <si>
    <t>David</t>
  </si>
  <si>
    <t>Can manifest multiple powers at will</t>
  </si>
  <si>
    <t>6.07</t>
  </si>
  <si>
    <t>Elegance</t>
  </si>
  <si>
    <t>Miranda Mahaffey</t>
  </si>
  <si>
    <t>Eleventh Hour</t>
  </si>
  <si>
    <t>Eligos</t>
  </si>
  <si>
    <t>The Fallen</t>
  </si>
  <si>
    <t>Creates blades of air that boomerang back to him</t>
  </si>
  <si>
    <t>Fallen</t>
  </si>
  <si>
    <t>Emily Piggot</t>
  </si>
  <si>
    <t>PRT</t>
  </si>
  <si>
    <t>Emma Barnes</t>
  </si>
  <si>
    <t>Reference sheet: status; Gender: from memory of canon / civilian name (verify on wiki)</t>
  </si>
  <si>
    <t>Entourage</t>
  </si>
  <si>
    <t>Gabriella Vargas</t>
  </si>
  <si>
    <t>Capable of long range duplication</t>
  </si>
  <si>
    <t>Epeios</t>
  </si>
  <si>
    <t>Epoch</t>
  </si>
  <si>
    <t>Adepts</t>
  </si>
  <si>
    <t>Time travel abilities over 10 sec periods</t>
  </si>
  <si>
    <t>Erudite</t>
  </si>
  <si>
    <t>Mavis Shoff</t>
  </si>
  <si>
    <t>Escutcheon</t>
  </si>
  <si>
    <t>Tyrone Venson</t>
  </si>
  <si>
    <t>Esoteric</t>
  </si>
  <si>
    <t>Etna</t>
  </si>
  <si>
    <t>Eviction</t>
  </si>
  <si>
    <t>After 3-10 seconds of focus on a target, can teleport to a pocket dimension and keep them/it there</t>
  </si>
  <si>
    <t>Exalt</t>
  </si>
  <si>
    <t>Powerful aerokinetic, powers worked optimally only once in a given, lengthy duration (sometimes hours, sometimes days), with limited aeroskinesis otherwise.</t>
  </si>
  <si>
    <t>Facet</t>
  </si>
  <si>
    <t>Blaster/Striker</t>
  </si>
  <si>
    <t>Fathom</t>
  </si>
  <si>
    <t>Displaces objects to and from dimension filled with water</t>
  </si>
  <si>
    <t>Faultline</t>
  </si>
  <si>
    <t>Faultline's Crew</t>
  </si>
  <si>
    <t>Can destroy inorganic matter at a touch</t>
  </si>
  <si>
    <t>Feint</t>
  </si>
  <si>
    <t>Master/Shaker 2</t>
  </si>
  <si>
    <t>Q. J. Irvine</t>
  </si>
  <si>
    <t>Generates light-based illusions around objects and can move/manipulate them</t>
  </si>
  <si>
    <t>Felix Swoop</t>
  </si>
  <si>
    <t>Master Blaster</t>
  </si>
  <si>
    <t>Converts birds into phoenixes, with fire immunity and pyrokinesis. Can control them</t>
  </si>
  <si>
    <t>Fenja</t>
  </si>
  <si>
    <t>Breaker/Brute</t>
  </si>
  <si>
    <t>Jessica Biermann</t>
  </si>
  <si>
    <t>Can grow durability and size simultaneously</t>
  </si>
  <si>
    <t>5.01</t>
  </si>
  <si>
    <t>Fierceling</t>
  </si>
  <si>
    <t>Figurehead</t>
  </si>
  <si>
    <t>Fisherboy</t>
  </si>
  <si>
    <t>Flambe</t>
  </si>
  <si>
    <t>Flame Falcon</t>
  </si>
  <si>
    <t>Flashbang</t>
  </si>
  <si>
    <t>Mark Dallon</t>
  </si>
  <si>
    <t>Creates orbs of energy that explode concussively, blind.</t>
  </si>
  <si>
    <t>3.12</t>
  </si>
  <si>
    <t>Flashpoint</t>
  </si>
  <si>
    <t>Can set water ablaze</t>
  </si>
  <si>
    <t>Flechette</t>
  </si>
  <si>
    <t>Foil</t>
  </si>
  <si>
    <t>Blaster, Thinker</t>
  </si>
  <si>
    <t>Striker Blaster Thinker</t>
  </si>
  <si>
    <t>Lily</t>
  </si>
  <si>
    <t>Can charge objects, allowing them to strike targets across all dimensions. Also includes enhanced timing, aim, etc.</t>
  </si>
  <si>
    <t>Wards/Independent</t>
  </si>
  <si>
    <t>8.1</t>
  </si>
  <si>
    <t>Gender: from memory of canon (verify on wiki); Disposition: final status per memory of canon/affiliation (verify on wiki); Type: default Human – no Case 53/Endbringer/Titan indicator found (verify); Reference sheet: Disposition, Team; Reference sheet: Status</t>
  </si>
  <si>
    <t>Fleece</t>
  </si>
  <si>
    <t>Fleur</t>
  </si>
  <si>
    <t>Brockton Bay Brigade</t>
  </si>
  <si>
    <t>Florence</t>
  </si>
  <si>
    <t>Heartbroken</t>
  </si>
  <si>
    <t>Floret</t>
  </si>
  <si>
    <t>Creates "buds" with intricate crystals, capable of various effects. Also percieves all small details</t>
  </si>
  <si>
    <t>Fog</t>
  </si>
  <si>
    <t>G</t>
  </si>
  <si>
    <t>Shifter 8 Stranger 3</t>
  </si>
  <si>
    <t>Y</t>
  </si>
  <si>
    <t>Wildbow said Fog/Night could be flipped Breaker/Changer</t>
  </si>
  <si>
    <t>Geoff Schmidt</t>
  </si>
  <si>
    <t>Turns into living fog that causes harm to those within</t>
  </si>
  <si>
    <t>Frenetic</t>
  </si>
  <si>
    <t>Reference sheet: Team</t>
  </si>
  <si>
    <t>Fume</t>
  </si>
  <si>
    <t>Blaster/Shaker 4</t>
  </si>
  <si>
    <t>Livia Noche</t>
  </si>
  <si>
    <t>Shoots out baseball sized projectiles at high speed that produce clouds of sulphurous gas on impact.</t>
  </si>
  <si>
    <t>Fume Hood</t>
  </si>
  <si>
    <t>Bad Apple; Poison Apple; Pomme de Sang</t>
  </si>
  <si>
    <t>Norfair Neighborhood Heroes</t>
  </si>
  <si>
    <t>Throws balls of gas or poison which explode on contact.</t>
  </si>
  <si>
    <t>Furcate</t>
  </si>
  <si>
    <t>Furror</t>
  </si>
  <si>
    <t>Furrow</t>
  </si>
  <si>
    <t>Gallant</t>
  </si>
  <si>
    <t>Dean Stansfield</t>
  </si>
  <si>
    <t>Shoots blasts than can effect people's emotions</t>
  </si>
  <si>
    <t>3.03</t>
  </si>
  <si>
    <t>Galvanate</t>
  </si>
  <si>
    <t>Capable of granting invincibility and enhanced strength with a touch</t>
  </si>
  <si>
    <t>Garnett</t>
  </si>
  <si>
    <t>Garotte</t>
  </si>
  <si>
    <t>Independent/Irregulars</t>
  </si>
  <si>
    <t>Sveta</t>
  </si>
  <si>
    <t>Case 53, living mass of tentacles that grab and crush independent of her</t>
  </si>
  <si>
    <t>Type: Case 53 per sheet text; Gender: pronouns in sheet text</t>
  </si>
  <si>
    <t>Gasconade</t>
  </si>
  <si>
    <t>Breaker/Stranger 3</t>
  </si>
  <si>
    <t>Jaager D. Charles</t>
  </si>
  <si>
    <t>In permanent breaker state where he can imbue objects with energy for 30 seconds. Is mostly immune to harm and needs no food/sleep.</t>
  </si>
  <si>
    <t>Gauss</t>
  </si>
  <si>
    <t>Gavel</t>
  </si>
  <si>
    <t>Brute Striker</t>
  </si>
  <si>
    <t>Power reduces incoming damage to a set amount.  Imbues melee weapons with vast impact, but power protects target, resulting in target being thrown great distances</t>
  </si>
  <si>
    <t>Genesis</t>
  </si>
  <si>
    <t>Changer 9</t>
  </si>
  <si>
    <t>Jess</t>
  </si>
  <si>
    <t>Enters catatonic state to create and then control a body, initial components decided by her, remainder by passenger</t>
  </si>
  <si>
    <t>Genoscythe the Eyeraper</t>
  </si>
  <si>
    <t>Changer, created scythe blades out of hands</t>
  </si>
  <si>
    <t>Gentle Giant</t>
  </si>
  <si>
    <t>Wards/Irregulars</t>
  </si>
  <si>
    <t>Reference sheet: Disposition, Team, Power class, Series</t>
  </si>
  <si>
    <t>The Gentleman</t>
  </si>
  <si>
    <t>Geomancer</t>
  </si>
  <si>
    <t>Tim Mars</t>
  </si>
  <si>
    <t>Created streams of rubble, was stronger if rubble already existant</t>
  </si>
  <si>
    <t>Getaway</t>
  </si>
  <si>
    <t>Gethsemane</t>
  </si>
  <si>
    <t>Glace</t>
  </si>
  <si>
    <t>Specialist in cryogenics</t>
  </si>
  <si>
    <t>Glaistig Uaine</t>
  </si>
  <si>
    <t>Valkyrie</t>
  </si>
  <si>
    <t>Master Trump</t>
  </si>
  <si>
    <t>Ciara</t>
  </si>
  <si>
    <t>Can harvest and utilize the powers of dead capes through ghosts. Also capable of sensing parahumans.</t>
  </si>
  <si>
    <t>Independent/Wardens</t>
  </si>
  <si>
    <t>Gleer</t>
  </si>
  <si>
    <t>Glory Girl</t>
  </si>
  <si>
    <t>Antares</t>
  </si>
  <si>
    <t>Mover, Shaker</t>
  </si>
  <si>
    <t>Brute Mover Shaker</t>
  </si>
  <si>
    <t>Victoria Dallon</t>
  </si>
  <si>
    <t>Emotion affecting aura focused on awe/intimidation, flight, enhanced strength, and personal forcefield that blocks one hit before taking 1-2 seconds to recharge</t>
  </si>
  <si>
    <t>New Wave/Wards</t>
  </si>
  <si>
    <t>Gloss</t>
  </si>
  <si>
    <t>Glyph</t>
  </si>
  <si>
    <t>The Guild</t>
  </si>
  <si>
    <t>Golem</t>
  </si>
  <si>
    <t>Shaker/Striker</t>
  </si>
  <si>
    <t>Theo Anders</t>
  </si>
  <si>
    <t>Can create parts of his body sprouting out of inorganic materials</t>
  </si>
  <si>
    <t>Type: default Human – no Case 53/Endbringer/Titan indicator found (verify); Reference sheet: Disposition, Power class; Gender: pronouns in sheet text</t>
  </si>
  <si>
    <t>Good Neighbor</t>
  </si>
  <si>
    <t>Roberto Peets</t>
  </si>
  <si>
    <t>Gorgos</t>
  </si>
  <si>
    <t>Ripcord</t>
  </si>
  <si>
    <t>Grace</t>
  </si>
  <si>
    <t>Katherine Oldershaw</t>
  </si>
  <si>
    <t>Has increased agility, can grant extremity/body part enhanced power and invulnerability/power immunity.</t>
  </si>
  <si>
    <t>Grandiose</t>
  </si>
  <si>
    <t>Can fly and create exploding forcefields</t>
  </si>
  <si>
    <t>Granka</t>
  </si>
  <si>
    <t>Gray Boy</t>
  </si>
  <si>
    <t>Nicholas</t>
  </si>
  <si>
    <t>Can trap those around him in manipulable time loops of pain at will. Undoes any damage taken/negative effects applied via. his power.</t>
  </si>
  <si>
    <t>Greenhorn</t>
  </si>
  <si>
    <t>Gregor the Snail</t>
  </si>
  <si>
    <t>Gregor</t>
  </si>
  <si>
    <t>Case 53, boneless, durable, produces various slimes with differing effects</t>
  </si>
  <si>
    <t>Type: Case 53 per sheet text; Reference sheet: Power class; Gender: from memory of canon / civilian name (verify on wiki)</t>
  </si>
  <si>
    <t>Grue</t>
  </si>
  <si>
    <t>Trump, Stranger</t>
  </si>
  <si>
    <t>Shaker Trump Stranger</t>
  </si>
  <si>
    <t>Status uncertain in source: 'Killed by Zion (?)'</t>
  </si>
  <si>
    <t>Brian Laborn</t>
  </si>
  <si>
    <t>Produces shadows that cause sensory deprivation and block out wavelengths. Also borrows powers in shadows</t>
  </si>
  <si>
    <t>Killed by Zion (?)</t>
  </si>
  <si>
    <t>Grumman</t>
  </si>
  <si>
    <t>Brute, Blaster</t>
  </si>
  <si>
    <t>Mover 6, Brute 8 or Mover -1, Blaster 9</t>
  </si>
  <si>
    <t>Eric Stodt</t>
  </si>
  <si>
    <t>Can toggle between two breaker states, one fast and strafing, one powerful and immobile</t>
  </si>
  <si>
    <t>Gully</t>
  </si>
  <si>
    <t>Terrakinetic, Case 53</t>
  </si>
  <si>
    <t>Type: Case 53 per sheet text; Reference sheet: Team</t>
  </si>
  <si>
    <t>Gwerrus</t>
  </si>
  <si>
    <t>Super strength, reflected damage back onto attacker</t>
  </si>
  <si>
    <t>Hack Job</t>
  </si>
  <si>
    <t>Trump, Mover, Master</t>
  </si>
  <si>
    <t>Brute, Trump, Mover/ | Master</t>
  </si>
  <si>
    <t>Wards (formerly); Slaughterhouse Nine</t>
  </si>
  <si>
    <t>Hallow</t>
  </si>
  <si>
    <t>Halo</t>
  </si>
  <si>
    <t>Michael Walsh</t>
  </si>
  <si>
    <t>Creats ring with cutting edge that creates forcefields and lasers</t>
  </si>
  <si>
    <t>Type: default Human – no Case 53/Endbringer/Titan indicator found (verify); Reference sheet: Disposition; Gender: from memory of canon / civilian name (verify on wiki)</t>
  </si>
  <si>
    <t>Harsh Mistress</t>
  </si>
  <si>
    <t>Hatchet Face</t>
  </si>
  <si>
    <t>Brute Trump</t>
  </si>
  <si>
    <t>Enhanced strength and durability, aura nullfies powers of those nearby.</t>
  </si>
  <si>
    <t>Heartbreaker</t>
  </si>
  <si>
    <t>Nikos Vasil</t>
  </si>
  <si>
    <t>Can dramatically affect others' emotions at will on a permanent basis</t>
  </si>
  <si>
    <t>Killed by Imp</t>
  </si>
  <si>
    <t>3.06</t>
  </si>
  <si>
    <t>Heith</t>
  </si>
  <si>
    <t>Size changer protected by personal distortion field</t>
  </si>
  <si>
    <t>Gender: from memory of canon / civilian name (verify on wiki)</t>
  </si>
  <si>
    <t>Heith Anders</t>
  </si>
  <si>
    <t>Hel</t>
  </si>
  <si>
    <t>Hemorrhagia</t>
  </si>
  <si>
    <t>Hemokinetic with personal biokinesis</t>
  </si>
  <si>
    <t>Herald</t>
  </si>
  <si>
    <t>Gordon Eckhart</t>
  </si>
  <si>
    <t>Specialized in wavelengths and frequencies, allowing Scion-esque abilities</t>
  </si>
  <si>
    <t>Killed by The Siberian</t>
  </si>
  <si>
    <t>Hew</t>
  </si>
  <si>
    <t>Hiemal</t>
  </si>
  <si>
    <t>Hookline</t>
  </si>
  <si>
    <t>Hookwolf</t>
  </si>
  <si>
    <t>Changer 4 Brute 7</t>
  </si>
  <si>
    <t>Brad Matthews</t>
  </si>
  <si>
    <t>Can transform into mass of blades and metal objects, form roughly customizable</t>
  </si>
  <si>
    <t>E88/Fenrir's Chosen/Slaughterhouse 9</t>
  </si>
  <si>
    <t>Killed by Foil</t>
  </si>
  <si>
    <t>Hooligan</t>
  </si>
  <si>
    <t>Nero</t>
  </si>
  <si>
    <t>Capable of walking on ceilings</t>
  </si>
  <si>
    <t>Horizon</t>
  </si>
  <si>
    <t>Thinker 3 Striker 1-12*</t>
  </si>
  <si>
    <t>Maria Whitworth</t>
  </si>
  <si>
    <t>Can utilize one of three perception enhancing abilities at a time, as well as a variable strength explosive touch</t>
  </si>
  <si>
    <t>Hoyden</t>
  </si>
  <si>
    <t>Striker Brute</t>
  </si>
  <si>
    <t>Super strength/durability, resistance to long range powers, and explosions on contact with attacks and attackers</t>
  </si>
  <si>
    <t>Humble</t>
  </si>
  <si>
    <t>Hunch</t>
  </si>
  <si>
    <t>Precog with some inaccuracy</t>
  </si>
  <si>
    <t>Reference sheet: Disposition, Type</t>
  </si>
  <si>
    <t>Hydrofoil</t>
  </si>
  <si>
    <t>Brute/Mover</t>
  </si>
  <si>
    <t>Had personal shield that produced torrents of water when breached.</t>
  </si>
  <si>
    <t>Hype</t>
  </si>
  <si>
    <t>Cloud of varying kinetic abilities around him; varies with mood and time.</t>
  </si>
  <si>
    <t>Imp</t>
  </si>
  <si>
    <t>Stranger 8</t>
  </si>
  <si>
    <t>Multiple affiliations – choose last known team; Status uncertain in source: 'Who? (Alive)'</t>
  </si>
  <si>
    <t>Aisha Laborn</t>
  </si>
  <si>
    <t>Is easily forgettable, even to those who know her well</t>
  </si>
  <si>
    <t>Undersiders/Independent</t>
  </si>
  <si>
    <t>Who? (Alive)</t>
  </si>
  <si>
    <t>Gender: pronouns in sheet text; Type: default Human – no Case 53/Endbringer/Titan indicator found (verify); Reference sheet: Disposition, Team</t>
  </si>
  <si>
    <t>Impel</t>
  </si>
  <si>
    <t>Corey Steffons</t>
  </si>
  <si>
    <t>Ingenue</t>
  </si>
  <si>
    <t>Alters and augments powers, but also alters psychology of victim, in deleterious fashion.</t>
  </si>
  <si>
    <t>Intrepid</t>
  </si>
  <si>
    <t>Can fly</t>
  </si>
  <si>
    <t>Iron Falcon</t>
  </si>
  <si>
    <t>Brent Woodrow</t>
  </si>
  <si>
    <t>Iron Rain</t>
  </si>
  <si>
    <t>Ironscale</t>
  </si>
  <si>
    <t>Reference sheet: Disposition, Status, Series</t>
  </si>
  <si>
    <t>Jack Slash</t>
  </si>
  <si>
    <t>Thinker Striker</t>
  </si>
  <si>
    <t>Status needs review: 'Trapped by Gray Boy'</t>
  </si>
  <si>
    <t>Jacob</t>
  </si>
  <si>
    <t>Can extend a blade's edge infinitely, as well as able to predict/manipulate other capes</t>
  </si>
  <si>
    <t>Trapped by Gray Boy</t>
  </si>
  <si>
    <t>Jacklight</t>
  </si>
  <si>
    <t>Creates orbs of light that redirect movement in immediate vicinity</t>
  </si>
  <si>
    <t>Jadeite</t>
  </si>
  <si>
    <t>James Tagg</t>
  </si>
  <si>
    <t>Jamestowner</t>
  </si>
  <si>
    <t>Radiation blaster, could focus effects to turn individuals into docile (to him) mutants, driven largely by cannibalistic hunger and fear of being irradiated further.</t>
  </si>
  <si>
    <t>Reference sheet: Power class; Gender: pronouns in sheet text</t>
  </si>
  <si>
    <t>Jamshid</t>
  </si>
  <si>
    <t>Jia</t>
  </si>
  <si>
    <t>Yàngbǎn</t>
  </si>
  <si>
    <t>Yangban</t>
  </si>
  <si>
    <t>Jing</t>
  </si>
  <si>
    <t>Tinker who creates combat simulations and equipment.</t>
  </si>
  <si>
    <t>Jiǎ</t>
  </si>
  <si>
    <t>Reference sheet: team</t>
  </si>
  <si>
    <t>Jotunn</t>
  </si>
  <si>
    <t>Jouster</t>
  </si>
  <si>
    <t>Blaster Striker</t>
  </si>
  <si>
    <t>Conducts various effects along his lance. Attacks must hit to have effects</t>
  </si>
  <si>
    <t>Juliette</t>
  </si>
  <si>
    <t>Kaeing Tha</t>
  </si>
  <si>
    <t>Hidden Hand</t>
  </si>
  <si>
    <t>Gold Coin</t>
  </si>
  <si>
    <t>Can morph into a form capable of controling others' actions and powers</t>
  </si>
  <si>
    <t>Kaiser</t>
  </si>
  <si>
    <t>Max Anders</t>
  </si>
  <si>
    <t>Can produce metal blades, barriers or rods from any solid surface</t>
  </si>
  <si>
    <t>Kaveh</t>
  </si>
  <si>
    <t>Kazikli Bey</t>
  </si>
  <si>
    <t>Aerokinetic</t>
  </si>
  <si>
    <t>Reference sheet: Status, Power class</t>
  </si>
  <si>
    <t>Kevin Norton</t>
  </si>
  <si>
    <t>only qualified alignments in reference: Civilian | Villain (as</t>
  </si>
  <si>
    <t>Khepri</t>
  </si>
  <si>
    <t>Master 12</t>
  </si>
  <si>
    <t>Status needs review: 'Ambiguous'</t>
  </si>
  <si>
    <t>Taylor Hebert</t>
  </si>
  <si>
    <t>Jailbroken Administrator shard capable of controlling anyone within sixteen feet at the cost of Taylor's sanity, as well as bugs and simple minds with 300 ft</t>
  </si>
  <si>
    <t>Ambiguous</t>
  </si>
  <si>
    <t>Khonsu</t>
  </si>
  <si>
    <t>Teleportation and time | manipulation</t>
  </si>
  <si>
    <t>only qualified alignments in reference: Weaver) | Endbringer</t>
  </si>
  <si>
    <t>Khun Sa</t>
  </si>
  <si>
    <t>Prince Prosperous</t>
  </si>
  <si>
    <t>Can transform into immovable onject with nervous control over animals and some electronics in the area</t>
  </si>
  <si>
    <t>Kid Win</t>
  </si>
  <si>
    <t>Tinker 4</t>
  </si>
  <si>
    <t>Chris</t>
  </si>
  <si>
    <t>Specialist in modular equipment; multiple settings etc</t>
  </si>
  <si>
    <t>King</t>
  </si>
  <si>
    <t>Stiker Brute</t>
  </si>
  <si>
    <t>Gabriel Maxberry</t>
  </si>
  <si>
    <t>Transfers wounds and damage to those he's touched in the last day</t>
  </si>
  <si>
    <t>Killed by Jack Slash/Harbinger</t>
  </si>
  <si>
    <t>King Crow</t>
  </si>
  <si>
    <t>King of Cups</t>
  </si>
  <si>
    <t>Healer, can create phantom limbs</t>
  </si>
  <si>
    <t>King of Hearts</t>
  </si>
  <si>
    <t>King of Spades</t>
  </si>
  <si>
    <t>King of Swords</t>
  </si>
  <si>
    <t>King of Wands</t>
  </si>
  <si>
    <t>Kingdom Come</t>
  </si>
  <si>
    <t>Breaker/Master</t>
  </si>
  <si>
    <t>Can blow self up and control any bystanders in contact with previous forms' blood and/or fluids.</t>
  </si>
  <si>
    <t>Kismet</t>
  </si>
  <si>
    <t>Gender: from memory of canon (verify on wiki); Type: default Human – no Case 53/Endbringer/Titan indicator found (verify); Reference sheet: Status, Series</t>
  </si>
  <si>
    <t>Kitchen Sink</t>
  </si>
  <si>
    <t>Knave of Clubs</t>
  </si>
  <si>
    <t>Knave of Hearts</t>
  </si>
  <si>
    <t>Knave of Swords</t>
  </si>
  <si>
    <t>Knight Crimson</t>
  </si>
  <si>
    <t>Striker/Breaker</t>
  </si>
  <si>
    <t>Fatigue and bludgeon-immune Striker who displaces self and target into pocket arena, forcing a time-dilated holmgang until one of the parties succumbs</t>
  </si>
  <si>
    <t>Knot</t>
  </si>
  <si>
    <t>Koschei</t>
  </si>
  <si>
    <t>Reappears after death, with boosts to size, toughness, strength, and stupidity.</t>
  </si>
  <si>
    <t>Krieg</t>
  </si>
  <si>
    <t>Shaker/Brute</t>
  </si>
  <si>
    <t>James Fliescher</t>
  </si>
  <si>
    <t>Wide range kinetic manipulation</t>
  </si>
  <si>
    <t>Kudzu</t>
  </si>
  <si>
    <t>Self-replication</t>
  </si>
  <si>
    <t>Lab Rat</t>
  </si>
  <si>
    <t>Specializes in biotic transformations</t>
  </si>
  <si>
    <t>Labyrinth</t>
  </si>
  <si>
    <t>Shaker 12</t>
  </si>
  <si>
    <t>Elle</t>
  </si>
  <si>
    <t>Can massively manipulate surroundings by tapping into alternate universes, selectively phasing whole sections or items into her environment.</t>
  </si>
  <si>
    <t>Lady Photon</t>
  </si>
  <si>
    <t>Blaster 4 Mover 3 Shaker 3</t>
  </si>
  <si>
    <t>Sarah Pelham</t>
  </si>
  <si>
    <t>Can fly, create lasers, and project forcefields</t>
  </si>
  <si>
    <t>Lark</t>
  </si>
  <si>
    <t>Laserdream</t>
  </si>
  <si>
    <t>Mover, Blaster, Shaker</t>
  </si>
  <si>
    <t>Crystal Pelham</t>
  </si>
  <si>
    <t>Flies, creates lasers and forcefields</t>
  </si>
  <si>
    <t>New Wave/PRTCJ</t>
  </si>
  <si>
    <t>Type: default Human – no Case 53/Endbringer/Titan indicator found (verify); Reference sheet: Disposition, Team, Power class; Gender: from memory of canon / civilian name (verify on wiki)</t>
  </si>
  <si>
    <t>Laserhawk</t>
  </si>
  <si>
    <t>Laughjob</t>
  </si>
  <si>
    <t>Leet</t>
  </si>
  <si>
    <t>Endless applications, but is worse the more a creation is like something he's made before</t>
  </si>
  <si>
    <t>Legend</t>
  </si>
  <si>
    <t>Breaker, Blaster</t>
  </si>
  <si>
    <t>Flies and can fire laser blasts of massive power. Also converts to energy state when struck, ignoring most damage</t>
  </si>
  <si>
    <t>Leister</t>
  </si>
  <si>
    <t>Spear wielder with ability to convey self to target point.</t>
  </si>
  <si>
    <t>Leonid</t>
  </si>
  <si>
    <t>Stranger, Mover</t>
  </si>
  <si>
    <t>Thinker, Stranger, Mover</t>
  </si>
  <si>
    <t>Capable of hearing everything nearby, as well as teleporting himself via voice</t>
  </si>
  <si>
    <t>Leviathan</t>
  </si>
  <si>
    <t>Jörmungandr</t>
  </si>
  <si>
    <t>Brute 9</t>
  </si>
  <si>
    <t>Licit</t>
  </si>
  <si>
    <t>Strike</t>
  </si>
  <si>
    <t>Creates solid shape forcefields (prisms, cyinders, cubes) within a short range, clairvoyance around fields, can allow/disallow access through on case-by-case basis.</t>
  </si>
  <si>
    <t>Ligeia</t>
  </si>
  <si>
    <t>Creates portals to otherworldly ocean depths, resulting in massive geysers, can withdraw to suck in waterborne items/enemies, close portal to leave in other reality.</t>
  </si>
  <si>
    <t>Lightslinger</t>
  </si>
  <si>
    <t>Blaster/Shaker 8</t>
  </si>
  <si>
    <t>Camden Ito</t>
  </si>
  <si>
    <t>Turns nearby light into weapons emplacements. Brighter=stronger</t>
  </si>
  <si>
    <t>Lightstar</t>
  </si>
  <si>
    <t>Philip Sartin</t>
  </si>
  <si>
    <t>Has the ability to create slow-moving projectiles (around half the speed of a thrown basketball) that he could detonate concussively at will</t>
  </si>
  <si>
    <t>Type: default Human – no Case 53/Endbringer/Titan indicator found (verify); Reference sheet: Disposition, Status, Power class; Gender: pronouns in sheet text</t>
  </si>
  <si>
    <t>The Lillies</t>
  </si>
  <si>
    <t>Thinker/Shaker</t>
  </si>
  <si>
    <t>Twins - 'tremorsense' Thinker ability grants them pseudoclairvoyance on all grounded, moving objects. Can create 'bloom', detonates into variable effect pollen</t>
  </si>
  <si>
    <t>Lizard Prince</t>
  </si>
  <si>
    <t>Lizardtail</t>
  </si>
  <si>
    <t>Aura regenerates those in the area.</t>
  </si>
  <si>
    <t>Lockdown</t>
  </si>
  <si>
    <t>Blaster/Shaker</t>
  </si>
  <si>
    <t>Fires blasts of semiliquid that congeal over target, hampering their movement - 'gel' can be detonated with a second shot</t>
  </si>
  <si>
    <t>Longscratch</t>
  </si>
  <si>
    <t>1.03</t>
  </si>
  <si>
    <t>Lono</t>
  </si>
  <si>
    <t>Lord of Loss</t>
  </si>
  <si>
    <t>Brute/Breaker</t>
  </si>
  <si>
    <t>Surrounds self in ghostly "forms" that allow cumulative boosting of attributes such as strength, or abilities such as flight.</t>
  </si>
  <si>
    <t>Lucan</t>
  </si>
  <si>
    <t>Lung</t>
  </si>
  <si>
    <t>Brute 4-9* Blaster 2-6*</t>
  </si>
  <si>
    <t>Kenta</t>
  </si>
  <si>
    <t>Gains increased strength, durability, armor, pyrokinesis, so long as he keeps fighting.</t>
  </si>
  <si>
    <t>Lustrum</t>
  </si>
  <si>
    <t>Massive breaker form fueled by draining from the physical and mental facultires of those nearby</t>
  </si>
  <si>
    <t>Magnaat</t>
  </si>
  <si>
    <t>Reference sheet: Type</t>
  </si>
  <si>
    <t>Mags</t>
  </si>
  <si>
    <t>Margaret</t>
  </si>
  <si>
    <t>Reference sheet: disposition, team; Gender: from memory of canon / civilian name (verify on wiki)</t>
  </si>
  <si>
    <t>Mama Bear</t>
  </si>
  <si>
    <t>Mannequin</t>
  </si>
  <si>
    <t>Sphere</t>
  </si>
  <si>
    <t>Alan Gramme</t>
  </si>
  <si>
    <t>Tinker specializing in closed systems, typically augmentations for a multi-piece suit containing his own body.</t>
  </si>
  <si>
    <t>Killed by Skitter/PRT</t>
  </si>
  <si>
    <t>Manpower</t>
  </si>
  <si>
    <t>Neil Pelham</t>
  </si>
  <si>
    <t>Electromagnetic forcefield augmented own strength.</t>
  </si>
  <si>
    <t>Mantellum</t>
  </si>
  <si>
    <t>Case 53.  Blocks out sensory aspects of powers progressively more with proximity.</t>
  </si>
  <si>
    <t>Type: Case 53 per sheet text; Reference sheet: Status, Power class</t>
  </si>
  <si>
    <t>Manticore</t>
  </si>
  <si>
    <t>Spencer</t>
  </si>
  <si>
    <t>Specialty in grafting body parts and other mods, but only to self.</t>
  </si>
  <si>
    <t>Shaker, Shifter</t>
  </si>
  <si>
    <t>Skiled osteokinetic, produced and re-shaped a variety of bone constructions, could affect enemy's exposed bones.</t>
  </si>
  <si>
    <t>Reference sheet: Disposition, Power class; Gender: from memory of canon / civilian name (verify on wiki)</t>
  </si>
  <si>
    <t>Masamune</t>
  </si>
  <si>
    <t>Specialization in mass production</t>
  </si>
  <si>
    <t>Matryoshka</t>
  </si>
  <si>
    <t>Maddie?</t>
  </si>
  <si>
    <t>Consumes others, gaining their memories/traits at the cost of her own. Case 53</t>
  </si>
  <si>
    <t>Type: Case 53 per sheet text; Reference sheet: Disposition; Gender: pronouns in sheet text</t>
  </si>
  <si>
    <t>Menja</t>
  </si>
  <si>
    <t>Breaker/Bute</t>
  </si>
  <si>
    <t>Nessa Biermann</t>
  </si>
  <si>
    <t>Can grow and increase durability simultaneously</t>
  </si>
  <si>
    <t>Miasma</t>
  </si>
  <si>
    <t>Stranger Blaster</t>
  </si>
  <si>
    <t>Undetectable, but gives off an odorless, harmful gas, eventually lethal</t>
  </si>
  <si>
    <t>Minakhim</t>
  </si>
  <si>
    <t>March</t>
  </si>
  <si>
    <t>Can touch others and impel them to move a set distance and attack nearby objects/people</t>
  </si>
  <si>
    <t>Mirrormask</t>
  </si>
  <si>
    <t>Transforms those he touches into copies for a limited time. Also spreads via touch</t>
  </si>
  <si>
    <t>Miss Militia</t>
  </si>
  <si>
    <t>Hannah</t>
  </si>
  <si>
    <t>Can call forth conventional weaponry, or modify the summoned weaponry at will.</t>
  </si>
  <si>
    <t>Mister Eminent</t>
  </si>
  <si>
    <t>Mockshow</t>
  </si>
  <si>
    <t>The Folk</t>
  </si>
  <si>
    <t>Master/Shaker 6</t>
  </si>
  <si>
    <t>Olivia Trebilcock</t>
  </si>
  <si>
    <t>Can touch inanimate objects to animate and control them</t>
  </si>
  <si>
    <t>Folk</t>
  </si>
  <si>
    <t>Mog</t>
  </si>
  <si>
    <t>Absorbs energy from attacks and triggers changes, i.e. weaponry</t>
  </si>
  <si>
    <t>Mokosh</t>
  </si>
  <si>
    <t>Blaster Shaker</t>
  </si>
  <si>
    <t>Creates razor wire-like blasts capable of severing limbs. Wires invisible to the eye.</t>
  </si>
  <si>
    <t>Momo</t>
  </si>
  <si>
    <t>Mongler</t>
  </si>
  <si>
    <t>Monokeros</t>
  </si>
  <si>
    <t>Kaylee Rosenthal</t>
  </si>
  <si>
    <t>Power connects to single target, applies immunity, psychometry, clairvoyance and domination.</t>
  </si>
  <si>
    <t>Monstrum</t>
  </si>
  <si>
    <t xml:space="preserve">Reference sheet: </t>
  </si>
  <si>
    <t>Moonsong</t>
  </si>
  <si>
    <t>Moord Nag</t>
  </si>
  <si>
    <t>Master pet 'scavenger' gains permanent increase in size and power by consuming the dead</t>
  </si>
  <si>
    <t>Moose Knuckle</t>
  </si>
  <si>
    <t>Mosaic</t>
  </si>
  <si>
    <t>Mouse Protector</t>
  </si>
  <si>
    <t>Could teleport to tagged people or objects.  Had lesser powers including increased coordination and agility</t>
  </si>
  <si>
    <t>Killed by Slaughterhouse 9</t>
  </si>
  <si>
    <t>Mr. Keene</t>
  </si>
  <si>
    <t>Morgan Keene</t>
  </si>
  <si>
    <t>Hyper-skilled, emphasizing teamwork and cooperation, secondary power enabled emotion reading.</t>
  </si>
  <si>
    <t>Munstro</t>
  </si>
  <si>
    <t>Reference sheet: Type, Series</t>
  </si>
  <si>
    <t>Murder Rat</t>
  </si>
  <si>
    <t>Striker/Mover</t>
  </si>
  <si>
    <t>Increased flexibility, strength, reflexes, durability, etc. Also has Mouse Protector's teleportation and the ability to prevent inflicted wounds from healing</t>
  </si>
  <si>
    <t>Murderbeam</t>
  </si>
  <si>
    <t>Implied killed in Birdcage</t>
  </si>
  <si>
    <t>Mush</t>
  </si>
  <si>
    <t>Merchants</t>
  </si>
  <si>
    <t>Changer 4</t>
  </si>
  <si>
    <t>Formed hulking body of detritus, moisture and particulate matter, with human form at center.</t>
  </si>
  <si>
    <t>Muspelheim</t>
  </si>
  <si>
    <t>Fenrir's Chosen</t>
  </si>
  <si>
    <t>Myrddin</t>
  </si>
  <si>
    <t>Shaker/Mover</t>
  </si>
  <si>
    <t>Carried several pocket dimensions, flinging them out and activating them for a selection of dimension-specific effects.</t>
  </si>
  <si>
    <t>N-Force</t>
  </si>
  <si>
    <t>Nailbiter</t>
  </si>
  <si>
    <t>Narwhal</t>
  </si>
  <si>
    <t>Can create forcefields bypassing the Manton Effect</t>
  </si>
  <si>
    <t>Neils Baru</t>
  </si>
  <si>
    <t>Nemean</t>
  </si>
  <si>
    <t>Much enhanced durability</t>
  </si>
  <si>
    <t>Newter</t>
  </si>
  <si>
    <t>Case 53, can climb walls and has hallucinogenic bodily fluids</t>
  </si>
  <si>
    <t>Type: Case 53 per sheet text; Reference sheet: Disposition, Status, Power class</t>
  </si>
  <si>
    <t>Nice Guy</t>
  </si>
  <si>
    <t>Stranger/Master</t>
  </si>
  <si>
    <t>Passive aura forcing those around him to percieve him as harmless/innocent</t>
  </si>
  <si>
    <t>Niflheim</t>
  </si>
  <si>
    <t>Night</t>
  </si>
  <si>
    <t>Empire Eighty-Eight/The Pure</t>
  </si>
  <si>
    <t>possibly Stranger 3</t>
  </si>
  <si>
    <t>Breaker 9</t>
  </si>
  <si>
    <t>See Fog; Multiple affiliations – choose last known team</t>
  </si>
  <si>
    <t>Dorothy Schmidt</t>
  </si>
  <si>
    <t>When not observed, transforms into a massively powerful creature</t>
  </si>
  <si>
    <t>Night Hag</t>
  </si>
  <si>
    <t>Can "possess" an area of land and reform from it if injured/killed</t>
  </si>
  <si>
    <t>Nighty Night</t>
  </si>
  <si>
    <t>Shaker, Stranger</t>
  </si>
  <si>
    <t>Nilbog</t>
  </si>
  <si>
    <t>Status needs review: 'Imprisoned'</t>
  </si>
  <si>
    <t>Jamie Rinke</t>
  </si>
  <si>
    <t>Created custom minions after recycling existing living matter.</t>
  </si>
  <si>
    <t>Imprisoned</t>
  </si>
  <si>
    <t>Nix</t>
  </si>
  <si>
    <t>Stranger/Shaker</t>
  </si>
  <si>
    <t>Produced gas that could be shaped into controlled but fragile silent images.</t>
  </si>
  <si>
    <t>Noctis</t>
  </si>
  <si>
    <t>Nonpareil</t>
  </si>
  <si>
    <t>Null</t>
  </si>
  <si>
    <t>Zero</t>
  </si>
  <si>
    <t>Can split and delegate powers amongst a group</t>
  </si>
  <si>
    <t>The Number Man</t>
  </si>
  <si>
    <t>Harbinger</t>
  </si>
  <si>
    <t>Expert with probabilites and outcomes</t>
  </si>
  <si>
    <t>Nursery</t>
  </si>
  <si>
    <t>Nullifies shaker effects in vicinity by creating a grotesque nursery/childlike setting. (WIP)</t>
  </si>
  <si>
    <t>Nutcracker</t>
  </si>
  <si>
    <t>Slaughterhouse Nine/Cauldron</t>
  </si>
  <si>
    <t>Multiple affiliations – choose last known team; Origin PRT Quest: not in the novels; excluded from answers (Series blank)</t>
  </si>
  <si>
    <t>Slaughterhouse 9/Cauldron</t>
  </si>
  <si>
    <t>Nyx</t>
  </si>
  <si>
    <t>Case 53, creates illusions with toxic gas seeping out of her</t>
  </si>
  <si>
    <t>Type: Case 53 per sheet text; Reference sheet: Disposition, Status, Power class; Gender: pronouns in sheet text</t>
  </si>
  <si>
    <t>Oaf</t>
  </si>
  <si>
    <t>Wesley Scheaffer</t>
  </si>
  <si>
    <t>Ogun</t>
  </si>
  <si>
    <t>Shaker/Tinker</t>
  </si>
  <si>
    <t>Mulatu Desalegn</t>
  </si>
  <si>
    <t>Produces devices by passively altering surroundings, without active tinkering.</t>
  </si>
  <si>
    <t>Oliver</t>
  </si>
  <si>
    <t>Changer/Stranger</t>
  </si>
  <si>
    <t>Slowly shifts his body based on ideal of beauty</t>
  </si>
  <si>
    <t>One</t>
  </si>
  <si>
    <t>Brainwashing-capable thinker</t>
  </si>
  <si>
    <t>Oni Lee</t>
  </si>
  <si>
    <t>Teleports/duplicates simultaneously</t>
  </si>
  <si>
    <t>Othala</t>
  </si>
  <si>
    <t>Can grant temporary powers with a touch</t>
  </si>
  <si>
    <t>Disposition: final status per memory of canon/affiliation (verify on wiki)</t>
  </si>
  <si>
    <t>Othello</t>
  </si>
  <si>
    <t>Has untouchable, invisible familiar that can rend and tear enemies</t>
  </si>
  <si>
    <t>Paddock</t>
  </si>
  <si>
    <t>Pagoda</t>
  </si>
  <si>
    <t>Paint</t>
  </si>
  <si>
    <t>Powers relate to long term manipulation of physical features</t>
  </si>
  <si>
    <t>Panacea</t>
  </si>
  <si>
    <t>Striker 9</t>
  </si>
  <si>
    <t>Amy Dallon/Amelia Claire Lavere</t>
  </si>
  <si>
    <t>Can heal/manipulate biology</t>
  </si>
  <si>
    <t>Parian</t>
  </si>
  <si>
    <t>Sabah</t>
  </si>
  <si>
    <t>Can manipulate small objects with telekinesis. Creates massive dolls to fight with</t>
  </si>
  <si>
    <t>Type: default Human – no Case 53/Endbringer/Titan indicator found (verify); Reference sheet: Disposition, Status, Power class; Gender: from memory of canon / civilian name (verify on wiki)</t>
  </si>
  <si>
    <t>Particulate</t>
  </si>
  <si>
    <t>Somehow related to dust. Created gun capable of annihilating three foot wide tube of earth</t>
  </si>
  <si>
    <t>Killed by Phir Se</t>
  </si>
  <si>
    <t>Patrician</t>
  </si>
  <si>
    <t>Pelter</t>
  </si>
  <si>
    <t>Stefanie Lamana</t>
  </si>
  <si>
    <t>Penitent</t>
  </si>
  <si>
    <t>Perdition</t>
  </si>
  <si>
    <t>Cody</t>
  </si>
  <si>
    <t>Can set back time three seconds and displace objects/people</t>
  </si>
  <si>
    <t>Periastron</t>
  </si>
  <si>
    <t>Things tend to go in her favour</t>
  </si>
  <si>
    <t>Persecutor</t>
  </si>
  <si>
    <t>Can create materials/goods</t>
  </si>
  <si>
    <t>Pestilence</t>
  </si>
  <si>
    <t>Phir Se</t>
  </si>
  <si>
    <t>Creates portals through time</t>
  </si>
  <si>
    <t>Killed by Behemoth</t>
  </si>
  <si>
    <t>Phir Sē</t>
  </si>
  <si>
    <t>Phoenixfeather</t>
  </si>
  <si>
    <t>Capable of generating flames</t>
  </si>
  <si>
    <t>Dead, kept as shade</t>
  </si>
  <si>
    <t>Photon Mom</t>
  </si>
  <si>
    <t>Phu comti</t>
  </si>
  <si>
    <t>Pime Abtiss</t>
  </si>
  <si>
    <t>Pinpoint</t>
  </si>
  <si>
    <t>Visual power that gives information on physical makeup, including past and future, and any weakpoints.</t>
  </si>
  <si>
    <t>Poletama</t>
  </si>
  <si>
    <t>Polish</t>
  </si>
  <si>
    <t>Reference sheet: Disposition, Type, Team, Series</t>
  </si>
  <si>
    <t>Prancer</t>
  </si>
  <si>
    <t>Linc</t>
  </si>
  <si>
    <t>Enhanced agility and reflexes fast enough to dodge bullets. Powers disrupted when damage taken.</t>
  </si>
  <si>
    <t>Prefab</t>
  </si>
  <si>
    <t>Creates and enhances structures, though requires time</t>
  </si>
  <si>
    <t>Prete</t>
  </si>
  <si>
    <t>Can utilize the powers of all capes in a 60' sphere. Can only be used three times a day.</t>
  </si>
  <si>
    <t>Pretender</t>
  </si>
  <si>
    <t>Status uncertain in source: 'Killed by Zion?'</t>
  </si>
  <si>
    <t>Can take over the bodies of others</t>
  </si>
  <si>
    <t>Killed by Zion?</t>
  </si>
  <si>
    <t>Prin Hunlika</t>
  </si>
  <si>
    <t>Princess Scarecrow</t>
  </si>
  <si>
    <t>Generates aversion fields driving all in its area away</t>
  </si>
  <si>
    <t>Prince Lutin</t>
  </si>
  <si>
    <t>Flying breaker state capable of flinging electricity, and a random additional power every six hours.</t>
  </si>
  <si>
    <t>Prince of Blades</t>
  </si>
  <si>
    <t>Printaniere</t>
  </si>
  <si>
    <t>Can turn objects/people varying levels of invisible</t>
  </si>
  <si>
    <t>Prism</t>
  </si>
  <si>
    <t>Sam</t>
  </si>
  <si>
    <t>Can split self into three, rejoining to boost self</t>
  </si>
  <si>
    <t>Type: default Human – no Case 53/Endbringer/Titan indicator found (verify); Reference sheet: Disposition, Series; Gender: from memory of canon / civilian name (verify on wiki)</t>
  </si>
  <si>
    <t>Professor Haywire</t>
  </si>
  <si>
    <t>Independent?</t>
  </si>
  <si>
    <t>3.04</t>
  </si>
  <si>
    <t>Prolapse</t>
  </si>
  <si>
    <t>Biokinetic durability, size, touch turned individuals inside out.</t>
  </si>
  <si>
    <t>Prophet</t>
  </si>
  <si>
    <t>Reference sheet: status</t>
  </si>
  <si>
    <t>Psychosoma</t>
  </si>
  <si>
    <t>Stranger 4 Master 7</t>
  </si>
  <si>
    <t>Turned bystanders into controlled, wall-crawling beasts.  Effect was fragile, with victim returning to normal if beast form was harmed.</t>
  </si>
  <si>
    <t>Puma</t>
  </si>
  <si>
    <t>Midas</t>
  </si>
  <si>
    <t>Purity</t>
  </si>
  <si>
    <t>Independent/Empire Eighty-Eight/The Pure</t>
  </si>
  <si>
    <t>Blaster 8 Mover 4</t>
  </si>
  <si>
    <t>Multiple affiliations – choose last known team; Status needs review: 'Trapped by Gray Boy'</t>
  </si>
  <si>
    <t>Kayden Anders</t>
  </si>
  <si>
    <t>Flier who can channel massive bursts of light. Also draws energy from sun</t>
  </si>
  <si>
    <t>Independent/E88/The Pure</t>
  </si>
  <si>
    <t>Interlude 4</t>
  </si>
  <si>
    <t>Pyrotechnical</t>
  </si>
  <si>
    <t>Focus on fire, special effects, and guns</t>
  </si>
  <si>
    <t>P̄hū̂ comtī</t>
  </si>
  <si>
    <t>Quark</t>
  </si>
  <si>
    <t>Caroline Ranson</t>
  </si>
  <si>
    <t>Queen of Spades</t>
  </si>
  <si>
    <t>Queen of Swords</t>
  </si>
  <si>
    <t>Trump: Created lines to other capes and amassed their effects.</t>
  </si>
  <si>
    <t>Queen of Wands</t>
  </si>
  <si>
    <t>Rail</t>
  </si>
  <si>
    <t>Mover/Blaster 2</t>
  </si>
  <si>
    <t>Sadie J. Austin</t>
  </si>
  <si>
    <t>Can move objects 43 ft, while granting damage immunity</t>
  </si>
  <si>
    <t>Ramrod</t>
  </si>
  <si>
    <t>Imbued touched objects (primarily bo-staff) with diffuse but powerful impacts, manton limited to favor objects over individuals.</t>
  </si>
  <si>
    <t>Ramus</t>
  </si>
  <si>
    <t>Ratcatcher</t>
  </si>
  <si>
    <t>Can detect small items, regardless of location.</t>
  </si>
  <si>
    <t>Rattenfänger</t>
  </si>
  <si>
    <t>Ravager</t>
  </si>
  <si>
    <t>Enhanced physique, all wounds inflicted would fester and scar horrifically if not tended to, scratches becoming eviscerations; maintained clairvoyant awareness of wounded.</t>
  </si>
  <si>
    <t>Ravine</t>
  </si>
  <si>
    <t>Raymancer</t>
  </si>
  <si>
    <t>Creates innumerable energy blasts, condensing them to amplify effects</t>
  </si>
  <si>
    <t>Reference sheet: Disposition, Status, Power class, Series</t>
  </si>
  <si>
    <t>Reaver</t>
  </si>
  <si>
    <t>Regent</t>
  </si>
  <si>
    <t>Hijack</t>
  </si>
  <si>
    <t>Jean-Paul Vasil</t>
  </si>
  <si>
    <t>Can control others' bodies, power increasing with exposure</t>
  </si>
  <si>
    <t>Regis Rex</t>
  </si>
  <si>
    <t>Relay</t>
  </si>
  <si>
    <t>Swap teleporter and telepath. (WIP)</t>
  </si>
  <si>
    <t>Ren</t>
  </si>
  <si>
    <t>Sucked/blew out air, creating suction</t>
  </si>
  <si>
    <t>Type: default Human – no Case 53/Endbringer/Titan indicator found (verify); Reference sheet: Disposition, Status</t>
  </si>
  <si>
    <t>Resolute</t>
  </si>
  <si>
    <t>Georgia Woo</t>
  </si>
  <si>
    <t>Revel</t>
  </si>
  <si>
    <t>Creates orbs of energy and can absorb the energy of attacks</t>
  </si>
  <si>
    <t>Rifle</t>
  </si>
  <si>
    <t>Rime</t>
  </si>
  <si>
    <t>Created compressed ice fractals that could curve in air.  Fractals exploded into glaciers on impact.</t>
  </si>
  <si>
    <t>Roadblock</t>
  </si>
  <si>
    <t>Wardens</t>
  </si>
  <si>
    <t>2.04</t>
  </si>
  <si>
    <t>Rocketround</t>
  </si>
  <si>
    <t>Romp</t>
  </si>
  <si>
    <t>Master/Shaker</t>
  </si>
  <si>
    <t>Alternate name for Mockshow, above</t>
  </si>
  <si>
    <t>Reference sheet: Disposition, Team, Power class</t>
  </si>
  <si>
    <t>Rook</t>
  </si>
  <si>
    <t>Rosary</t>
  </si>
  <si>
    <t>Linda Brown</t>
  </si>
  <si>
    <t>Can tear apart and reform objects around her to create a swirling vortex</t>
  </si>
  <si>
    <t>Type: default Human – no Case 53/Endbringer/Titan indicator found (verify); Reference sheet: Disposition; Gender: pronouns in sheet text</t>
  </si>
  <si>
    <t>Rostam</t>
  </si>
  <si>
    <t>Roucouler</t>
  </si>
  <si>
    <t>Roulette</t>
  </si>
  <si>
    <t>Thinker 4</t>
  </si>
  <si>
    <t>Desdemona "Dez" Shelley</t>
  </si>
  <si>
    <t>Can view a "spread" of various futures at a time</t>
  </si>
  <si>
    <t>Rune</t>
  </si>
  <si>
    <t>Can move anything she touches</t>
  </si>
  <si>
    <t>Sadboy</t>
  </si>
  <si>
    <t>Saint</t>
  </si>
  <si>
    <t>Tinker 0</t>
  </si>
  <si>
    <t>Multiple affiliations – choose last known team; Status needs review: 'Enslaved by Teacher'</t>
  </si>
  <si>
    <t>Geoff Pelleck</t>
  </si>
  <si>
    <t>Tinker 0, maintained understanding of Dragon's tech via. Teacher</t>
  </si>
  <si>
    <t>Independent/Teacher</t>
  </si>
  <si>
    <t>Enslaved by Teacher</t>
  </si>
  <si>
    <t>Saltykov</t>
  </si>
  <si>
    <t>Piotr Saltykov</t>
  </si>
  <si>
    <t>Could compel others to reverse allegiances, acting out with extreme prejudice against things they valued most, to the best of their abilities.</t>
  </si>
  <si>
    <t>Samuel</t>
  </si>
  <si>
    <t>Sanguine</t>
  </si>
  <si>
    <t>Can manipulate blood</t>
  </si>
  <si>
    <t>Satyrical</t>
  </si>
  <si>
    <t>Master/Changer</t>
  </si>
  <si>
    <t>Creates clones capable of shapeshifting</t>
  </si>
  <si>
    <t>Saurian</t>
  </si>
  <si>
    <t>Darlene Beckman</t>
  </si>
  <si>
    <t>Scanner</t>
  </si>
  <si>
    <t>Teacher</t>
  </si>
  <si>
    <t>Can read/interpret the thoughts and brain patterns of others</t>
  </si>
  <si>
    <t>Interlude 28</t>
  </si>
  <si>
    <t>Scapegoat</t>
  </si>
  <si>
    <t>Can transfer injuries to and from himself with a touch</t>
  </si>
  <si>
    <t>Scarab</t>
  </si>
  <si>
    <t>Type: Case 53 per sheet text</t>
  </si>
  <si>
    <t>Schwarze Tante</t>
  </si>
  <si>
    <t>Scion</t>
  </si>
  <si>
    <t>Zion</t>
  </si>
  <si>
    <t>Breaker, Trump</t>
  </si>
  <si>
    <t>Screamer</t>
  </si>
  <si>
    <t>Can manipulate sound, imitating voices, broadcasting across wide areas, etc. Can also nullify others' voices given time</t>
  </si>
  <si>
    <t>Screen</t>
  </si>
  <si>
    <t>Helps focus clairvoyants, particularly 265, and limit the drawbacks created by their powers</t>
  </si>
  <si>
    <t>Scroll</t>
  </si>
  <si>
    <t>Can define a cube of space, and teleport between "faces" on opposing sides.</t>
  </si>
  <si>
    <t>Scrub</t>
  </si>
  <si>
    <t>Blaster 8-10</t>
  </si>
  <si>
    <t>Can remove matter from existence with beams</t>
  </si>
  <si>
    <t>11.6</t>
  </si>
  <si>
    <t>Sere</t>
  </si>
  <si>
    <t>Draws moisture to himself. Can dehydrate others</t>
  </si>
  <si>
    <t>Shadow Stalker</t>
  </si>
  <si>
    <t>Breaker 3 Stranger 2 Mover 1</t>
  </si>
  <si>
    <t>Sophia Hess</t>
  </si>
  <si>
    <t>Can shift into shadow form, allowing intangibility</t>
  </si>
  <si>
    <t>Sham</t>
  </si>
  <si>
    <t>Shamrock</t>
  </si>
  <si>
    <t>Case 53, utilizes minor powers to the equivalent of luck</t>
  </si>
  <si>
    <t>Type: Case 53 per sheet text; Reference sheet: Disposition, Status; Gender: from memory of canon / civilian name (verify on wiki)</t>
  </si>
  <si>
    <t>Shatterbird</t>
  </si>
  <si>
    <t>Shaker, Mover, Thinker</t>
  </si>
  <si>
    <t>Can control/manipulate glass and other silicas</t>
  </si>
  <si>
    <t>Shattershelter</t>
  </si>
  <si>
    <t>Irene</t>
  </si>
  <si>
    <t>Power redirects damage taken to surfaces she is touching</t>
  </si>
  <si>
    <t>Shen yu</t>
  </si>
  <si>
    <t>Thinker, maintained expert tactical abilities and understanding of movements and maneuvers, giving a pseudo-clairvoyance regarding battlefields</t>
  </si>
  <si>
    <t>Shielder</t>
  </si>
  <si>
    <t>Mover, Blaster</t>
  </si>
  <si>
    <t>Shaker, Mover, Blaster</t>
  </si>
  <si>
    <t>Eric Pelham</t>
  </si>
  <si>
    <t>Shortcut</t>
  </si>
  <si>
    <t>Advance Guard</t>
  </si>
  <si>
    <t>2.03</t>
  </si>
  <si>
    <t>Shuffle</t>
  </si>
  <si>
    <t>Can teleport sections of a landscape. Limited accuracy/control.</t>
  </si>
  <si>
    <t>Shén Yù</t>
  </si>
  <si>
    <t>The Siberian</t>
  </si>
  <si>
    <t>William Manton</t>
  </si>
  <si>
    <t>Indestructible, super strong projection in the form of a naked woman</t>
  </si>
  <si>
    <t>Killed by Dragon</t>
  </si>
  <si>
    <t>Disposition: final status per memory of canon/affiliation (verify on wiki); Type: default Human – no Case 53/Endbringer/Titan indicator found (verify)</t>
  </si>
  <si>
    <t>Sifara</t>
  </si>
  <si>
    <t>Can manipulate relative movement; when a ball of earth is moved, objects tied to it move too</t>
  </si>
  <si>
    <t>Sigrdrifa</t>
  </si>
  <si>
    <t>Controls two 7' rings, and can teleport objects between them.</t>
  </si>
  <si>
    <t>Silk Road</t>
  </si>
  <si>
    <t>Silkroad</t>
  </si>
  <si>
    <t>Able to lay strips of power that multiply others' speed</t>
  </si>
  <si>
    <t>The Simurgh</t>
  </si>
  <si>
    <t>Ulama; Israfel; Ziz</t>
  </si>
  <si>
    <t>Thinker &gt;10, Tinker, Trump</t>
  </si>
  <si>
    <t>Skidmark</t>
  </si>
  <si>
    <t>Shaker 2</t>
  </si>
  <si>
    <t>Adam Mustain</t>
  </si>
  <si>
    <t>Can create deflector fields</t>
  </si>
  <si>
    <t>Killed by the Slaughterhouse 9</t>
  </si>
  <si>
    <t>Skinslip</t>
  </si>
  <si>
    <t>Regenerator capable of manipulating his own skin and absorbing that of others</t>
  </si>
  <si>
    <t>Skitter</t>
  </si>
  <si>
    <t>Weaver; Khepri; Taylor Hebert</t>
  </si>
  <si>
    <t>Master 8 Thinker 2</t>
  </si>
  <si>
    <t>Disposition changes – use final (see Rules); Multiple affiliations – choose last known team; Status needs review: 'Ambiguous'</t>
  </si>
  <si>
    <t>Has control over simple-brained organisms visible to the human eye. Bugs, crabs, etc. Also sees/hears what they do.</t>
  </si>
  <si>
    <t>Undersiders/Wards</t>
  </si>
  <si>
    <t>Gender: from memory of canon (verify on wiki); Type: default Human – no Case 53/Endbringer/Titan indicator found (verify); Reference sheet: Disposition, Team; Reference sheet: Status</t>
  </si>
  <si>
    <t>Sleeper</t>
  </si>
  <si>
    <t>Fx nk N\’i wjfqqd uzy xtrjymnsl mjwj. Ktw wjfq.</t>
  </si>
  <si>
    <t>Smackdown</t>
  </si>
  <si>
    <t>Jennie Ryan</t>
  </si>
  <si>
    <t>Snag</t>
  </si>
  <si>
    <t>Snaptrap</t>
  </si>
  <si>
    <t>Shaker 7 Mover 1</t>
  </si>
  <si>
    <t>Ryan Murray</t>
  </si>
  <si>
    <t>Creates gravity spheres that may be used to cut or crush objects/people</t>
  </si>
  <si>
    <t>Snowflake</t>
  </si>
  <si>
    <t>Charlotte Tom</t>
  </si>
  <si>
    <t>Snowmann</t>
  </si>
  <si>
    <t>Tinker, Shaker</t>
  </si>
  <si>
    <t>Snubnose</t>
  </si>
  <si>
    <t>Blaster 3/Brute 5</t>
  </si>
  <si>
    <t>Zoe Shane</t>
  </si>
  <si>
    <t>Can emit sparks from skin out to 8 ft, which create an antigravity effect on touch. Allows her to wear an 800 lb. suit.</t>
  </si>
  <si>
    <t>Snuff</t>
  </si>
  <si>
    <t>3.01</t>
  </si>
  <si>
    <t>Spawner</t>
  </si>
  <si>
    <t>Changer, Master</t>
  </si>
  <si>
    <t>Brute, Changer, Master</t>
  </si>
  <si>
    <t>Speaker of the House</t>
  </si>
  <si>
    <t>Marion Dirks</t>
  </si>
  <si>
    <t>Listening to speaker of the house builds up a latent cascade of mental/sonic energy. Stuns/deafens people at will based on how much they've heard her talk.</t>
  </si>
  <si>
    <t>Type: default Human – no Case 53/Endbringer/Titan indicator found (verify); Gender: pronouns in sheet text</t>
  </si>
  <si>
    <t>Spell</t>
  </si>
  <si>
    <t>Spire</t>
  </si>
  <si>
    <t>Spitfire</t>
  </si>
  <si>
    <t>Emily</t>
  </si>
  <si>
    <t>Can spit out a flamable chemical that ignites on contact with air</t>
  </si>
  <si>
    <t>Sploosh</t>
  </si>
  <si>
    <t>Blaster, Brute, Mover, Stranger</t>
  </si>
  <si>
    <t>Shaker 6/Blaster 4/Brute 6/Mover 5/Stranger 2</t>
  </si>
  <si>
    <t>Can shift form into sentient condensation of various states</t>
  </si>
  <si>
    <t>Spree</t>
  </si>
  <si>
    <t>Rapid fire duplicate creation, at the cost of exponential intelligence loss in clones</t>
  </si>
  <si>
    <t>Spright</t>
  </si>
  <si>
    <t>Spruce</t>
  </si>
  <si>
    <t>Disintegration based ability</t>
  </si>
  <si>
    <t>Spur</t>
  </si>
  <si>
    <t>Precog whose effectiveness increases with chaos and emotionality</t>
  </si>
  <si>
    <t>Squealer</t>
  </si>
  <si>
    <t>Tinker 2 Mover 3</t>
  </si>
  <si>
    <t>Sherrel Bailey</t>
  </si>
  <si>
    <t>Can create massive, overburdened vehicles</t>
  </si>
  <si>
    <t>Squint</t>
  </si>
  <si>
    <t>Can sense contraband and other hazards.</t>
  </si>
  <si>
    <t>Stain</t>
  </si>
  <si>
    <t>Standstill</t>
  </si>
  <si>
    <t>Thirteenth Hour</t>
  </si>
  <si>
    <t>Can force sleep on those around her, though affects her as well</t>
  </si>
  <si>
    <t>Stardust</t>
  </si>
  <si>
    <t>Starlet</t>
  </si>
  <si>
    <t>Blaster 4, Shaker 4</t>
  </si>
  <si>
    <t>Steamwheel</t>
  </si>
  <si>
    <t>Steel Eagle</t>
  </si>
  <si>
    <t>Stinger</t>
  </si>
  <si>
    <t>Tinker specializing in propulsion, mainly jetpacks and missiles.</t>
  </si>
  <si>
    <t>Interlude 3</t>
  </si>
  <si>
    <t>Stormtiger</t>
  </si>
  <si>
    <t>Thinker, Mover</t>
  </si>
  <si>
    <t>Shaker, Thinker, Mover</t>
  </si>
  <si>
    <t>Can create "blades" of air that are launched as weapons</t>
  </si>
  <si>
    <t>Strapping Lad</t>
  </si>
  <si>
    <t>Strider</t>
  </si>
  <si>
    <t>Craig McNish</t>
  </si>
  <si>
    <t>Capable of mass teleportation</t>
  </si>
  <si>
    <t>String Theory</t>
  </si>
  <si>
    <t>Tinker favoring macro-scale doomsday devices, created objects had timers built in from start of creation process, with catastrophic misfires if interrupted.</t>
  </si>
  <si>
    <t>Strongarm</t>
  </si>
  <si>
    <t>Subject 265</t>
  </si>
  <si>
    <t>Can grant complete clairvoyance, also overriding other perception powers</t>
  </si>
  <si>
    <t>Subject 3016</t>
  </si>
  <si>
    <t>Reyner</t>
  </si>
  <si>
    <t>Capable of manifesting parts of his body from various dimensions, resulting in more powerful attacks</t>
  </si>
  <si>
    <t>Type: default Human – no Case 53/Endbringer/Titan indicator found (verify); Reference sheet: Type; Gender: pronouns in sheet text</t>
  </si>
  <si>
    <t>Sundancer</t>
  </si>
  <si>
    <t>Marissa Newland</t>
  </si>
  <si>
    <t>Can create a miniature sun. Is immune to its heat</t>
  </si>
  <si>
    <t>5.06</t>
  </si>
  <si>
    <t>Reference sheet: disposition, type, team, status; Gender: from memory of canon / civilian name (verify on wiki)</t>
  </si>
  <si>
    <t>Sybill</t>
  </si>
  <si>
    <t>Tandem</t>
  </si>
  <si>
    <t>Tattletale</t>
  </si>
  <si>
    <t>Thinker 7</t>
  </si>
  <si>
    <t>Lisa Wilbourn/Sara Livsey</t>
  </si>
  <si>
    <t>Power provides intuition on various topics</t>
  </si>
  <si>
    <t>The Taught</t>
  </si>
  <si>
    <t>Grants tinker and thinker powers to those he touches, at the cost of their willpower</t>
  </si>
  <si>
    <t>Reference sheet: Disposition, Team, Power class; Gender: pronouns in sheet text</t>
  </si>
  <si>
    <t>Tecton</t>
  </si>
  <si>
    <t>Tinker Thinker</t>
  </si>
  <si>
    <t>Everett</t>
  </si>
  <si>
    <t>Uses power armor to create earthquakes and modify the ground and architecture</t>
  </si>
  <si>
    <t>Tempera</t>
  </si>
  <si>
    <t>Thane</t>
  </si>
  <si>
    <t>Thirteen</t>
  </si>
  <si>
    <t>Can create forcefield constructions: constructions quickly drain energy.</t>
  </si>
  <si>
    <t>Thirty-One</t>
  </si>
  <si>
    <t>Cutting lasers</t>
  </si>
  <si>
    <t>Thirty-Two</t>
  </si>
  <si>
    <t>Fires "stilling" waves.</t>
  </si>
  <si>
    <t>The Three</t>
  </si>
  <si>
    <t>Toggle</t>
  </si>
  <si>
    <t>Tohu</t>
  </si>
  <si>
    <t>Tomcat</t>
  </si>
  <si>
    <t>Creates rotating TK fields around his hands, allowing enhanced movement and attacks.</t>
  </si>
  <si>
    <t>Tong Ling Ta</t>
  </si>
  <si>
    <t>Ziggurat</t>
  </si>
  <si>
    <t>Produced shaker waves that altered terrain within their scope, raising, restructuring, or leveling buildings.</t>
  </si>
  <si>
    <t>Topsy</t>
  </si>
  <si>
    <t>Daniel Torres</t>
  </si>
  <si>
    <t>Can create gravity wells, pulling people up or sideways as opposed to down</t>
  </si>
  <si>
    <t>Tornit</t>
  </si>
  <si>
    <t>Can create a localized snowstorm at will.</t>
  </si>
  <si>
    <t>Toy Soldier</t>
  </si>
  <si>
    <t>Toybox; Archer's Bridge Merchants</t>
  </si>
  <si>
    <t>Trainwreck</t>
  </si>
  <si>
    <t>Independent/Merchants</t>
  </si>
  <si>
    <t>Case 53. Uses a steam-powered set of power armor</t>
  </si>
  <si>
    <t>Type: Case 53 per sheet text; Reference sheet: Disposition; Gender: from memory of canon / civilian name (verify on wiki)</t>
  </si>
  <si>
    <t>Tribute</t>
  </si>
  <si>
    <t>Trickster</t>
  </si>
  <si>
    <t>Francis Krouse</t>
  </si>
  <si>
    <t>Can teleport two similar objects and swap their locations</t>
  </si>
  <si>
    <t>Triumph</t>
  </si>
  <si>
    <t>Blaster 8/Shaker 6</t>
  </si>
  <si>
    <t>Rory Christner</t>
  </si>
  <si>
    <t>Improved strength and durability, can create blasts with his voice</t>
  </si>
  <si>
    <t>Tunguska</t>
  </si>
  <si>
    <t>Blaster 6 Shaker 6</t>
  </si>
  <si>
    <t>Creates large scale, powerful energy blasts. Can only move 15 mph and must be created 4+ ft away</t>
  </si>
  <si>
    <t>Turanta</t>
  </si>
  <si>
    <t>Capable of large scale manipulation of objects</t>
  </si>
  <si>
    <t>Twenty-Three</t>
  </si>
  <si>
    <t>Enhanced Perception focused on others; enhanced reflexes focused on people who would attack the parahuman.</t>
  </si>
  <si>
    <t>Two</t>
  </si>
  <si>
    <t>Enhances other powers</t>
  </si>
  <si>
    <t>Typhlosis</t>
  </si>
  <si>
    <t>Tyrant</t>
  </si>
  <si>
    <t>Striker, Master, Trump</t>
  </si>
  <si>
    <t>Brute, Striker/Master, | Trump</t>
  </si>
  <si>
    <t>Bonesaw fusion of King and Hatchet Face</t>
  </si>
  <si>
    <t>Uber</t>
  </si>
  <si>
    <t>Can master skils at will</t>
  </si>
  <si>
    <t>Uglymug</t>
  </si>
  <si>
    <t>Uppercrust</t>
  </si>
  <si>
    <t>Upperhand</t>
  </si>
  <si>
    <t>Don Fraser</t>
  </si>
  <si>
    <t>Trump.  Could copy the general nature of powers with an output, and produced his own output in form of powerful hypergravity, pulverizing targets.</t>
  </si>
  <si>
    <t>Uppermost</t>
  </si>
  <si>
    <t>Ursa Aurora</t>
  </si>
  <si>
    <t>Creates bear shaped forcefields</t>
  </si>
  <si>
    <t>Usher</t>
  </si>
  <si>
    <t>Provided single-target power immunity to others.</t>
  </si>
  <si>
    <t>Valefor</t>
  </si>
  <si>
    <t>Master/Stranger</t>
  </si>
  <si>
    <t>Status needs review: 'Eyes eaten by maggots'</t>
  </si>
  <si>
    <t>Can implant suggestions and instructions in those he makes eye contact with</t>
  </si>
  <si>
    <t>Eyes eaten by maggots</t>
  </si>
  <si>
    <t>Vantage</t>
  </si>
  <si>
    <t>Brute, Mover</t>
  </si>
  <si>
    <t>Super strength/reflexes that scale with number of opponents. Short range teleportation</t>
  </si>
  <si>
    <t>Vellum</t>
  </si>
  <si>
    <t>Striker, Brute, Mover</t>
  </si>
  <si>
    <t>Breaker 4/Striker 4/Brute 2/Mover 1</t>
  </si>
  <si>
    <t>Tanya Engalychev</t>
  </si>
  <si>
    <t>Can strip humans of their skin and enhance her own durability, speed, etc</t>
  </si>
  <si>
    <t>Velocity</t>
  </si>
  <si>
    <t>Robin Swoyer</t>
  </si>
  <si>
    <t>Can move faster with the cost of limited effect on the world</t>
  </si>
  <si>
    <t>Velvet</t>
  </si>
  <si>
    <t>Harper</t>
  </si>
  <si>
    <t>Forcefields/telekinesis builds up around her over time, increasing strength, leverage, etc.</t>
  </si>
  <si>
    <t>Vex</t>
  </si>
  <si>
    <t>Can fill empty space with razor sharp forcefields</t>
  </si>
  <si>
    <t>Victor</t>
  </si>
  <si>
    <t>Steals skills from others, giving them to himself</t>
  </si>
  <si>
    <t>Vikare</t>
  </si>
  <si>
    <t>Virago</t>
  </si>
  <si>
    <t>Shaker, Brute</t>
  </si>
  <si>
    <t>Mover 5 Shaker 4 Brute 1</t>
  </si>
  <si>
    <t>Capable of short range teleportation and disruption of electromagnetics</t>
  </si>
  <si>
    <t>Vista</t>
  </si>
  <si>
    <t>Shaker 9</t>
  </si>
  <si>
    <t>Missy Biron</t>
  </si>
  <si>
    <t>Can manipulate space, increasing or decreasing distances and direction. Cannot effect areas containing people</t>
  </si>
  <si>
    <t>Wards/Wardens</t>
  </si>
  <si>
    <t>Vitiator</t>
  </si>
  <si>
    <t>Vixen</t>
  </si>
  <si>
    <t>Vornehm</t>
  </si>
  <si>
    <t>Meisters</t>
  </si>
  <si>
    <t>Wanton</t>
  </si>
  <si>
    <t>Breaker Stranger</t>
  </si>
  <si>
    <t>Can transform into a telekinetic storm</t>
  </si>
  <si>
    <t>Watch</t>
  </si>
  <si>
    <t>Mover, Striker</t>
  </si>
  <si>
    <t>Thinker, Mover, Striker</t>
  </si>
  <si>
    <t>Intense, short ranged clairvoyance, limited super speed, and the ability to reach through and injure people's arteries, nerves, etc.</t>
  </si>
  <si>
    <t>WCM</t>
  </si>
  <si>
    <t>Weld</t>
  </si>
  <si>
    <t>Brute/Changer</t>
  </si>
  <si>
    <t>Case 53, is made of metal, which he absorbs upon touch</t>
  </si>
  <si>
    <t>Interlude 7</t>
  </si>
  <si>
    <t>Gender: pronouns in sheet text; Disposition: final status per memory of canon/affiliation (verify on wiki); Reference sheet: Status, Team</t>
  </si>
  <si>
    <t>Wendigo</t>
  </si>
  <si>
    <t>Whimper</t>
  </si>
  <si>
    <t>Whirlygig</t>
  </si>
  <si>
    <t>Telekinesis, but only in a counter-clockwise duration around herself.  Effectively a point-blank telekinetic cyclone</t>
  </si>
  <si>
    <t>Whittler</t>
  </si>
  <si>
    <t>Whorl</t>
  </si>
  <si>
    <t>Sort of weather manipulator. (WIP)</t>
  </si>
  <si>
    <t>Slaughterhouse Nine; Cauldron (formerly)</t>
  </si>
  <si>
    <t>Winter</t>
  </si>
  <si>
    <t>Can create a cloud of fog that slows kinetic energy of molecules within and slows mental processes</t>
  </si>
  <si>
    <t>Reference sheet: Disposition, Status, Power class; Gender: from memory of canon / civilian name (verify on wiki)</t>
  </si>
  <si>
    <t>Woebegone</t>
  </si>
  <si>
    <t>Young Buck</t>
  </si>
  <si>
    <t>Breaker, Mover</t>
  </si>
  <si>
    <t>Zigzag</t>
  </si>
  <si>
    <t>Bennie Debold and Geoff Shearn</t>
  </si>
  <si>
    <t>Über</t>
  </si>
  <si>
    <t>Über and Leet (formerly)</t>
  </si>
  <si>
    <t>Reference sheet: disposition; Gender: from memory of canon / civilian name (verify on wiki)</t>
  </si>
  <si>
    <t>Unlocked after wrong guess #</t>
  </si>
  <si>
    <t>Clue</t>
  </si>
  <si>
    <t>Allowed values</t>
  </si>
  <si>
    <t>Rule / note</t>
  </si>
  <si>
    <t>Roster rows filled</t>
  </si>
  <si>
    <t>Roster fill %</t>
  </si>
  <si>
    <t>Disposition</t>
  </si>
  <si>
    <t>Hero / Villain / Rogue</t>
  </si>
  <si>
    <t>Final disposition in canon; original in-universe label shown in tooltip</t>
  </si>
  <si>
    <t>Human / Case 53 / Endbringer / Titan (+ Other, assumed)</t>
  </si>
  <si>
    <t>Titan roster unverified</t>
  </si>
  <si>
    <t>Male / Female / Nonbinary / Unknown</t>
  </si>
  <si>
    <t>As presented in the text</t>
  </si>
  <si>
    <t>Status</t>
  </si>
  <si>
    <t>Alive / Dead / Unknown</t>
  </si>
  <si>
    <t>As of end of Ward (20.end); spoiler-heavy</t>
  </si>
  <si>
    <t>Team</t>
  </si>
  <si>
    <t>Team name or 'No team'</t>
  </si>
  <si>
    <t>Last known team; earlier teams on reveal card only</t>
  </si>
  <si>
    <t>Power class</t>
  </si>
  <si>
    <t>Mover/Shaker/Brute/Breaker/Master/Tinker/Blaster/Thinker/Striker/Changer/Trump/Stranger</t>
  </si>
  <si>
    <t>Primary class only; hybrids flagged</t>
  </si>
  <si>
    <t>Class</t>
  </si>
  <si>
    <t>Meaning (Worm Wiki)</t>
  </si>
  <si>
    <t>Roster: primary count</t>
  </si>
  <si>
    <t>Roster: share</t>
  </si>
  <si>
    <t>Enhanced speed or mobility (flight, speed, teleportation)</t>
  </si>
  <si>
    <t>Area-of-effect ability</t>
  </si>
  <si>
    <t>Enhanced strength or durability</t>
  </si>
  <si>
    <t>Shifts into another state</t>
  </si>
  <si>
    <t>Controls others or creates minions</t>
  </si>
  <si>
    <t>Creates or alters advanced technology</t>
  </si>
  <si>
    <t>Long-ranged offensive ability</t>
  </si>
  <si>
    <t>Information gathering / advanced perception</t>
  </si>
  <si>
    <t>Melee- or touch-based ability</t>
  </si>
  <si>
    <t>Alters own form or appearance</t>
  </si>
  <si>
    <t>Manipulates powers in some capacity</t>
  </si>
  <si>
    <t>Stealth and/or infiltration</t>
  </si>
  <si>
    <t>Total</t>
  </si>
  <si>
    <t>Mnemonic (Weld's rhyme): Mover, Shaker, Brute, Breaker; Master, Tinker, Blaster, Thinker; Striker, Changer, Trump, Stranger.</t>
  </si>
  <si>
    <t>Setting</t>
  </si>
  <si>
    <t>Value</t>
  </si>
  <si>
    <t>Note</t>
  </si>
  <si>
    <t>Number of clues</t>
  </si>
  <si>
    <t>Formula: counts clue rows</t>
  </si>
  <si>
    <t>Free first clue? (0 = blind first guess, 1 = yes)</t>
  </si>
  <si>
    <t>INPUT. Open question #1; default 0 follows your spec</t>
  </si>
  <si>
    <t>Max guesses</t>
  </si>
  <si>
    <t>Clues + 1 final guess (7 with 6 clues)</t>
  </si>
  <si>
    <t>Answer pool target – min</t>
  </si>
  <si>
    <t>INPUT. Outline range 150–250</t>
  </si>
  <si>
    <t>Answer pool target – max</t>
  </si>
  <si>
    <t>INPUT</t>
  </si>
  <si>
    <t>Capes on classification page (approx.)</t>
  </si>
  <si>
    <t>INPUT. Approximate; the page lists ~300 names incl. redirects</t>
  </si>
  <si>
    <t>Reset time</t>
  </si>
  <si>
    <t>Midnight CET</t>
  </si>
  <si>
    <t>As on Eldendle</t>
  </si>
  <si>
    <t>— Live progress —</t>
  </si>
  <si>
    <t>Capes in roster</t>
  </si>
  <si>
    <t>Formula</t>
  </si>
  <si>
    <t>Answer-pool eligible (all 6 fields, not disputed)</t>
  </si>
  <si>
    <t>Progress to min pool target</t>
  </si>
  <si>
    <t>Average fields filled (of 6)</t>
  </si>
  <si>
    <t>Capes flagged disputed</t>
  </si>
  <si>
    <t>Topic</t>
  </si>
  <si>
    <t>Rule</t>
  </si>
  <si>
    <t>As of end of Ward (20.end); if the cape never returns, last-appearance state.</t>
  </si>
  <si>
    <t>Cape's final status in canon. Collapse in-universe labels (mercenary, ideologue, etc.) into Hero/Villain/Rogue; keep original in tooltip.</t>
  </si>
  <si>
    <t>Last known team; 'No team' if none. Earlier teams on reveal card only.</t>
  </si>
  <si>
    <t>First-listed (primary) class on the wiki. Hybrids shown as 'Class (hybrid)'. Only primary counts as correct.</t>
  </si>
  <si>
    <t>As presented in the text; 'Unknown' for non-gendered/unrevealed; 'Nonbinary' only if canon states it.</t>
  </si>
  <si>
    <t>Guesses</t>
  </si>
  <si>
    <t>7 total; each wrong guess unlocks the next clue; clues persist.</t>
  </si>
  <si>
    <t>Daily seed</t>
  </si>
  <si>
    <t>Deterministic daily puzzle; resets midnight CET; progress in local storage.</t>
  </si>
  <si>
    <t>Alias handling</t>
  </si>
  <si>
    <t>All aliases are accepted as guesses and map to one record (e.g. Skitter/Weaver/Khepri).</t>
  </si>
  <si>
    <t>Case</t>
  </si>
  <si>
    <t>Problem</t>
  </si>
  <si>
    <t>Handling</t>
  </si>
  <si>
    <t>Taylor (Skitter/Weaver/Khepri)</t>
  </si>
  <si>
    <t>Villain, then hero</t>
  </si>
  <si>
    <t>Use final disposition; accept all aliases.</t>
  </si>
  <si>
    <t>Scion, Eden, Dragon (AI)</t>
  </si>
  <si>
    <t>Not Human, Case 53, Endbringer or Titan</t>
  </si>
  <si>
    <t>Add 'Other (Entity/AI)' (assumed) or exclude from answers but keep guessable.</t>
  </si>
  <si>
    <t>Case 53s</t>
  </si>
  <si>
    <t>Often listed only as Changer/Breaker</t>
  </si>
  <si>
    <t>Cross-check Type on the individual page, not power class.</t>
  </si>
  <si>
    <t>Hybrid classes</t>
  </si>
  <si>
    <t>Spec wants one category</t>
  </si>
  <si>
    <t>Primary class only; hybrid shown in 'Hybrid / sub-ratings' column.</t>
  </si>
  <si>
    <t>Disputed ratings</t>
  </si>
  <si>
    <t>Wildbow says classifications are imperfect (e.g. Fog/Night); Battery marked speculative</t>
  </si>
  <si>
    <t>Flag in Roster col L; excluded from answer pool.</t>
  </si>
  <si>
    <t>Duplicate identities</t>
  </si>
  <si>
    <t>Multiple names for one person (e.g. March/Minakhm)</t>
  </si>
  <si>
    <t>Merge into one record with aliases.</t>
  </si>
  <si>
    <t>Field</t>
  </si>
  <si>
    <t>Source</t>
  </si>
  <si>
    <t>URL</t>
  </si>
  <si>
    <t>Name, aliases</t>
  </si>
  <si>
    <t>Worm Wiki – Power Classifications</t>
  </si>
  <si>
    <t>https://worm.fandom.com/wiki/Power_Classifications</t>
  </si>
  <si>
    <t>'See:' redirects give alias map</t>
  </si>
  <si>
    <t>Hybrids with slash; sub-ratings in parentheses</t>
  </si>
  <si>
    <t>Status, gender, team, disposition</t>
  </si>
  <si>
    <t>Worm Wiki individual pages + Cast (In Depth)</t>
  </si>
  <si>
    <t>https://parahumans.wordpress.com/cast-spoiler-free/cast/</t>
  </si>
  <si>
    <t>Cast tags: Deceased, Missing, Returned home</t>
  </si>
  <si>
    <t>Ward updates</t>
  </si>
  <si>
    <t>Ward table of contents</t>
  </si>
  <si>
    <t>https://www.parahumans.net/</t>
  </si>
  <si>
    <t>Arcs 0–20 and epilogues; verify against chapters</t>
  </si>
  <si>
    <t>Worm chapters</t>
  </si>
  <si>
    <t>Worm table of contents</t>
  </si>
  <si>
    <t>https://parahumans.wordpress.com/table-of-contents/</t>
  </si>
  <si>
    <t>Wiki home</t>
  </si>
  <si>
    <t>Worm Wiki</t>
  </si>
  <si>
    <t>https://worm.fandom.com/wiki/Worm_Wiki</t>
  </si>
  <si>
    <t>Page loaded only partially during research</t>
  </si>
  <si>
    <t>Format reference</t>
  </si>
  <si>
    <t>Eldendle</t>
  </si>
  <si>
    <t>https://eldendle.com</t>
  </si>
  <si>
    <t>Daily reset, local storage, archive</t>
  </si>
  <si>
    <t>Phase</t>
  </si>
  <si>
    <t>Feature</t>
  </si>
  <si>
    <t>Owner / notes</t>
  </si>
  <si>
    <t>MVP</t>
  </si>
  <si>
    <t>Daily puzzle on deterministic seed</t>
  </si>
  <si>
    <t>Not started</t>
  </si>
  <si>
    <t>Clue ladder UI + autocomplete</t>
  </si>
  <si>
    <t>Win/lose card</t>
  </si>
  <si>
    <t>Spoiler-safe share string</t>
  </si>
  <si>
    <t>Local-storage stats and streaks</t>
  </si>
  <si>
    <t>V1</t>
  </si>
  <si>
    <t>Archive of past puzzles</t>
  </si>
  <si>
    <t>Series filter (Worm / Ward / both)</t>
  </si>
  <si>
    <t>Spoiler warning before play</t>
  </si>
  <si>
    <t>Character reveal card + wiki link</t>
  </si>
  <si>
    <t>V2</t>
  </si>
  <si>
    <t>Eldendle-style tile mode</t>
  </si>
  <si>
    <t>Power-description mode</t>
  </si>
  <si>
    <t>Team-roster mode</t>
  </si>
  <si>
    <t>Question / gap</t>
  </si>
  <si>
    <t>Assumed default</t>
  </si>
  <si>
    <t>Show clue 1 from the start, or keep guess 1 fully blind?</t>
  </si>
  <si>
    <t>Blind (per spec)</t>
  </si>
  <si>
    <t>Is 7 guesses right, or end at guess 6 with clue 6 as final hint?</t>
  </si>
  <si>
    <t>7 guesses</t>
  </si>
  <si>
    <t>Should share string avoid naming clue types to protect spoilers?</t>
  </si>
  <si>
    <t>Yes, avoid</t>
  </si>
  <si>
    <t>Verify Titan roster from Ward chapters</t>
  </si>
  <si>
    <t>Pending</t>
  </si>
  <si>
    <t>Series is blank for ~96 capes with no Origin in the sheet – fill in Worm/Ward</t>
  </si>
  <si>
    <t>Gender: remaining blanks need wiki/chapter lookup (reference sheet has no gender column)</t>
  </si>
  <si>
    <t>In progress</t>
  </si>
  <si>
    <t>Sheet is partly Worm-era: confirm statuses against Ward epilogues</t>
  </si>
  <si>
    <t>Handle 'Other' type (Scion, Dragon): include or exclude from answers?</t>
  </si>
  <si>
    <t>Include as 'Other'</t>
  </si>
  <si>
    <t>Cape</t>
  </si>
  <si>
    <t>Existing value</t>
  </si>
  <si>
    <t>Reference value</t>
  </si>
  <si>
    <t>Action</t>
  </si>
  <si>
    <t>Basis / note</t>
  </si>
  <si>
    <t>filled</t>
  </si>
  <si>
    <t>kept existing (conflict)</t>
  </si>
  <si>
    <t>resolved multi-affiliation</t>
  </si>
  <si>
    <t>uncertain (Dead?)</t>
  </si>
  <si>
    <t>Daiichi's Gang</t>
  </si>
  <si>
    <t>Independent/Slaughterhouse Nine</t>
  </si>
  <si>
    <t>Protectorate/Guild</t>
  </si>
  <si>
    <t>overwritten by reference</t>
  </si>
  <si>
    <t>(multi-identity: final identity)</t>
  </si>
  <si>
    <t>Unnamed mercenary group</t>
  </si>
  <si>
    <t>Faultline's crew</t>
  </si>
  <si>
    <t>Empire Eighty-Eight/Fenrir's Chosen/Slaughterhouse Nine</t>
  </si>
  <si>
    <t>Gesellschaft</t>
  </si>
  <si>
    <t>Über and Leet</t>
  </si>
  <si>
    <t>Teacher, Cauldron</t>
  </si>
  <si>
    <t>Yes/No</t>
  </si>
  <si>
    <t>Spoiler level</t>
  </si>
  <si>
    <t>Roadmap status</t>
  </si>
  <si>
    <t>N</t>
  </si>
  <si>
    <t>Unknown</t>
  </si>
  <si>
    <t>Both</t>
  </si>
  <si>
    <t>Done</t>
  </si>
  <si>
    <t>Titan</t>
  </si>
  <si>
    <t>Dropped</t>
  </si>
  <si>
    <t>Decision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</si>
</sst>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0" fontId="5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vertical="top" wrapText="1"/>
    </xf>
    <xf numFmtId="0" fontId="3" fillId="0" borderId="0" xfId="0" applyFont="1"/>
    <xf numFmtId="9" fontId="3" fillId="0" borderId="0" xfId="0" applyNumberFormat="1" applyFont="1"/>
    <xf numFmtId="9" fontId="3" fillId="0" borderId="1" xfId="0" applyNumberFormat="1" applyFont="1" applyBorder="1"/>
    <xf numFmtId="0" fontId="2" fillId="0" borderId="0" xfId="0" applyFont="1"/>
    <xf numFmtId="0" fontId="5" fillId="3" borderId="0" xfId="0" applyFont="1" applyFill="1"/>
    <xf numFmtId="164" fontId="3" fillId="0" borderId="0" xfId="0" applyNumberFormat="1" applyFont="1"/>
    <xf numFmtId="0" fontId="5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4" fillId="2" borderId="0" xfId="0" applyFont="1" applyFill="1"/>
  </cellXfs>
  <cellStyles count="1">
    <cellStyle name="Normal" xfId="0" builtinId="0"/>
  </cellStyles>
  <dxfs count="1"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zoomScaleNormal="100" workbookViewId="0"/>
  </sheetViews>
  <sheetFormatPr defaultColWidth="8.7109375" defaultRowHeight="15" x14ac:dyDescent="0.25"/>
  <cols>
    <col min="1" max="1" width="20" customWidth="1"/>
    <col min="2" max="2" width="110" customWidth="1"/>
  </cols>
  <sheetData>
    <row r="1" spans="1:2" ht="18" x14ac:dyDescent="0.25">
      <c r="A1" s="1" t="s">
        <v>0</v>
      </c>
    </row>
    <row r="3" spans="1:2" x14ac:dyDescent="0.25">
      <c r="A3" s="2" t="s">
        <v>1</v>
      </c>
      <c r="B3" s="3" t="s">
        <v>2</v>
      </c>
    </row>
    <row r="4" spans="1:2" ht="25.5" x14ac:dyDescent="0.25">
      <c r="A4" s="2" t="s">
        <v>3</v>
      </c>
      <c r="B4" s="3" t="s">
        <v>4</v>
      </c>
    </row>
    <row r="5" spans="1:2" ht="38.25" x14ac:dyDescent="0.25">
      <c r="A5" s="2" t="s">
        <v>5</v>
      </c>
      <c r="B5" s="3" t="s">
        <v>6</v>
      </c>
    </row>
    <row r="6" spans="1:2" ht="63.75" x14ac:dyDescent="0.25">
      <c r="A6" s="2" t="s">
        <v>7</v>
      </c>
      <c r="B6" s="3" t="s">
        <v>8</v>
      </c>
    </row>
    <row r="7" spans="1:2" ht="63.75" x14ac:dyDescent="0.25">
      <c r="A7" s="2" t="s">
        <v>9</v>
      </c>
      <c r="B7" s="3" t="s">
        <v>10</v>
      </c>
    </row>
    <row r="8" spans="1:2" ht="25.5" x14ac:dyDescent="0.25">
      <c r="A8" s="2" t="s">
        <v>11</v>
      </c>
      <c r="B8" s="3" t="s">
        <v>12</v>
      </c>
    </row>
    <row r="9" spans="1:2" ht="51" x14ac:dyDescent="0.25">
      <c r="A9" s="2" t="s">
        <v>13</v>
      </c>
      <c r="B9" s="3" t="s">
        <v>14</v>
      </c>
    </row>
    <row r="10" spans="1:2" ht="25.5" x14ac:dyDescent="0.25">
      <c r="A10" s="2" t="s">
        <v>15</v>
      </c>
      <c r="B10" s="3" t="s"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701"/>
  <sheetViews>
    <sheetView tabSelected="1" zoomScale="205" zoomScaleNormal="205" workbookViewId="0">
      <pane ySplit="1" topLeftCell="A538" activePane="bottomLeft" state="frozen"/>
      <selection pane="bottomLeft" activeCell="F570" sqref="F570"/>
    </sheetView>
  </sheetViews>
  <sheetFormatPr defaultColWidth="8.7109375" defaultRowHeight="15" x14ac:dyDescent="0.25"/>
  <cols>
    <col min="1" max="1" width="22" customWidth="1"/>
    <col min="2" max="2" width="26" customWidth="1"/>
    <col min="3" max="3" width="7.85546875" customWidth="1"/>
    <col min="4" max="4" width="14" customWidth="1"/>
    <col min="5" max="5" width="16" customWidth="1"/>
    <col min="6" max="6" width="11" customWidth="1"/>
    <col min="7" max="7" width="14" customWidth="1"/>
    <col min="8" max="8" width="22" customWidth="1"/>
    <col min="9" max="9" width="14" customWidth="1"/>
    <col min="10" max="10" width="26" customWidth="1"/>
    <col min="11" max="11" width="28" customWidth="1"/>
    <col min="12" max="12" width="12" customWidth="1"/>
    <col min="13" max="13" width="10" customWidth="1"/>
    <col min="14" max="15" width="40" customWidth="1"/>
    <col min="16" max="16" width="10" customWidth="1"/>
    <col min="17" max="17" width="12" customWidth="1"/>
    <col min="18" max="18" width="34" customWidth="1"/>
    <col min="19" max="19" width="20" customWidth="1"/>
    <col min="20" max="20" width="50" customWidth="1"/>
    <col min="21" max="21" width="22" customWidth="1"/>
    <col min="22" max="22" width="26" customWidth="1"/>
    <col min="23" max="23" width="14" customWidth="1"/>
    <col min="24" max="24" width="12" customWidth="1"/>
    <col min="25" max="25" width="48" customWidth="1"/>
  </cols>
  <sheetData>
    <row r="1" spans="1:25" ht="42" customHeight="1" x14ac:dyDescent="0.2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22</v>
      </c>
      <c r="G1" s="4" t="s">
        <v>23</v>
      </c>
      <c r="H1" s="4" t="s">
        <v>24</v>
      </c>
      <c r="I1" s="4" t="s">
        <v>25</v>
      </c>
      <c r="J1" s="4" t="s">
        <v>26</v>
      </c>
      <c r="K1" s="4" t="s">
        <v>27</v>
      </c>
      <c r="L1" s="4" t="s">
        <v>28</v>
      </c>
      <c r="M1" s="4" t="s">
        <v>29</v>
      </c>
      <c r="N1" s="4" t="s">
        <v>30</v>
      </c>
      <c r="O1" s="4" t="s">
        <v>31</v>
      </c>
      <c r="P1" s="4" t="s">
        <v>32</v>
      </c>
      <c r="Q1" s="4" t="s">
        <v>33</v>
      </c>
      <c r="R1" s="4" t="s">
        <v>34</v>
      </c>
      <c r="S1" s="4" t="s">
        <v>35</v>
      </c>
      <c r="T1" s="4" t="s">
        <v>36</v>
      </c>
      <c r="U1" s="4" t="s">
        <v>37</v>
      </c>
      <c r="V1" s="4" t="s">
        <v>38</v>
      </c>
      <c r="W1" s="4" t="s">
        <v>39</v>
      </c>
      <c r="X1" s="4" t="s">
        <v>40</v>
      </c>
      <c r="Y1" s="4" t="s">
        <v>41</v>
      </c>
    </row>
    <row r="2" spans="1:25" x14ac:dyDescent="0.25">
      <c r="A2" s="5" t="s">
        <v>42</v>
      </c>
      <c r="B2" s="5"/>
      <c r="C2" s="5" t="s">
        <v>43</v>
      </c>
      <c r="D2" s="5" t="s">
        <v>44</v>
      </c>
      <c r="E2" s="5" t="s">
        <v>45</v>
      </c>
      <c r="F2" s="5" t="s">
        <v>46</v>
      </c>
      <c r="G2" s="5" t="s">
        <v>47</v>
      </c>
      <c r="H2" s="5" t="s">
        <v>48</v>
      </c>
      <c r="I2" s="5" t="s">
        <v>49</v>
      </c>
      <c r="J2" s="5"/>
      <c r="K2" s="5" t="s">
        <v>49</v>
      </c>
      <c r="L2" s="5"/>
      <c r="M2" s="5"/>
      <c r="N2" s="5" t="s">
        <v>50</v>
      </c>
      <c r="O2" s="5"/>
      <c r="P2" s="6">
        <f t="shared" ref="P2:P65" si="0">IF(A2="","",COUNTA(D2:F2)+COUNTA(G2:G2)+COUNTA(H2:H2)+COUNTA(I2:I2))</f>
        <v>6</v>
      </c>
      <c r="Q2" s="6" t="str">
        <f t="shared" ref="Q2:Q65" si="1">IF(A2="","",IF(AND(P2=6,UPPER(L2)&lt;&gt;"Y",C2&lt;&gt;""),"Yes","No"))</f>
        <v>Yes</v>
      </c>
      <c r="R2" s="5" t="s">
        <v>51</v>
      </c>
      <c r="S2" s="5"/>
      <c r="T2" s="5" t="s">
        <v>52</v>
      </c>
      <c r="U2" s="5" t="s">
        <v>53</v>
      </c>
      <c r="V2" s="5" t="s">
        <v>54</v>
      </c>
      <c r="W2" s="5" t="s">
        <v>43</v>
      </c>
      <c r="X2" s="5"/>
      <c r="Y2" s="5" t="s">
        <v>55</v>
      </c>
    </row>
    <row r="3" spans="1:25" x14ac:dyDescent="0.25">
      <c r="A3" s="5" t="s">
        <v>56</v>
      </c>
      <c r="B3" s="5"/>
      <c r="C3" s="5" t="s">
        <v>43</v>
      </c>
      <c r="D3" s="5" t="s">
        <v>44</v>
      </c>
      <c r="E3" s="5" t="s">
        <v>45</v>
      </c>
      <c r="F3" s="5" t="s">
        <v>46</v>
      </c>
      <c r="G3" s="5" t="s">
        <v>57</v>
      </c>
      <c r="H3" s="5" t="s">
        <v>58</v>
      </c>
      <c r="I3" s="5" t="s">
        <v>59</v>
      </c>
      <c r="J3" s="5" t="s">
        <v>60</v>
      </c>
      <c r="K3" s="5" t="s">
        <v>61</v>
      </c>
      <c r="L3" s="5"/>
      <c r="M3" s="5"/>
      <c r="N3" s="5" t="s">
        <v>50</v>
      </c>
      <c r="O3" s="5"/>
      <c r="P3" s="6">
        <f t="shared" si="0"/>
        <v>6</v>
      </c>
      <c r="Q3" s="6" t="str">
        <f t="shared" si="1"/>
        <v>Yes</v>
      </c>
      <c r="R3" s="5" t="s">
        <v>51</v>
      </c>
      <c r="S3" s="5"/>
      <c r="T3" s="5" t="s">
        <v>62</v>
      </c>
      <c r="U3" s="5" t="s">
        <v>63</v>
      </c>
      <c r="V3" s="5"/>
      <c r="W3" s="5" t="s">
        <v>43</v>
      </c>
      <c r="X3" s="5"/>
      <c r="Y3" s="5" t="s">
        <v>64</v>
      </c>
    </row>
    <row r="4" spans="1:25" x14ac:dyDescent="0.25">
      <c r="A4" s="5" t="s">
        <v>65</v>
      </c>
      <c r="B4" s="5"/>
      <c r="C4" s="5" t="s">
        <v>43</v>
      </c>
      <c r="D4" s="5"/>
      <c r="E4" s="5"/>
      <c r="F4" s="5"/>
      <c r="G4" s="5" t="s">
        <v>47</v>
      </c>
      <c r="H4" s="5"/>
      <c r="I4" s="5"/>
      <c r="J4" s="5"/>
      <c r="K4" s="5"/>
      <c r="L4" s="5"/>
      <c r="M4" s="5"/>
      <c r="N4" s="5" t="s">
        <v>66</v>
      </c>
      <c r="O4" s="5"/>
      <c r="P4" s="6">
        <f t="shared" si="0"/>
        <v>1</v>
      </c>
      <c r="Q4" s="6" t="str">
        <f t="shared" si="1"/>
        <v>No</v>
      </c>
      <c r="R4" s="5" t="s">
        <v>51</v>
      </c>
      <c r="S4" s="5"/>
      <c r="T4" s="5"/>
      <c r="U4" s="5"/>
      <c r="V4" s="5" t="s">
        <v>67</v>
      </c>
      <c r="W4" s="5" t="s">
        <v>43</v>
      </c>
      <c r="X4" s="5" t="s">
        <v>68</v>
      </c>
      <c r="Y4" s="5"/>
    </row>
    <row r="5" spans="1:25" x14ac:dyDescent="0.25">
      <c r="A5" s="5" t="s">
        <v>69</v>
      </c>
      <c r="B5" s="5"/>
      <c r="C5" s="5" t="s">
        <v>70</v>
      </c>
      <c r="D5" s="5"/>
      <c r="E5" s="5"/>
      <c r="F5" s="5"/>
      <c r="G5" s="5"/>
      <c r="H5" s="5"/>
      <c r="I5" s="5" t="s">
        <v>71</v>
      </c>
      <c r="J5" s="5" t="s">
        <v>72</v>
      </c>
      <c r="K5" s="5" t="s">
        <v>73</v>
      </c>
      <c r="L5" s="5"/>
      <c r="M5" s="5"/>
      <c r="N5" s="5" t="s">
        <v>50</v>
      </c>
      <c r="O5" s="5"/>
      <c r="P5" s="6">
        <f t="shared" si="0"/>
        <v>1</v>
      </c>
      <c r="Q5" s="6" t="str">
        <f t="shared" si="1"/>
        <v>No</v>
      </c>
      <c r="R5" s="5" t="s">
        <v>51</v>
      </c>
      <c r="S5" s="5"/>
      <c r="T5" s="5"/>
      <c r="U5" s="5"/>
      <c r="V5" s="5"/>
      <c r="W5" s="5"/>
      <c r="X5" s="5"/>
      <c r="Y5" s="5" t="s">
        <v>74</v>
      </c>
    </row>
    <row r="6" spans="1:25" x14ac:dyDescent="0.25">
      <c r="A6" s="5" t="s">
        <v>75</v>
      </c>
      <c r="B6" s="5"/>
      <c r="C6" s="5" t="s">
        <v>43</v>
      </c>
      <c r="D6" s="5" t="s">
        <v>76</v>
      </c>
      <c r="E6" s="5"/>
      <c r="F6" s="5" t="s">
        <v>46</v>
      </c>
      <c r="G6" s="5" t="s">
        <v>57</v>
      </c>
      <c r="H6" s="5" t="s">
        <v>77</v>
      </c>
      <c r="I6" s="5" t="s">
        <v>78</v>
      </c>
      <c r="J6" s="5" t="s">
        <v>72</v>
      </c>
      <c r="K6" s="5" t="s">
        <v>79</v>
      </c>
      <c r="L6" s="5"/>
      <c r="M6" s="5"/>
      <c r="N6" s="5" t="s">
        <v>50</v>
      </c>
      <c r="O6" s="5"/>
      <c r="P6" s="6">
        <f t="shared" si="0"/>
        <v>5</v>
      </c>
      <c r="Q6" s="6" t="str">
        <f t="shared" si="1"/>
        <v>No</v>
      </c>
      <c r="R6" s="5" t="s">
        <v>51</v>
      </c>
      <c r="S6" s="5"/>
      <c r="T6" s="5" t="s">
        <v>80</v>
      </c>
      <c r="U6" s="5" t="s">
        <v>77</v>
      </c>
      <c r="V6" s="5"/>
      <c r="W6" s="5" t="s">
        <v>43</v>
      </c>
      <c r="X6" s="5" t="s">
        <v>68</v>
      </c>
      <c r="Y6" s="5" t="s">
        <v>81</v>
      </c>
    </row>
    <row r="7" spans="1:25" x14ac:dyDescent="0.25">
      <c r="A7" s="5" t="s">
        <v>82</v>
      </c>
      <c r="B7" s="5"/>
      <c r="C7" s="5" t="s">
        <v>43</v>
      </c>
      <c r="D7" s="5" t="s">
        <v>76</v>
      </c>
      <c r="E7" s="5" t="s">
        <v>45</v>
      </c>
      <c r="F7" s="5" t="s">
        <v>46</v>
      </c>
      <c r="G7" s="5" t="s">
        <v>47</v>
      </c>
      <c r="H7" s="5" t="s">
        <v>83</v>
      </c>
      <c r="I7" s="5" t="s">
        <v>72</v>
      </c>
      <c r="J7" s="5" t="s">
        <v>71</v>
      </c>
      <c r="K7" s="5" t="s">
        <v>84</v>
      </c>
      <c r="L7" s="5"/>
      <c r="M7" s="5"/>
      <c r="N7" s="5" t="s">
        <v>66</v>
      </c>
      <c r="O7" s="5"/>
      <c r="P7" s="6">
        <f t="shared" si="0"/>
        <v>6</v>
      </c>
      <c r="Q7" s="6" t="str">
        <f t="shared" si="1"/>
        <v>Yes</v>
      </c>
      <c r="R7" s="5" t="s">
        <v>51</v>
      </c>
      <c r="S7" s="5" t="s">
        <v>85</v>
      </c>
      <c r="T7" s="5" t="s">
        <v>86</v>
      </c>
      <c r="U7" s="5" t="s">
        <v>83</v>
      </c>
      <c r="V7" s="5" t="s">
        <v>67</v>
      </c>
      <c r="W7" s="5" t="s">
        <v>43</v>
      </c>
      <c r="X7" s="5" t="s">
        <v>87</v>
      </c>
      <c r="Y7" s="5" t="s">
        <v>88</v>
      </c>
    </row>
    <row r="8" spans="1:25" x14ac:dyDescent="0.25">
      <c r="A8" s="5" t="s">
        <v>89</v>
      </c>
      <c r="B8" s="5"/>
      <c r="C8" s="5" t="s">
        <v>43</v>
      </c>
      <c r="D8" s="5" t="s">
        <v>44</v>
      </c>
      <c r="E8" s="5" t="s">
        <v>45</v>
      </c>
      <c r="F8" s="5" t="s">
        <v>107</v>
      </c>
      <c r="G8" s="5" t="s">
        <v>47</v>
      </c>
      <c r="H8" s="5" t="s">
        <v>90</v>
      </c>
      <c r="I8" s="5" t="s">
        <v>91</v>
      </c>
      <c r="J8" s="5"/>
      <c r="K8" s="5" t="s">
        <v>91</v>
      </c>
      <c r="L8" s="5"/>
      <c r="M8" s="5"/>
      <c r="N8" s="5" t="s">
        <v>50</v>
      </c>
      <c r="O8" s="5"/>
      <c r="P8" s="6">
        <f t="shared" si="0"/>
        <v>6</v>
      </c>
      <c r="Q8" s="6" t="str">
        <f t="shared" si="1"/>
        <v>Yes</v>
      </c>
      <c r="R8" s="5" t="s">
        <v>51</v>
      </c>
      <c r="S8" s="5"/>
      <c r="T8" s="5" t="s">
        <v>92</v>
      </c>
      <c r="U8" s="5" t="s">
        <v>93</v>
      </c>
      <c r="V8" s="5"/>
      <c r="W8" s="5" t="s">
        <v>43</v>
      </c>
      <c r="X8" s="5"/>
      <c r="Y8" s="5" t="s">
        <v>94</v>
      </c>
    </row>
    <row r="9" spans="1:25" x14ac:dyDescent="0.25">
      <c r="A9" s="5" t="s">
        <v>95</v>
      </c>
      <c r="B9" s="5"/>
      <c r="C9" s="5" t="s">
        <v>43</v>
      </c>
      <c r="D9" s="5" t="s">
        <v>44</v>
      </c>
      <c r="E9" s="5" t="s">
        <v>45</v>
      </c>
      <c r="F9" s="5" t="s">
        <v>46</v>
      </c>
      <c r="G9" s="5" t="s">
        <v>47</v>
      </c>
      <c r="H9" s="5" t="s">
        <v>96</v>
      </c>
      <c r="I9" s="5" t="s">
        <v>59</v>
      </c>
      <c r="J9" s="5"/>
      <c r="K9" s="5" t="s">
        <v>59</v>
      </c>
      <c r="L9" s="5"/>
      <c r="M9" s="5"/>
      <c r="N9" s="5" t="s">
        <v>50</v>
      </c>
      <c r="O9" s="5" t="s">
        <v>97</v>
      </c>
      <c r="P9" s="6">
        <f t="shared" si="0"/>
        <v>6</v>
      </c>
      <c r="Q9" s="6" t="str">
        <f t="shared" si="1"/>
        <v>Yes</v>
      </c>
      <c r="R9" s="5" t="s">
        <v>51</v>
      </c>
      <c r="S9" s="5"/>
      <c r="T9" s="5" t="s">
        <v>98</v>
      </c>
      <c r="U9" s="5" t="s">
        <v>99</v>
      </c>
      <c r="V9" s="5" t="s">
        <v>100</v>
      </c>
      <c r="W9" s="5" t="s">
        <v>43</v>
      </c>
      <c r="X9" s="5" t="s">
        <v>68</v>
      </c>
      <c r="Y9" s="5" t="s">
        <v>101</v>
      </c>
    </row>
    <row r="10" spans="1:25" x14ac:dyDescent="0.25">
      <c r="A10" s="5" t="s">
        <v>102</v>
      </c>
      <c r="B10" s="5"/>
      <c r="C10" s="5"/>
      <c r="D10" s="5"/>
      <c r="E10" s="5"/>
      <c r="F10" s="5"/>
      <c r="G10" s="5"/>
      <c r="H10" s="5" t="s">
        <v>77</v>
      </c>
      <c r="I10" s="5"/>
      <c r="J10" s="5"/>
      <c r="K10" s="5"/>
      <c r="L10" s="5"/>
      <c r="M10" s="5"/>
      <c r="N10" s="5" t="s">
        <v>66</v>
      </c>
      <c r="O10" s="5" t="s">
        <v>103</v>
      </c>
      <c r="P10" s="6">
        <f t="shared" si="0"/>
        <v>1</v>
      </c>
      <c r="Q10" s="6" t="str">
        <f t="shared" si="1"/>
        <v>No</v>
      </c>
      <c r="R10" s="5" t="s">
        <v>51</v>
      </c>
      <c r="S10" s="5"/>
      <c r="T10" s="5" t="s">
        <v>104</v>
      </c>
      <c r="U10" s="5" t="s">
        <v>77</v>
      </c>
      <c r="V10" s="5"/>
      <c r="W10" s="5" t="s">
        <v>105</v>
      </c>
      <c r="X10" s="5"/>
      <c r="Y10" s="5"/>
    </row>
    <row r="11" spans="1:25" x14ac:dyDescent="0.25">
      <c r="A11" s="5" t="s">
        <v>106</v>
      </c>
      <c r="B11" s="5"/>
      <c r="C11" s="5" t="s">
        <v>43</v>
      </c>
      <c r="D11" s="5" t="s">
        <v>76</v>
      </c>
      <c r="E11" s="5" t="s">
        <v>45</v>
      </c>
      <c r="F11" s="5" t="s">
        <v>107</v>
      </c>
      <c r="G11" s="5" t="s">
        <v>47</v>
      </c>
      <c r="H11" s="5" t="s">
        <v>77</v>
      </c>
      <c r="I11" s="5" t="s">
        <v>72</v>
      </c>
      <c r="J11" s="5" t="s">
        <v>108</v>
      </c>
      <c r="K11" s="5" t="s">
        <v>109</v>
      </c>
      <c r="L11" s="5"/>
      <c r="M11" s="5"/>
      <c r="N11" s="5" t="s">
        <v>110</v>
      </c>
      <c r="O11" s="5" t="s">
        <v>111</v>
      </c>
      <c r="P11" s="6">
        <f t="shared" si="0"/>
        <v>6</v>
      </c>
      <c r="Q11" s="6" t="str">
        <f t="shared" si="1"/>
        <v>Yes</v>
      </c>
      <c r="R11" s="5" t="s">
        <v>112</v>
      </c>
      <c r="S11" s="5" t="s">
        <v>113</v>
      </c>
      <c r="T11" s="5" t="s">
        <v>114</v>
      </c>
      <c r="U11" s="5" t="s">
        <v>115</v>
      </c>
      <c r="V11" s="5" t="s">
        <v>116</v>
      </c>
      <c r="W11" s="5" t="s">
        <v>43</v>
      </c>
      <c r="X11" s="5" t="s">
        <v>87</v>
      </c>
      <c r="Y11" s="5" t="s">
        <v>117</v>
      </c>
    </row>
    <row r="12" spans="1:25" x14ac:dyDescent="0.25">
      <c r="A12" s="5" t="s">
        <v>118</v>
      </c>
      <c r="B12" s="5"/>
      <c r="C12" s="5" t="s">
        <v>43</v>
      </c>
      <c r="D12" s="5" t="s">
        <v>44</v>
      </c>
      <c r="E12" s="5" t="s">
        <v>45</v>
      </c>
      <c r="F12" s="5" t="s">
        <v>46</v>
      </c>
      <c r="G12" s="5" t="s">
        <v>47</v>
      </c>
      <c r="H12" s="5" t="s">
        <v>96</v>
      </c>
      <c r="I12" s="5" t="s">
        <v>119</v>
      </c>
      <c r="J12" s="5"/>
      <c r="K12" s="5" t="s">
        <v>119</v>
      </c>
      <c r="L12" s="5"/>
      <c r="M12" s="5"/>
      <c r="N12" s="5" t="s">
        <v>66</v>
      </c>
      <c r="O12" s="5"/>
      <c r="P12" s="6">
        <f t="shared" si="0"/>
        <v>6</v>
      </c>
      <c r="Q12" s="6" t="str">
        <f t="shared" si="1"/>
        <v>Yes</v>
      </c>
      <c r="R12" s="5" t="s">
        <v>51</v>
      </c>
      <c r="S12" s="5" t="s">
        <v>120</v>
      </c>
      <c r="T12" s="5" t="s">
        <v>121</v>
      </c>
      <c r="U12" s="5" t="s">
        <v>99</v>
      </c>
      <c r="V12" s="5" t="s">
        <v>47</v>
      </c>
      <c r="W12" s="5" t="s">
        <v>43</v>
      </c>
      <c r="X12" s="5"/>
      <c r="Y12" s="5" t="s">
        <v>88</v>
      </c>
    </row>
    <row r="13" spans="1:25" x14ac:dyDescent="0.25">
      <c r="A13" s="5" t="s">
        <v>122</v>
      </c>
      <c r="B13" s="5"/>
      <c r="C13" s="5" t="s">
        <v>70</v>
      </c>
      <c r="D13" s="5" t="s">
        <v>76</v>
      </c>
      <c r="E13" s="5" t="s">
        <v>45</v>
      </c>
      <c r="F13" s="5" t="s">
        <v>46</v>
      </c>
      <c r="G13" s="5" t="s">
        <v>47</v>
      </c>
      <c r="H13" s="5"/>
      <c r="I13" s="5" t="s">
        <v>123</v>
      </c>
      <c r="J13" s="5"/>
      <c r="K13" s="5" t="s">
        <v>123</v>
      </c>
      <c r="L13" s="5"/>
      <c r="M13" s="5"/>
      <c r="N13" s="5" t="s">
        <v>124</v>
      </c>
      <c r="O13" s="5"/>
      <c r="P13" s="6">
        <f t="shared" si="0"/>
        <v>5</v>
      </c>
      <c r="Q13" s="6" t="str">
        <f t="shared" si="1"/>
        <v>No</v>
      </c>
      <c r="R13" s="5" t="s">
        <v>125</v>
      </c>
      <c r="S13" s="5"/>
      <c r="T13" s="5"/>
      <c r="U13" s="5"/>
      <c r="V13" s="5" t="s">
        <v>47</v>
      </c>
      <c r="W13" s="5"/>
      <c r="X13" s="5"/>
      <c r="Y13" s="5" t="s">
        <v>126</v>
      </c>
    </row>
    <row r="14" spans="1:25" x14ac:dyDescent="0.25">
      <c r="A14" s="5" t="s">
        <v>127</v>
      </c>
      <c r="B14" s="5"/>
      <c r="C14" s="5" t="s">
        <v>128</v>
      </c>
      <c r="D14" s="5"/>
      <c r="E14" s="5" t="s">
        <v>45</v>
      </c>
      <c r="F14" s="5" t="s">
        <v>46</v>
      </c>
      <c r="G14" s="5" t="s">
        <v>57</v>
      </c>
      <c r="H14" s="5" t="s">
        <v>129</v>
      </c>
      <c r="I14" s="5"/>
      <c r="J14" s="5"/>
      <c r="K14" s="5"/>
      <c r="L14" s="5"/>
      <c r="M14" s="5"/>
      <c r="N14" s="5" t="s">
        <v>66</v>
      </c>
      <c r="O14" s="5"/>
      <c r="P14" s="6">
        <f t="shared" si="0"/>
        <v>4</v>
      </c>
      <c r="Q14" s="6" t="str">
        <f t="shared" si="1"/>
        <v>No</v>
      </c>
      <c r="R14" s="5" t="s">
        <v>51</v>
      </c>
      <c r="S14" s="5"/>
      <c r="T14" s="5"/>
      <c r="U14" s="5" t="s">
        <v>129</v>
      </c>
      <c r="V14" s="5" t="s">
        <v>57</v>
      </c>
      <c r="W14" s="5" t="s">
        <v>128</v>
      </c>
      <c r="X14" s="5" t="s">
        <v>130</v>
      </c>
      <c r="Y14" s="5"/>
    </row>
    <row r="15" spans="1:25" x14ac:dyDescent="0.25">
      <c r="A15" s="5" t="s">
        <v>131</v>
      </c>
      <c r="B15" s="5"/>
      <c r="C15" s="5" t="s">
        <v>43</v>
      </c>
      <c r="D15" s="5" t="s">
        <v>44</v>
      </c>
      <c r="E15" s="5" t="s">
        <v>45</v>
      </c>
      <c r="F15" s="5" t="s">
        <v>46</v>
      </c>
      <c r="G15" s="5"/>
      <c r="H15" s="5" t="s">
        <v>132</v>
      </c>
      <c r="I15" s="5" t="s">
        <v>133</v>
      </c>
      <c r="J15" s="5" t="s">
        <v>119</v>
      </c>
      <c r="K15" s="5" t="s">
        <v>134</v>
      </c>
      <c r="L15" s="5"/>
      <c r="M15" s="5"/>
      <c r="N15" s="5" t="s">
        <v>50</v>
      </c>
      <c r="O15" s="5"/>
      <c r="P15" s="6">
        <f t="shared" si="0"/>
        <v>5</v>
      </c>
      <c r="Q15" s="6" t="str">
        <f t="shared" si="1"/>
        <v>No</v>
      </c>
      <c r="R15" s="5" t="s">
        <v>51</v>
      </c>
      <c r="S15" s="5"/>
      <c r="T15" s="5" t="s">
        <v>135</v>
      </c>
      <c r="U15" s="5" t="s">
        <v>132</v>
      </c>
      <c r="V15" s="5"/>
      <c r="W15" s="5" t="s">
        <v>43</v>
      </c>
      <c r="X15" s="5"/>
      <c r="Y15" s="5" t="s">
        <v>136</v>
      </c>
    </row>
    <row r="16" spans="1:25" x14ac:dyDescent="0.25">
      <c r="A16" s="5" t="s">
        <v>137</v>
      </c>
      <c r="B16" s="5"/>
      <c r="C16" s="5" t="s">
        <v>70</v>
      </c>
      <c r="D16" s="5"/>
      <c r="E16" s="5"/>
      <c r="F16" s="5" t="s">
        <v>107</v>
      </c>
      <c r="G16" s="5" t="s">
        <v>47</v>
      </c>
      <c r="H16" s="5" t="s">
        <v>138</v>
      </c>
      <c r="I16" s="5"/>
      <c r="J16" s="5"/>
      <c r="K16" s="5" t="s">
        <v>139</v>
      </c>
      <c r="L16" s="5"/>
      <c r="M16" s="5"/>
      <c r="N16" s="5" t="s">
        <v>124</v>
      </c>
      <c r="O16" s="5" t="s">
        <v>140</v>
      </c>
      <c r="P16" s="6">
        <f t="shared" si="0"/>
        <v>3</v>
      </c>
      <c r="Q16" s="6" t="str">
        <f t="shared" si="1"/>
        <v>No</v>
      </c>
      <c r="R16" s="5" t="s">
        <v>125</v>
      </c>
      <c r="S16" s="5"/>
      <c r="T16" s="5"/>
      <c r="U16" s="5" t="s">
        <v>138</v>
      </c>
      <c r="V16" s="5" t="s">
        <v>47</v>
      </c>
      <c r="W16" s="5"/>
      <c r="X16" s="5"/>
      <c r="Y16" s="5" t="s">
        <v>141</v>
      </c>
    </row>
    <row r="17" spans="1:25" x14ac:dyDescent="0.25">
      <c r="A17" s="5" t="s">
        <v>142</v>
      </c>
      <c r="B17" s="5"/>
      <c r="C17" s="5" t="s">
        <v>43</v>
      </c>
      <c r="D17" s="5" t="s">
        <v>76</v>
      </c>
      <c r="E17" s="5" t="s">
        <v>45</v>
      </c>
      <c r="F17" s="5" t="s">
        <v>46</v>
      </c>
      <c r="G17" s="5" t="s">
        <v>47</v>
      </c>
      <c r="H17" s="5" t="s">
        <v>83</v>
      </c>
      <c r="I17" s="5" t="s">
        <v>59</v>
      </c>
      <c r="J17" s="5" t="s">
        <v>91</v>
      </c>
      <c r="K17" s="5" t="s">
        <v>143</v>
      </c>
      <c r="L17" s="5"/>
      <c r="M17" s="5"/>
      <c r="N17" s="5" t="s">
        <v>50</v>
      </c>
      <c r="O17" s="5"/>
      <c r="P17" s="6">
        <f t="shared" si="0"/>
        <v>6</v>
      </c>
      <c r="Q17" s="6" t="str">
        <f t="shared" si="1"/>
        <v>Yes</v>
      </c>
      <c r="R17" s="5" t="s">
        <v>51</v>
      </c>
      <c r="S17" s="5" t="s">
        <v>144</v>
      </c>
      <c r="T17" s="5" t="s">
        <v>145</v>
      </c>
      <c r="U17" s="5" t="s">
        <v>83</v>
      </c>
      <c r="V17" s="5"/>
      <c r="W17" s="5" t="s">
        <v>43</v>
      </c>
      <c r="X17" s="5"/>
      <c r="Y17" s="5" t="s">
        <v>101</v>
      </c>
    </row>
    <row r="18" spans="1:25" x14ac:dyDescent="0.25">
      <c r="A18" s="5" t="s">
        <v>146</v>
      </c>
      <c r="B18" s="5"/>
      <c r="C18" s="5"/>
      <c r="D18" s="5"/>
      <c r="E18" s="5"/>
      <c r="F18" s="5"/>
      <c r="G18" s="5"/>
      <c r="H18" s="5" t="s">
        <v>77</v>
      </c>
      <c r="I18" s="5"/>
      <c r="J18" s="5"/>
      <c r="K18" s="5"/>
      <c r="L18" s="5"/>
      <c r="M18" s="5"/>
      <c r="N18" s="5" t="s">
        <v>66</v>
      </c>
      <c r="O18" s="5"/>
      <c r="P18" s="6">
        <f t="shared" si="0"/>
        <v>1</v>
      </c>
      <c r="Q18" s="6" t="str">
        <f t="shared" si="1"/>
        <v>No</v>
      </c>
      <c r="R18" s="5" t="s">
        <v>51</v>
      </c>
      <c r="S18" s="5"/>
      <c r="T18" s="5" t="s">
        <v>147</v>
      </c>
      <c r="U18" s="5" t="s">
        <v>77</v>
      </c>
      <c r="V18" s="5"/>
      <c r="W18" s="5"/>
      <c r="X18" s="5"/>
      <c r="Y18" s="5"/>
    </row>
    <row r="19" spans="1:25" x14ac:dyDescent="0.25">
      <c r="A19" s="5" t="s">
        <v>148</v>
      </c>
      <c r="B19" s="5"/>
      <c r="C19" s="5" t="s">
        <v>43</v>
      </c>
      <c r="D19" s="5" t="s">
        <v>76</v>
      </c>
      <c r="E19" s="5"/>
      <c r="F19" s="5"/>
      <c r="G19" s="5" t="s">
        <v>47</v>
      </c>
      <c r="H19" s="5" t="s">
        <v>149</v>
      </c>
      <c r="I19" s="5"/>
      <c r="J19" s="5"/>
      <c r="K19" s="5"/>
      <c r="L19" s="5"/>
      <c r="M19" s="5"/>
      <c r="N19" s="5" t="s">
        <v>50</v>
      </c>
      <c r="O19" s="5"/>
      <c r="P19" s="6">
        <f t="shared" si="0"/>
        <v>3</v>
      </c>
      <c r="Q19" s="6" t="str">
        <f t="shared" si="1"/>
        <v>No</v>
      </c>
      <c r="R19" s="5" t="s">
        <v>51</v>
      </c>
      <c r="S19" s="5"/>
      <c r="T19" s="5"/>
      <c r="U19" s="5"/>
      <c r="V19" s="5" t="s">
        <v>67</v>
      </c>
      <c r="W19" s="5" t="s">
        <v>43</v>
      </c>
      <c r="X19" s="5"/>
      <c r="Y19" s="5" t="s">
        <v>150</v>
      </c>
    </row>
    <row r="20" spans="1:25" x14ac:dyDescent="0.25">
      <c r="A20" s="5" t="s">
        <v>151</v>
      </c>
      <c r="B20" s="5"/>
      <c r="C20" s="5"/>
      <c r="D20" s="5"/>
      <c r="E20" s="5"/>
      <c r="F20" s="5"/>
      <c r="G20" s="5"/>
      <c r="H20" s="5"/>
      <c r="I20" s="5" t="s">
        <v>49</v>
      </c>
      <c r="J20" s="5"/>
      <c r="K20" s="5" t="s">
        <v>49</v>
      </c>
      <c r="L20" s="5"/>
      <c r="M20" s="5"/>
      <c r="N20" s="5" t="s">
        <v>66</v>
      </c>
      <c r="O20" s="5"/>
      <c r="P20" s="6">
        <f t="shared" si="0"/>
        <v>1</v>
      </c>
      <c r="Q20" s="6" t="str">
        <f t="shared" si="1"/>
        <v>No</v>
      </c>
      <c r="R20" s="5" t="s">
        <v>51</v>
      </c>
      <c r="S20" s="5"/>
      <c r="T20" s="5" t="s">
        <v>152</v>
      </c>
      <c r="U20" s="5"/>
      <c r="V20" s="5"/>
      <c r="W20" s="5"/>
      <c r="X20" s="5"/>
      <c r="Y20" s="5"/>
    </row>
    <row r="21" spans="1:25" x14ac:dyDescent="0.25">
      <c r="A21" s="5" t="s">
        <v>153</v>
      </c>
      <c r="B21" s="5"/>
      <c r="C21" s="5" t="s">
        <v>70</v>
      </c>
      <c r="D21" s="5" t="s">
        <v>76</v>
      </c>
      <c r="E21" s="5"/>
      <c r="F21" s="5"/>
      <c r="G21" s="5"/>
      <c r="H21" s="5" t="s">
        <v>154</v>
      </c>
      <c r="I21" s="5"/>
      <c r="J21" s="5"/>
      <c r="K21" s="5"/>
      <c r="L21" s="5"/>
      <c r="M21" s="5"/>
      <c r="N21" s="5" t="s">
        <v>124</v>
      </c>
      <c r="O21" s="5"/>
      <c r="P21" s="6">
        <f t="shared" si="0"/>
        <v>2</v>
      </c>
      <c r="Q21" s="6" t="str">
        <f t="shared" si="1"/>
        <v>No</v>
      </c>
      <c r="R21" s="5" t="s">
        <v>125</v>
      </c>
      <c r="S21" s="5"/>
      <c r="T21" s="5"/>
      <c r="U21" s="5" t="s">
        <v>154</v>
      </c>
      <c r="V21" s="5"/>
      <c r="W21" s="5"/>
      <c r="X21" s="5"/>
      <c r="Y21" s="5" t="s">
        <v>155</v>
      </c>
    </row>
    <row r="22" spans="1:25" x14ac:dyDescent="0.25">
      <c r="A22" s="5" t="s">
        <v>156</v>
      </c>
      <c r="B22" s="5"/>
      <c r="C22" s="5" t="s">
        <v>70</v>
      </c>
      <c r="D22" s="5" t="s">
        <v>76</v>
      </c>
      <c r="E22" s="5" t="s">
        <v>45</v>
      </c>
      <c r="F22" s="5" t="s">
        <v>107</v>
      </c>
      <c r="G22" s="5"/>
      <c r="H22" s="5" t="s">
        <v>77</v>
      </c>
      <c r="I22" s="5" t="s">
        <v>49</v>
      </c>
      <c r="J22" s="5" t="s">
        <v>157</v>
      </c>
      <c r="K22" s="5" t="s">
        <v>158</v>
      </c>
      <c r="L22" s="5"/>
      <c r="M22" s="5"/>
      <c r="N22" s="5" t="s">
        <v>50</v>
      </c>
      <c r="O22" s="5"/>
      <c r="P22" s="6">
        <f t="shared" si="0"/>
        <v>5</v>
      </c>
      <c r="Q22" s="6" t="str">
        <f t="shared" si="1"/>
        <v>No</v>
      </c>
      <c r="R22" s="5" t="s">
        <v>51</v>
      </c>
      <c r="S22" s="5" t="s">
        <v>159</v>
      </c>
      <c r="T22" s="5" t="s">
        <v>160</v>
      </c>
      <c r="U22" s="5" t="s">
        <v>77</v>
      </c>
      <c r="V22" s="5"/>
      <c r="W22" s="5"/>
      <c r="X22" s="5"/>
      <c r="Y22" s="5" t="s">
        <v>161</v>
      </c>
    </row>
    <row r="23" spans="1:25" x14ac:dyDescent="0.25">
      <c r="A23" s="5" t="s">
        <v>162</v>
      </c>
      <c r="B23" s="5"/>
      <c r="C23" s="5"/>
      <c r="D23" s="5"/>
      <c r="E23" s="5" t="s">
        <v>45</v>
      </c>
      <c r="F23" s="5" t="s">
        <v>46</v>
      </c>
      <c r="G23" s="5"/>
      <c r="H23" s="5" t="s">
        <v>58</v>
      </c>
      <c r="I23" s="5" t="s">
        <v>123</v>
      </c>
      <c r="J23" s="5"/>
      <c r="K23" s="5" t="s">
        <v>123</v>
      </c>
      <c r="L23" s="5"/>
      <c r="M23" s="5"/>
      <c r="N23" s="5" t="s">
        <v>66</v>
      </c>
      <c r="O23" s="5" t="s">
        <v>163</v>
      </c>
      <c r="P23" s="6">
        <f t="shared" si="0"/>
        <v>4</v>
      </c>
      <c r="Q23" s="6" t="str">
        <f t="shared" si="1"/>
        <v>No</v>
      </c>
      <c r="R23" s="5" t="s">
        <v>51</v>
      </c>
      <c r="S23" s="5" t="s">
        <v>164</v>
      </c>
      <c r="T23" s="5" t="s">
        <v>165</v>
      </c>
      <c r="U23" s="5" t="s">
        <v>63</v>
      </c>
      <c r="V23" s="5"/>
      <c r="W23" s="5" t="s">
        <v>166</v>
      </c>
      <c r="X23" s="5"/>
      <c r="Y23" s="5" t="s">
        <v>167</v>
      </c>
    </row>
    <row r="24" spans="1:25" x14ac:dyDescent="0.25">
      <c r="A24" s="5" t="s">
        <v>168</v>
      </c>
      <c r="B24" s="5" t="s">
        <v>169</v>
      </c>
      <c r="C24" s="5" t="s">
        <v>43</v>
      </c>
      <c r="D24" s="5" t="s">
        <v>76</v>
      </c>
      <c r="E24" s="5" t="s">
        <v>45</v>
      </c>
      <c r="F24" s="5" t="s">
        <v>46</v>
      </c>
      <c r="G24" s="5" t="s">
        <v>57</v>
      </c>
      <c r="H24" s="5" t="s">
        <v>77</v>
      </c>
      <c r="I24" s="5" t="s">
        <v>123</v>
      </c>
      <c r="J24" s="5"/>
      <c r="K24" s="5" t="s">
        <v>123</v>
      </c>
      <c r="L24" s="5"/>
      <c r="M24" s="5"/>
      <c r="N24" s="5" t="s">
        <v>110</v>
      </c>
      <c r="O24" s="5"/>
      <c r="P24" s="6">
        <f t="shared" si="0"/>
        <v>6</v>
      </c>
      <c r="Q24" s="6" t="str">
        <f t="shared" si="1"/>
        <v>Yes</v>
      </c>
      <c r="R24" s="5" t="s">
        <v>112</v>
      </c>
      <c r="S24" s="5" t="s">
        <v>170</v>
      </c>
      <c r="T24" s="5" t="s">
        <v>171</v>
      </c>
      <c r="U24" s="5" t="s">
        <v>77</v>
      </c>
      <c r="V24" s="5"/>
      <c r="W24" s="5" t="s">
        <v>43</v>
      </c>
      <c r="X24" s="5" t="s">
        <v>172</v>
      </c>
      <c r="Y24" s="5" t="s">
        <v>101</v>
      </c>
    </row>
    <row r="25" spans="1:25" x14ac:dyDescent="0.25">
      <c r="A25" s="5" t="s">
        <v>173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 t="s">
        <v>66</v>
      </c>
      <c r="O25" s="5"/>
      <c r="P25" s="6">
        <f t="shared" si="0"/>
        <v>0</v>
      </c>
      <c r="Q25" s="6" t="str">
        <f t="shared" si="1"/>
        <v>No</v>
      </c>
      <c r="R25" s="5" t="s">
        <v>51</v>
      </c>
      <c r="S25" s="5"/>
      <c r="T25" s="5"/>
      <c r="U25" s="5"/>
      <c r="V25" s="5"/>
      <c r="W25" s="5"/>
      <c r="X25" s="5"/>
      <c r="Y25" s="5"/>
    </row>
    <row r="26" spans="1:25" x14ac:dyDescent="0.25">
      <c r="A26" s="5" t="s">
        <v>174</v>
      </c>
      <c r="B26" s="5"/>
      <c r="C26" s="5" t="s">
        <v>43</v>
      </c>
      <c r="D26" s="5" t="s">
        <v>76</v>
      </c>
      <c r="E26" s="5" t="s">
        <v>45</v>
      </c>
      <c r="F26" s="5"/>
      <c r="G26" s="5" t="s">
        <v>47</v>
      </c>
      <c r="H26" s="5" t="s">
        <v>149</v>
      </c>
      <c r="I26" s="5"/>
      <c r="J26" s="5"/>
      <c r="K26" s="5"/>
      <c r="L26" s="5"/>
      <c r="M26" s="5"/>
      <c r="N26" s="5" t="s">
        <v>50</v>
      </c>
      <c r="O26" s="5"/>
      <c r="P26" s="6">
        <f t="shared" si="0"/>
        <v>4</v>
      </c>
      <c r="Q26" s="6" t="str">
        <f t="shared" si="1"/>
        <v>No</v>
      </c>
      <c r="R26" s="5" t="s">
        <v>51</v>
      </c>
      <c r="S26" s="5" t="s">
        <v>175</v>
      </c>
      <c r="T26" s="5"/>
      <c r="U26" s="5"/>
      <c r="V26" s="5" t="s">
        <v>67</v>
      </c>
      <c r="W26" s="5" t="s">
        <v>43</v>
      </c>
      <c r="X26" s="5" t="s">
        <v>68</v>
      </c>
      <c r="Y26" s="5" t="s">
        <v>176</v>
      </c>
    </row>
    <row r="27" spans="1:25" x14ac:dyDescent="0.25">
      <c r="A27" s="5" t="s">
        <v>177</v>
      </c>
      <c r="B27" s="5"/>
      <c r="C27" s="5" t="s">
        <v>43</v>
      </c>
      <c r="D27" s="5" t="s">
        <v>44</v>
      </c>
      <c r="E27" s="5" t="s">
        <v>45</v>
      </c>
      <c r="F27" s="5" t="s">
        <v>46</v>
      </c>
      <c r="G27" s="5" t="s">
        <v>47</v>
      </c>
      <c r="H27" s="5" t="s">
        <v>58</v>
      </c>
      <c r="I27" s="5" t="s">
        <v>59</v>
      </c>
      <c r="J27" s="5" t="s">
        <v>178</v>
      </c>
      <c r="K27" s="5" t="s">
        <v>179</v>
      </c>
      <c r="L27" s="5"/>
      <c r="M27" s="5"/>
      <c r="N27" s="5" t="s">
        <v>50</v>
      </c>
      <c r="O27" s="5"/>
      <c r="P27" s="6">
        <f t="shared" si="0"/>
        <v>6</v>
      </c>
      <c r="Q27" s="6" t="str">
        <f t="shared" si="1"/>
        <v>Yes</v>
      </c>
      <c r="R27" s="5" t="s">
        <v>51</v>
      </c>
      <c r="S27" s="5"/>
      <c r="T27" s="5" t="s">
        <v>180</v>
      </c>
      <c r="U27" s="5" t="s">
        <v>63</v>
      </c>
      <c r="V27" s="5" t="s">
        <v>181</v>
      </c>
      <c r="W27" s="5" t="s">
        <v>43</v>
      </c>
      <c r="X27" s="5"/>
      <c r="Y27" s="5" t="s">
        <v>136</v>
      </c>
    </row>
    <row r="28" spans="1:25" x14ac:dyDescent="0.25">
      <c r="A28" s="5" t="s">
        <v>182</v>
      </c>
      <c r="B28" s="5" t="s">
        <v>183</v>
      </c>
      <c r="C28" s="5" t="s">
        <v>43</v>
      </c>
      <c r="D28" s="5" t="s">
        <v>76</v>
      </c>
      <c r="E28" s="5" t="s">
        <v>45</v>
      </c>
      <c r="F28" s="5" t="s">
        <v>46</v>
      </c>
      <c r="G28" s="5"/>
      <c r="H28" s="5" t="s">
        <v>77</v>
      </c>
      <c r="I28" s="5" t="s">
        <v>78</v>
      </c>
      <c r="J28" s="5"/>
      <c r="K28" s="5" t="s">
        <v>184</v>
      </c>
      <c r="L28" s="5"/>
      <c r="M28" s="5"/>
      <c r="N28" s="5" t="s">
        <v>66</v>
      </c>
      <c r="O28" s="5"/>
      <c r="P28" s="6">
        <f t="shared" si="0"/>
        <v>5</v>
      </c>
      <c r="Q28" s="6" t="str">
        <f t="shared" si="1"/>
        <v>No</v>
      </c>
      <c r="R28" s="5" t="s">
        <v>51</v>
      </c>
      <c r="S28" s="5" t="s">
        <v>185</v>
      </c>
      <c r="T28" s="5" t="s">
        <v>186</v>
      </c>
      <c r="U28" s="5" t="s">
        <v>77</v>
      </c>
      <c r="V28" s="5"/>
      <c r="W28" s="5" t="s">
        <v>43</v>
      </c>
      <c r="X28" s="5" t="s">
        <v>187</v>
      </c>
      <c r="Y28" s="5" t="s">
        <v>88</v>
      </c>
    </row>
    <row r="29" spans="1:25" x14ac:dyDescent="0.25">
      <c r="A29" s="5" t="s">
        <v>188</v>
      </c>
      <c r="B29" s="5"/>
      <c r="C29" s="5" t="s">
        <v>70</v>
      </c>
      <c r="D29" s="5" t="s">
        <v>76</v>
      </c>
      <c r="E29" s="5"/>
      <c r="F29" s="5"/>
      <c r="G29" s="5"/>
      <c r="H29" s="5" t="s">
        <v>83</v>
      </c>
      <c r="I29" s="5"/>
      <c r="J29" s="5"/>
      <c r="K29" s="5"/>
      <c r="L29" s="5"/>
      <c r="M29" s="5"/>
      <c r="N29" s="5" t="s">
        <v>50</v>
      </c>
      <c r="O29" s="5"/>
      <c r="P29" s="6">
        <f t="shared" si="0"/>
        <v>2</v>
      </c>
      <c r="Q29" s="6" t="str">
        <f t="shared" si="1"/>
        <v>No</v>
      </c>
      <c r="R29" s="5" t="s">
        <v>51</v>
      </c>
      <c r="S29" s="5"/>
      <c r="T29" s="5"/>
      <c r="U29" s="5" t="s">
        <v>83</v>
      </c>
      <c r="V29" s="5"/>
      <c r="W29" s="5"/>
      <c r="X29" s="5"/>
      <c r="Y29" s="5" t="s">
        <v>189</v>
      </c>
    </row>
    <row r="30" spans="1:25" x14ac:dyDescent="0.25">
      <c r="A30" s="5" t="s">
        <v>190</v>
      </c>
      <c r="B30" s="5"/>
      <c r="C30" s="5" t="s">
        <v>43</v>
      </c>
      <c r="D30" s="5" t="s">
        <v>44</v>
      </c>
      <c r="E30" s="5" t="s">
        <v>45</v>
      </c>
      <c r="F30" s="5" t="s">
        <v>46</v>
      </c>
      <c r="G30" s="5"/>
      <c r="H30" s="5" t="s">
        <v>191</v>
      </c>
      <c r="I30" s="5" t="s">
        <v>192</v>
      </c>
      <c r="J30" s="5" t="s">
        <v>193</v>
      </c>
      <c r="K30" s="5" t="s">
        <v>194</v>
      </c>
      <c r="L30" s="5"/>
      <c r="M30" s="5"/>
      <c r="N30" s="5" t="s">
        <v>50</v>
      </c>
      <c r="O30" s="5"/>
      <c r="P30" s="6">
        <f t="shared" si="0"/>
        <v>5</v>
      </c>
      <c r="Q30" s="6" t="str">
        <f t="shared" si="1"/>
        <v>No</v>
      </c>
      <c r="R30" s="5" t="s">
        <v>51</v>
      </c>
      <c r="S30" s="5"/>
      <c r="T30" s="5" t="s">
        <v>195</v>
      </c>
      <c r="U30" s="5" t="s">
        <v>196</v>
      </c>
      <c r="V30" s="5"/>
      <c r="W30" s="5" t="s">
        <v>43</v>
      </c>
      <c r="X30" s="5"/>
      <c r="Y30" s="5" t="s">
        <v>197</v>
      </c>
    </row>
    <row r="31" spans="1:25" x14ac:dyDescent="0.25">
      <c r="A31" s="5" t="s">
        <v>198</v>
      </c>
      <c r="B31" s="5"/>
      <c r="C31" s="5"/>
      <c r="D31" s="5"/>
      <c r="E31" s="5" t="s">
        <v>45</v>
      </c>
      <c r="F31" s="5" t="s">
        <v>107</v>
      </c>
      <c r="G31" s="5"/>
      <c r="H31" s="5" t="s">
        <v>83</v>
      </c>
      <c r="I31" s="5" t="s">
        <v>72</v>
      </c>
      <c r="J31" s="5" t="s">
        <v>199</v>
      </c>
      <c r="K31" s="5" t="s">
        <v>200</v>
      </c>
      <c r="L31" s="5"/>
      <c r="M31" s="5"/>
      <c r="N31" s="5" t="s">
        <v>66</v>
      </c>
      <c r="O31" s="5" t="s">
        <v>103</v>
      </c>
      <c r="P31" s="6">
        <f t="shared" si="0"/>
        <v>4</v>
      </c>
      <c r="Q31" s="6" t="str">
        <f t="shared" si="1"/>
        <v>No</v>
      </c>
      <c r="R31" s="5" t="s">
        <v>51</v>
      </c>
      <c r="S31" s="5" t="s">
        <v>201</v>
      </c>
      <c r="T31" s="5" t="s">
        <v>202</v>
      </c>
      <c r="U31" s="5" t="s">
        <v>83</v>
      </c>
      <c r="V31" s="5"/>
      <c r="W31" s="5" t="s">
        <v>105</v>
      </c>
      <c r="X31" s="5"/>
      <c r="Y31" s="5" t="s">
        <v>203</v>
      </c>
    </row>
    <row r="32" spans="1:25" x14ac:dyDescent="0.25">
      <c r="A32" s="5" t="s">
        <v>204</v>
      </c>
      <c r="B32" s="5"/>
      <c r="C32" s="5" t="s">
        <v>70</v>
      </c>
      <c r="D32" s="5"/>
      <c r="E32" s="5"/>
      <c r="F32" s="5"/>
      <c r="G32" s="5"/>
      <c r="H32" s="5" t="s">
        <v>205</v>
      </c>
      <c r="I32" s="5"/>
      <c r="J32" s="5"/>
      <c r="K32" s="5"/>
      <c r="L32" s="5"/>
      <c r="M32" s="5"/>
      <c r="N32" s="5" t="s">
        <v>50</v>
      </c>
      <c r="O32" s="5"/>
      <c r="P32" s="6">
        <f t="shared" si="0"/>
        <v>1</v>
      </c>
      <c r="Q32" s="6" t="str">
        <f t="shared" si="1"/>
        <v>No</v>
      </c>
      <c r="R32" s="5" t="s">
        <v>51</v>
      </c>
      <c r="S32" s="5"/>
      <c r="T32" s="5"/>
      <c r="U32" s="5" t="s">
        <v>205</v>
      </c>
      <c r="V32" s="5"/>
      <c r="W32" s="5"/>
      <c r="X32" s="5"/>
      <c r="Y32" s="5" t="s">
        <v>74</v>
      </c>
    </row>
    <row r="33" spans="1:25" x14ac:dyDescent="0.25">
      <c r="A33" s="5" t="s">
        <v>206</v>
      </c>
      <c r="B33" s="5"/>
      <c r="C33" s="5" t="s">
        <v>43</v>
      </c>
      <c r="D33" s="5" t="s">
        <v>44</v>
      </c>
      <c r="E33" s="5" t="s">
        <v>45</v>
      </c>
      <c r="F33" s="5" t="s">
        <v>107</v>
      </c>
      <c r="G33" s="5" t="s">
        <v>47</v>
      </c>
      <c r="H33" s="5" t="s">
        <v>207</v>
      </c>
      <c r="I33" s="5" t="s">
        <v>123</v>
      </c>
      <c r="J33" s="5"/>
      <c r="K33" s="5" t="s">
        <v>208</v>
      </c>
      <c r="L33" s="5"/>
      <c r="M33" s="5"/>
      <c r="N33" s="5" t="s">
        <v>209</v>
      </c>
      <c r="O33" s="5"/>
      <c r="P33" s="6">
        <f t="shared" si="0"/>
        <v>6</v>
      </c>
      <c r="Q33" s="6" t="str">
        <f t="shared" si="1"/>
        <v>Yes</v>
      </c>
      <c r="R33" s="5" t="s">
        <v>112</v>
      </c>
      <c r="S33" s="5"/>
      <c r="T33" s="5" t="s">
        <v>210</v>
      </c>
      <c r="U33" s="5" t="s">
        <v>211</v>
      </c>
      <c r="V33" s="5" t="s">
        <v>212</v>
      </c>
      <c r="W33" s="5" t="s">
        <v>43</v>
      </c>
      <c r="X33" s="5" t="s">
        <v>172</v>
      </c>
      <c r="Y33" s="5" t="s">
        <v>88</v>
      </c>
    </row>
    <row r="34" spans="1:25" x14ac:dyDescent="0.25">
      <c r="A34" s="5" t="s">
        <v>213</v>
      </c>
      <c r="B34" s="5"/>
      <c r="C34" s="5" t="s">
        <v>43</v>
      </c>
      <c r="D34" s="5" t="s">
        <v>44</v>
      </c>
      <c r="E34" s="5" t="s">
        <v>45</v>
      </c>
      <c r="F34" s="5" t="s">
        <v>46</v>
      </c>
      <c r="G34" s="5" t="s">
        <v>57</v>
      </c>
      <c r="H34" s="5" t="s">
        <v>214</v>
      </c>
      <c r="I34" s="5" t="s">
        <v>78</v>
      </c>
      <c r="J34" s="5" t="s">
        <v>119</v>
      </c>
      <c r="K34" s="5" t="s">
        <v>215</v>
      </c>
      <c r="L34" s="5"/>
      <c r="M34" s="5"/>
      <c r="N34" s="5" t="s">
        <v>50</v>
      </c>
      <c r="O34" s="5"/>
      <c r="P34" s="6">
        <f t="shared" si="0"/>
        <v>6</v>
      </c>
      <c r="Q34" s="6" t="str">
        <f t="shared" si="1"/>
        <v>Yes</v>
      </c>
      <c r="R34" s="5" t="s">
        <v>51</v>
      </c>
      <c r="S34" s="5" t="s">
        <v>216</v>
      </c>
      <c r="T34" s="5" t="s">
        <v>217</v>
      </c>
      <c r="U34" s="5" t="s">
        <v>214</v>
      </c>
      <c r="V34" s="5"/>
      <c r="W34" s="5" t="s">
        <v>43</v>
      </c>
      <c r="X34" s="5" t="s">
        <v>218</v>
      </c>
      <c r="Y34" s="5" t="s">
        <v>219</v>
      </c>
    </row>
    <row r="35" spans="1:25" x14ac:dyDescent="0.25">
      <c r="A35" s="5" t="s">
        <v>196</v>
      </c>
      <c r="B35" s="5"/>
      <c r="C35" s="5" t="s">
        <v>43</v>
      </c>
      <c r="D35" s="5" t="s">
        <v>44</v>
      </c>
      <c r="E35" s="5" t="s">
        <v>45</v>
      </c>
      <c r="F35" s="5" t="s">
        <v>107</v>
      </c>
      <c r="G35" s="5"/>
      <c r="H35" s="5" t="s">
        <v>58</v>
      </c>
      <c r="I35" s="5" t="s">
        <v>71</v>
      </c>
      <c r="J35" s="5" t="s">
        <v>91</v>
      </c>
      <c r="K35" s="5" t="s">
        <v>220</v>
      </c>
      <c r="L35" s="5"/>
      <c r="M35" s="5"/>
      <c r="N35" s="5" t="s">
        <v>50</v>
      </c>
      <c r="O35" s="5"/>
      <c r="P35" s="6">
        <f t="shared" si="0"/>
        <v>5</v>
      </c>
      <c r="Q35" s="6" t="str">
        <f t="shared" si="1"/>
        <v>No</v>
      </c>
      <c r="R35" s="5" t="s">
        <v>51</v>
      </c>
      <c r="S35" s="5"/>
      <c r="T35" s="5" t="s">
        <v>221</v>
      </c>
      <c r="U35" s="5" t="s">
        <v>63</v>
      </c>
      <c r="V35" s="5"/>
      <c r="W35" s="5" t="s">
        <v>43</v>
      </c>
      <c r="X35" s="5" t="s">
        <v>222</v>
      </c>
      <c r="Y35" s="5" t="s">
        <v>55</v>
      </c>
    </row>
    <row r="36" spans="1:25" x14ac:dyDescent="0.25">
      <c r="A36" s="5" t="s">
        <v>223</v>
      </c>
      <c r="B36" s="5"/>
      <c r="C36" s="5" t="s">
        <v>43</v>
      </c>
      <c r="D36" s="5" t="s">
        <v>44</v>
      </c>
      <c r="E36" s="5"/>
      <c r="F36" s="5"/>
      <c r="G36" s="5" t="s">
        <v>57</v>
      </c>
      <c r="H36" s="5" t="s">
        <v>224</v>
      </c>
      <c r="I36" s="5" t="s">
        <v>119</v>
      </c>
      <c r="J36" s="5"/>
      <c r="K36" s="5" t="s">
        <v>119</v>
      </c>
      <c r="L36" s="5"/>
      <c r="M36" s="5"/>
      <c r="N36" s="5" t="s">
        <v>50</v>
      </c>
      <c r="O36" s="5" t="s">
        <v>225</v>
      </c>
      <c r="P36" s="6">
        <f t="shared" si="0"/>
        <v>4</v>
      </c>
      <c r="Q36" s="6" t="str">
        <f t="shared" si="1"/>
        <v>No</v>
      </c>
      <c r="R36" s="5" t="s">
        <v>51</v>
      </c>
      <c r="S36" s="5"/>
      <c r="T36" s="5" t="s">
        <v>226</v>
      </c>
      <c r="U36" s="5" t="s">
        <v>227</v>
      </c>
      <c r="V36" s="5"/>
      <c r="W36" s="5" t="s">
        <v>43</v>
      </c>
      <c r="X36" s="5" t="s">
        <v>228</v>
      </c>
      <c r="Y36" s="5" t="s">
        <v>229</v>
      </c>
    </row>
    <row r="37" spans="1:25" x14ac:dyDescent="0.25">
      <c r="A37" s="5" t="s">
        <v>230</v>
      </c>
      <c r="B37" s="5"/>
      <c r="C37" s="5" t="s">
        <v>43</v>
      </c>
      <c r="D37" s="5" t="s">
        <v>44</v>
      </c>
      <c r="E37" s="5"/>
      <c r="F37" s="5"/>
      <c r="G37" s="5"/>
      <c r="H37" s="5" t="s">
        <v>231</v>
      </c>
      <c r="I37" s="5" t="s">
        <v>91</v>
      </c>
      <c r="J37" s="5"/>
      <c r="K37" s="5" t="s">
        <v>91</v>
      </c>
      <c r="L37" s="5"/>
      <c r="M37" s="5"/>
      <c r="N37" s="5" t="s">
        <v>50</v>
      </c>
      <c r="O37" s="5"/>
      <c r="P37" s="6">
        <f t="shared" si="0"/>
        <v>3</v>
      </c>
      <c r="Q37" s="6" t="str">
        <f t="shared" si="1"/>
        <v>No</v>
      </c>
      <c r="R37" s="5" t="s">
        <v>51</v>
      </c>
      <c r="S37" s="5"/>
      <c r="T37" s="5" t="s">
        <v>232</v>
      </c>
      <c r="U37" s="5" t="s">
        <v>231</v>
      </c>
      <c r="V37" s="5"/>
      <c r="W37" s="5" t="s">
        <v>43</v>
      </c>
      <c r="X37" s="5"/>
      <c r="Y37" s="5" t="s">
        <v>136</v>
      </c>
    </row>
    <row r="38" spans="1:25" x14ac:dyDescent="0.25">
      <c r="A38" s="5" t="s">
        <v>233</v>
      </c>
      <c r="B38" s="5"/>
      <c r="C38" s="5" t="s">
        <v>43</v>
      </c>
      <c r="D38" s="5" t="s">
        <v>44</v>
      </c>
      <c r="E38" s="5" t="s">
        <v>45</v>
      </c>
      <c r="F38" s="5" t="s">
        <v>46</v>
      </c>
      <c r="G38" s="5"/>
      <c r="H38" s="5" t="s">
        <v>90</v>
      </c>
      <c r="I38" s="5" t="s">
        <v>192</v>
      </c>
      <c r="J38" s="5" t="s">
        <v>133</v>
      </c>
      <c r="K38" s="5" t="s">
        <v>234</v>
      </c>
      <c r="L38" s="5"/>
      <c r="M38" s="5"/>
      <c r="N38" s="5" t="s">
        <v>66</v>
      </c>
      <c r="O38" s="5" t="s">
        <v>103</v>
      </c>
      <c r="P38" s="6">
        <f t="shared" si="0"/>
        <v>5</v>
      </c>
      <c r="Q38" s="6" t="str">
        <f t="shared" si="1"/>
        <v>No</v>
      </c>
      <c r="R38" s="5" t="s">
        <v>51</v>
      </c>
      <c r="S38" s="5"/>
      <c r="T38" s="5"/>
      <c r="U38" s="5" t="s">
        <v>90</v>
      </c>
      <c r="V38" s="5"/>
      <c r="W38" s="5" t="s">
        <v>105</v>
      </c>
      <c r="X38" s="5"/>
      <c r="Y38" s="5"/>
    </row>
    <row r="39" spans="1:25" x14ac:dyDescent="0.25">
      <c r="A39" s="5" t="s">
        <v>235</v>
      </c>
      <c r="B39" s="5"/>
      <c r="C39" s="5" t="s">
        <v>43</v>
      </c>
      <c r="D39" s="5" t="s">
        <v>76</v>
      </c>
      <c r="E39" s="5" t="s">
        <v>45</v>
      </c>
      <c r="F39" s="5" t="s">
        <v>46</v>
      </c>
      <c r="G39" s="5" t="s">
        <v>47</v>
      </c>
      <c r="H39" s="5" t="s">
        <v>77</v>
      </c>
      <c r="I39" s="5" t="s">
        <v>71</v>
      </c>
      <c r="J39" s="5" t="s">
        <v>59</v>
      </c>
      <c r="K39" s="5" t="s">
        <v>236</v>
      </c>
      <c r="L39" s="5"/>
      <c r="M39" s="5"/>
      <c r="N39" s="5" t="s">
        <v>50</v>
      </c>
      <c r="O39" s="5"/>
      <c r="P39" s="6">
        <f t="shared" si="0"/>
        <v>6</v>
      </c>
      <c r="Q39" s="6" t="str">
        <f t="shared" si="1"/>
        <v>Yes</v>
      </c>
      <c r="R39" s="5" t="s">
        <v>51</v>
      </c>
      <c r="S39" s="5"/>
      <c r="T39" s="5" t="s">
        <v>237</v>
      </c>
      <c r="U39" s="5" t="s">
        <v>77</v>
      </c>
      <c r="V39" s="5"/>
      <c r="W39" s="5" t="s">
        <v>43</v>
      </c>
      <c r="X39" s="5" t="s">
        <v>222</v>
      </c>
      <c r="Y39" s="5" t="s">
        <v>238</v>
      </c>
    </row>
    <row r="40" spans="1:25" x14ac:dyDescent="0.25">
      <c r="A40" s="5" t="s">
        <v>239</v>
      </c>
      <c r="B40" s="5"/>
      <c r="C40" s="5" t="s">
        <v>43</v>
      </c>
      <c r="D40" s="5" t="s">
        <v>76</v>
      </c>
      <c r="E40" s="5" t="s">
        <v>45</v>
      </c>
      <c r="F40" s="5" t="s">
        <v>107</v>
      </c>
      <c r="G40" s="5" t="s">
        <v>47</v>
      </c>
      <c r="H40" s="5" t="s">
        <v>77</v>
      </c>
      <c r="I40" s="5" t="s">
        <v>71</v>
      </c>
      <c r="J40" s="5"/>
      <c r="K40" s="5" t="s">
        <v>240</v>
      </c>
      <c r="L40" s="5"/>
      <c r="M40" s="5"/>
      <c r="N40" s="5" t="s">
        <v>66</v>
      </c>
      <c r="O40" s="5"/>
      <c r="P40" s="6">
        <f t="shared" si="0"/>
        <v>6</v>
      </c>
      <c r="Q40" s="6" t="str">
        <f t="shared" si="1"/>
        <v>Yes</v>
      </c>
      <c r="R40" s="5" t="s">
        <v>51</v>
      </c>
      <c r="S40" s="5"/>
      <c r="T40" s="5" t="s">
        <v>241</v>
      </c>
      <c r="U40" s="5" t="s">
        <v>77</v>
      </c>
      <c r="V40" s="5" t="s">
        <v>242</v>
      </c>
      <c r="W40" s="5" t="s">
        <v>43</v>
      </c>
      <c r="X40" s="5" t="s">
        <v>187</v>
      </c>
      <c r="Y40" s="5" t="s">
        <v>243</v>
      </c>
    </row>
    <row r="41" spans="1:25" x14ac:dyDescent="0.25">
      <c r="A41" s="5" t="s">
        <v>244</v>
      </c>
      <c r="B41" s="5"/>
      <c r="C41" s="5" t="s">
        <v>43</v>
      </c>
      <c r="D41" s="5" t="s">
        <v>245</v>
      </c>
      <c r="E41" s="5" t="s">
        <v>45</v>
      </c>
      <c r="F41" s="5" t="s">
        <v>107</v>
      </c>
      <c r="G41" s="5" t="s">
        <v>47</v>
      </c>
      <c r="H41" s="5" t="s">
        <v>246</v>
      </c>
      <c r="I41" s="5" t="s">
        <v>123</v>
      </c>
      <c r="J41" s="5"/>
      <c r="K41" s="5" t="s">
        <v>123</v>
      </c>
      <c r="L41" s="5"/>
      <c r="M41" s="5"/>
      <c r="N41" s="5" t="s">
        <v>50</v>
      </c>
      <c r="O41" s="5"/>
      <c r="P41" s="6">
        <f t="shared" si="0"/>
        <v>6</v>
      </c>
      <c r="Q41" s="6" t="str">
        <f t="shared" si="1"/>
        <v>Yes</v>
      </c>
      <c r="R41" s="5" t="s">
        <v>51</v>
      </c>
      <c r="S41" s="5"/>
      <c r="T41" s="5" t="s">
        <v>247</v>
      </c>
      <c r="U41" s="5" t="s">
        <v>246</v>
      </c>
      <c r="V41" s="5"/>
      <c r="W41" s="5" t="s">
        <v>43</v>
      </c>
      <c r="X41" s="5"/>
      <c r="Y41" s="5" t="s">
        <v>219</v>
      </c>
    </row>
    <row r="42" spans="1:25" x14ac:dyDescent="0.25">
      <c r="A42" s="5" t="s">
        <v>248</v>
      </c>
      <c r="B42" s="5"/>
      <c r="C42" s="5"/>
      <c r="D42" s="5"/>
      <c r="E42" s="5"/>
      <c r="F42" s="5"/>
      <c r="G42" s="5"/>
      <c r="H42" s="5" t="s">
        <v>83</v>
      </c>
      <c r="I42" s="5"/>
      <c r="J42" s="5"/>
      <c r="K42" s="5"/>
      <c r="L42" s="5"/>
      <c r="M42" s="5"/>
      <c r="N42" s="5" t="s">
        <v>66</v>
      </c>
      <c r="O42" s="5"/>
      <c r="P42" s="6">
        <f t="shared" si="0"/>
        <v>1</v>
      </c>
      <c r="Q42" s="6" t="str">
        <f t="shared" si="1"/>
        <v>No</v>
      </c>
      <c r="R42" s="5" t="s">
        <v>51</v>
      </c>
      <c r="S42" s="5"/>
      <c r="T42" s="5"/>
      <c r="U42" s="5" t="s">
        <v>83</v>
      </c>
      <c r="V42" s="5"/>
      <c r="W42" s="5"/>
      <c r="X42" s="5"/>
      <c r="Y42" s="5"/>
    </row>
    <row r="43" spans="1:25" x14ac:dyDescent="0.25">
      <c r="A43" s="5" t="s">
        <v>249</v>
      </c>
      <c r="B43" s="5"/>
      <c r="C43" s="5" t="s">
        <v>128</v>
      </c>
      <c r="D43" s="5"/>
      <c r="E43" s="5"/>
      <c r="F43" s="5"/>
      <c r="G43" s="5" t="s">
        <v>57</v>
      </c>
      <c r="H43" s="5"/>
      <c r="I43" s="5"/>
      <c r="J43" s="5"/>
      <c r="K43" s="5"/>
      <c r="L43" s="5"/>
      <c r="M43" s="5"/>
      <c r="N43" s="5" t="s">
        <v>66</v>
      </c>
      <c r="O43" s="5"/>
      <c r="P43" s="6">
        <f t="shared" si="0"/>
        <v>1</v>
      </c>
      <c r="Q43" s="6" t="str">
        <f t="shared" si="1"/>
        <v>No</v>
      </c>
      <c r="R43" s="5" t="s">
        <v>51</v>
      </c>
      <c r="S43" s="5"/>
      <c r="T43" s="5"/>
      <c r="U43" s="5"/>
      <c r="V43" s="5" t="s">
        <v>57</v>
      </c>
      <c r="W43" s="5" t="s">
        <v>128</v>
      </c>
      <c r="X43" s="5" t="s">
        <v>250</v>
      </c>
      <c r="Y43" s="5"/>
    </row>
    <row r="44" spans="1:25" x14ac:dyDescent="0.25">
      <c r="A44" s="5" t="s">
        <v>251</v>
      </c>
      <c r="B44" s="5" t="s">
        <v>252</v>
      </c>
      <c r="C44" s="5" t="s">
        <v>70</v>
      </c>
      <c r="D44" s="5"/>
      <c r="E44" s="5" t="s">
        <v>253</v>
      </c>
      <c r="F44" s="5"/>
      <c r="G44" s="5" t="s">
        <v>47</v>
      </c>
      <c r="H44" s="5"/>
      <c r="I44" s="5" t="s">
        <v>72</v>
      </c>
      <c r="J44" s="5"/>
      <c r="K44" s="5" t="s">
        <v>254</v>
      </c>
      <c r="L44" s="5"/>
      <c r="M44" s="5"/>
      <c r="N44" s="5" t="s">
        <v>255</v>
      </c>
      <c r="O44" s="5"/>
      <c r="P44" s="6">
        <f t="shared" si="0"/>
        <v>3</v>
      </c>
      <c r="Q44" s="6" t="str">
        <f t="shared" si="1"/>
        <v>No</v>
      </c>
      <c r="R44" s="5" t="s">
        <v>256</v>
      </c>
      <c r="S44" s="5"/>
      <c r="T44" s="5"/>
      <c r="U44" s="5"/>
      <c r="V44" s="5"/>
      <c r="W44" s="5"/>
      <c r="X44" s="5"/>
      <c r="Y44" s="5" t="s">
        <v>257</v>
      </c>
    </row>
    <row r="45" spans="1:25" x14ac:dyDescent="0.25">
      <c r="A45" s="5" t="s">
        <v>258</v>
      </c>
      <c r="B45" s="5" t="s">
        <v>259</v>
      </c>
      <c r="C45" s="5"/>
      <c r="D45" s="5"/>
      <c r="E45" s="5"/>
      <c r="F45" s="5"/>
      <c r="G45" s="5"/>
      <c r="H45" s="5" t="s">
        <v>260</v>
      </c>
      <c r="I45" s="5"/>
      <c r="J45" s="5"/>
      <c r="K45" s="5"/>
      <c r="L45" s="5"/>
      <c r="M45" s="5"/>
      <c r="N45" s="5" t="s">
        <v>66</v>
      </c>
      <c r="O45" s="5" t="s">
        <v>163</v>
      </c>
      <c r="P45" s="6">
        <f t="shared" si="0"/>
        <v>1</v>
      </c>
      <c r="Q45" s="6" t="str">
        <f t="shared" si="1"/>
        <v>No</v>
      </c>
      <c r="R45" s="5" t="s">
        <v>51</v>
      </c>
      <c r="S45" s="5"/>
      <c r="T45" s="5" t="s">
        <v>261</v>
      </c>
      <c r="U45" s="5" t="s">
        <v>262</v>
      </c>
      <c r="V45" s="5"/>
      <c r="W45" s="5" t="s">
        <v>166</v>
      </c>
      <c r="X45" s="5"/>
      <c r="Y45" s="5"/>
    </row>
    <row r="46" spans="1:25" x14ac:dyDescent="0.25">
      <c r="A46" s="5" t="s">
        <v>263</v>
      </c>
      <c r="B46" s="5"/>
      <c r="C46" s="5" t="s">
        <v>128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 t="s">
        <v>66</v>
      </c>
      <c r="O46" s="5"/>
      <c r="P46" s="6">
        <f t="shared" si="0"/>
        <v>0</v>
      </c>
      <c r="Q46" s="6" t="str">
        <f t="shared" si="1"/>
        <v>No</v>
      </c>
      <c r="R46" s="5" t="s">
        <v>51</v>
      </c>
      <c r="S46" s="5"/>
      <c r="T46" s="5" t="s">
        <v>264</v>
      </c>
      <c r="U46" s="5"/>
      <c r="V46" s="5"/>
      <c r="W46" s="5" t="s">
        <v>128</v>
      </c>
      <c r="X46" s="5" t="s">
        <v>265</v>
      </c>
      <c r="Y46" s="5"/>
    </row>
    <row r="47" spans="1:25" x14ac:dyDescent="0.25">
      <c r="A47" s="5" t="s">
        <v>266</v>
      </c>
      <c r="B47" s="5"/>
      <c r="C47" s="5" t="s">
        <v>43</v>
      </c>
      <c r="D47" s="5" t="s">
        <v>245</v>
      </c>
      <c r="E47" s="5" t="s">
        <v>45</v>
      </c>
      <c r="F47" s="5" t="s">
        <v>46</v>
      </c>
      <c r="G47" s="5" t="s">
        <v>47</v>
      </c>
      <c r="H47" s="5" t="s">
        <v>246</v>
      </c>
      <c r="I47" s="5" t="s">
        <v>123</v>
      </c>
      <c r="J47" s="5"/>
      <c r="K47" s="5" t="s">
        <v>123</v>
      </c>
      <c r="L47" s="5"/>
      <c r="M47" s="5"/>
      <c r="N47" s="5" t="s">
        <v>50</v>
      </c>
      <c r="O47" s="5"/>
      <c r="P47" s="6">
        <f t="shared" si="0"/>
        <v>6</v>
      </c>
      <c r="Q47" s="6" t="str">
        <f t="shared" si="1"/>
        <v>Yes</v>
      </c>
      <c r="R47" s="5" t="s">
        <v>51</v>
      </c>
      <c r="S47" s="5"/>
      <c r="T47" s="5" t="s">
        <v>267</v>
      </c>
      <c r="U47" s="5" t="s">
        <v>246</v>
      </c>
      <c r="V47" s="5"/>
      <c r="W47" s="5" t="s">
        <v>43</v>
      </c>
      <c r="X47" s="5"/>
      <c r="Y47" s="5" t="s">
        <v>64</v>
      </c>
    </row>
    <row r="48" spans="1:25" x14ac:dyDescent="0.25">
      <c r="A48" s="5" t="s">
        <v>268</v>
      </c>
      <c r="B48" s="5"/>
      <c r="C48" s="5" t="s">
        <v>128</v>
      </c>
      <c r="D48" s="5"/>
      <c r="E48" s="5"/>
      <c r="F48" s="5"/>
      <c r="G48" s="5"/>
      <c r="H48" s="5" t="s">
        <v>58</v>
      </c>
      <c r="I48" s="5"/>
      <c r="J48" s="5"/>
      <c r="K48" s="5"/>
      <c r="L48" s="5"/>
      <c r="M48" s="5"/>
      <c r="N48" s="5" t="s">
        <v>66</v>
      </c>
      <c r="O48" s="5"/>
      <c r="P48" s="6">
        <f t="shared" si="0"/>
        <v>1</v>
      </c>
      <c r="Q48" s="6" t="str">
        <f t="shared" si="1"/>
        <v>No</v>
      </c>
      <c r="R48" s="5" t="s">
        <v>51</v>
      </c>
      <c r="S48" s="5"/>
      <c r="T48" s="5"/>
      <c r="U48" s="5" t="s">
        <v>63</v>
      </c>
      <c r="V48" s="5"/>
      <c r="W48" s="5" t="s">
        <v>128</v>
      </c>
      <c r="X48" s="5" t="s">
        <v>269</v>
      </c>
      <c r="Y48" s="5"/>
    </row>
    <row r="49" spans="1:25" x14ac:dyDescent="0.25">
      <c r="A49" s="5" t="s">
        <v>270</v>
      </c>
      <c r="B49" s="5" t="s">
        <v>271</v>
      </c>
      <c r="C49" s="5" t="s">
        <v>43</v>
      </c>
      <c r="D49" s="5" t="s">
        <v>44</v>
      </c>
      <c r="E49" s="5" t="s">
        <v>45</v>
      </c>
      <c r="F49" s="5" t="s">
        <v>107</v>
      </c>
      <c r="G49" s="5" t="s">
        <v>57</v>
      </c>
      <c r="H49" s="5" t="s">
        <v>272</v>
      </c>
      <c r="I49" s="5" t="s">
        <v>192</v>
      </c>
      <c r="J49" s="5" t="s">
        <v>78</v>
      </c>
      <c r="K49" s="5" t="s">
        <v>273</v>
      </c>
      <c r="L49" s="5"/>
      <c r="M49" s="5"/>
      <c r="N49" s="5" t="s">
        <v>110</v>
      </c>
      <c r="O49" s="5"/>
      <c r="P49" s="6">
        <f t="shared" si="0"/>
        <v>6</v>
      </c>
      <c r="Q49" s="6" t="str">
        <f t="shared" si="1"/>
        <v>Yes</v>
      </c>
      <c r="R49" s="5" t="s">
        <v>112</v>
      </c>
      <c r="S49" s="5" t="s">
        <v>274</v>
      </c>
      <c r="T49" s="5" t="s">
        <v>275</v>
      </c>
      <c r="U49" s="5" t="s">
        <v>272</v>
      </c>
      <c r="V49" s="5" t="s">
        <v>57</v>
      </c>
      <c r="W49" s="5" t="s">
        <v>43</v>
      </c>
      <c r="X49" s="5" t="s">
        <v>276</v>
      </c>
      <c r="Y49" s="5" t="s">
        <v>55</v>
      </c>
    </row>
    <row r="50" spans="1:25" x14ac:dyDescent="0.25">
      <c r="A50" s="5" t="s">
        <v>277</v>
      </c>
      <c r="B50" s="5"/>
      <c r="C50" s="5" t="s">
        <v>43</v>
      </c>
      <c r="D50" s="5" t="s">
        <v>44</v>
      </c>
      <c r="E50" s="5" t="s">
        <v>45</v>
      </c>
      <c r="F50" s="5" t="s">
        <v>46</v>
      </c>
      <c r="G50" s="5" t="s">
        <v>57</v>
      </c>
      <c r="H50" s="5" t="s">
        <v>224</v>
      </c>
      <c r="I50" s="5" t="s">
        <v>178</v>
      </c>
      <c r="J50" s="5"/>
      <c r="K50" s="5" t="s">
        <v>178</v>
      </c>
      <c r="L50" s="5"/>
      <c r="M50" s="5"/>
      <c r="N50" s="5" t="s">
        <v>50</v>
      </c>
      <c r="O50" s="5" t="s">
        <v>225</v>
      </c>
      <c r="P50" s="6">
        <f t="shared" si="0"/>
        <v>6</v>
      </c>
      <c r="Q50" s="6" t="str">
        <f t="shared" si="1"/>
        <v>Yes</v>
      </c>
      <c r="R50" s="5" t="s">
        <v>51</v>
      </c>
      <c r="S50" s="5"/>
      <c r="T50" s="5" t="s">
        <v>278</v>
      </c>
      <c r="U50" s="5" t="s">
        <v>227</v>
      </c>
      <c r="V50" s="5" t="s">
        <v>57</v>
      </c>
      <c r="W50" s="5" t="s">
        <v>43</v>
      </c>
      <c r="X50" s="5" t="s">
        <v>68</v>
      </c>
      <c r="Y50" s="5" t="s">
        <v>150</v>
      </c>
    </row>
    <row r="51" spans="1:25" x14ac:dyDescent="0.25">
      <c r="A51" s="5" t="s">
        <v>279</v>
      </c>
      <c r="B51" s="5"/>
      <c r="C51" s="5" t="s">
        <v>128</v>
      </c>
      <c r="D51" s="5"/>
      <c r="E51" s="5"/>
      <c r="F51" s="5"/>
      <c r="G51" s="5" t="s">
        <v>57</v>
      </c>
      <c r="H51" s="5"/>
      <c r="I51" s="5"/>
      <c r="J51" s="5"/>
      <c r="K51" s="5"/>
      <c r="L51" s="5"/>
      <c r="M51" s="5"/>
      <c r="N51" s="5" t="s">
        <v>66</v>
      </c>
      <c r="O51" s="5"/>
      <c r="P51" s="6">
        <f t="shared" si="0"/>
        <v>1</v>
      </c>
      <c r="Q51" s="6" t="str">
        <f t="shared" si="1"/>
        <v>No</v>
      </c>
      <c r="R51" s="5" t="s">
        <v>51</v>
      </c>
      <c r="S51" s="5"/>
      <c r="T51" s="5"/>
      <c r="U51" s="5"/>
      <c r="V51" s="5" t="s">
        <v>57</v>
      </c>
      <c r="W51" s="5" t="s">
        <v>128</v>
      </c>
      <c r="X51" s="5" t="s">
        <v>250</v>
      </c>
      <c r="Y51" s="5"/>
    </row>
    <row r="52" spans="1:25" x14ac:dyDescent="0.25">
      <c r="A52" s="5" t="s">
        <v>280</v>
      </c>
      <c r="B52" s="5"/>
      <c r="C52" s="5" t="s">
        <v>43</v>
      </c>
      <c r="D52" s="5" t="s">
        <v>44</v>
      </c>
      <c r="E52" s="5" t="s">
        <v>45</v>
      </c>
      <c r="F52" s="5" t="s">
        <v>107</v>
      </c>
      <c r="G52" s="5" t="s">
        <v>57</v>
      </c>
      <c r="H52" s="5" t="s">
        <v>58</v>
      </c>
      <c r="I52" s="5" t="s">
        <v>71</v>
      </c>
      <c r="J52" s="5" t="s">
        <v>78</v>
      </c>
      <c r="K52" s="5" t="s">
        <v>281</v>
      </c>
      <c r="L52" s="5"/>
      <c r="M52" s="5"/>
      <c r="N52" s="5" t="s">
        <v>50</v>
      </c>
      <c r="O52" s="5"/>
      <c r="P52" s="6">
        <f t="shared" si="0"/>
        <v>6</v>
      </c>
      <c r="Q52" s="6" t="str">
        <f t="shared" si="1"/>
        <v>Yes</v>
      </c>
      <c r="R52" s="5" t="s">
        <v>51</v>
      </c>
      <c r="S52" s="5"/>
      <c r="T52" s="5" t="s">
        <v>282</v>
      </c>
      <c r="U52" s="5" t="s">
        <v>63</v>
      </c>
      <c r="V52" s="5"/>
      <c r="W52" s="5" t="s">
        <v>43</v>
      </c>
      <c r="X52" s="5"/>
      <c r="Y52" s="5" t="s">
        <v>64</v>
      </c>
    </row>
    <row r="53" spans="1:25" x14ac:dyDescent="0.25">
      <c r="A53" s="5" t="s">
        <v>283</v>
      </c>
      <c r="B53" s="5"/>
      <c r="C53" s="5" t="s">
        <v>70</v>
      </c>
      <c r="D53" s="5" t="s">
        <v>44</v>
      </c>
      <c r="E53" s="5"/>
      <c r="F53" s="5"/>
      <c r="G53" s="5" t="s">
        <v>57</v>
      </c>
      <c r="H53" s="5" t="s">
        <v>284</v>
      </c>
      <c r="I53" s="5"/>
      <c r="J53" s="5"/>
      <c r="K53" s="5" t="s">
        <v>285</v>
      </c>
      <c r="L53" s="5"/>
      <c r="M53" s="5"/>
      <c r="N53" s="5" t="s">
        <v>124</v>
      </c>
      <c r="O53" s="5"/>
      <c r="P53" s="6">
        <f t="shared" si="0"/>
        <v>3</v>
      </c>
      <c r="Q53" s="6" t="str">
        <f t="shared" si="1"/>
        <v>No</v>
      </c>
      <c r="R53" s="5" t="s">
        <v>125</v>
      </c>
      <c r="S53" s="5" t="s">
        <v>285</v>
      </c>
      <c r="T53" s="5"/>
      <c r="U53" s="5" t="s">
        <v>284</v>
      </c>
      <c r="V53" s="5" t="s">
        <v>57</v>
      </c>
      <c r="W53" s="5"/>
      <c r="X53" s="5"/>
      <c r="Y53" s="5" t="s">
        <v>286</v>
      </c>
    </row>
    <row r="54" spans="1:25" x14ac:dyDescent="0.25">
      <c r="A54" s="5" t="s">
        <v>287</v>
      </c>
      <c r="B54" s="5"/>
      <c r="C54" s="5" t="s">
        <v>43</v>
      </c>
      <c r="D54" s="5" t="s">
        <v>44</v>
      </c>
      <c r="E54" s="5" t="s">
        <v>45</v>
      </c>
      <c r="F54" s="5" t="s">
        <v>46</v>
      </c>
      <c r="G54" s="5" t="s">
        <v>47</v>
      </c>
      <c r="H54" s="5" t="s">
        <v>58</v>
      </c>
      <c r="I54" s="5" t="s">
        <v>123</v>
      </c>
      <c r="J54" s="5" t="s">
        <v>288</v>
      </c>
      <c r="K54" s="5" t="s">
        <v>289</v>
      </c>
      <c r="L54" s="5"/>
      <c r="M54" s="5"/>
      <c r="N54" s="5" t="s">
        <v>50</v>
      </c>
      <c r="O54" s="5"/>
      <c r="P54" s="6">
        <f t="shared" si="0"/>
        <v>6</v>
      </c>
      <c r="Q54" s="6" t="str">
        <f t="shared" si="1"/>
        <v>Yes</v>
      </c>
      <c r="R54" s="5" t="s">
        <v>51</v>
      </c>
      <c r="S54" s="5" t="s">
        <v>290</v>
      </c>
      <c r="T54" s="5" t="s">
        <v>291</v>
      </c>
      <c r="U54" s="5" t="s">
        <v>63</v>
      </c>
      <c r="V54" s="5" t="s">
        <v>242</v>
      </c>
      <c r="W54" s="5" t="s">
        <v>43</v>
      </c>
      <c r="X54" s="5"/>
      <c r="Y54" s="5" t="s">
        <v>55</v>
      </c>
    </row>
    <row r="55" spans="1:25" x14ac:dyDescent="0.25">
      <c r="A55" s="5" t="s">
        <v>292</v>
      </c>
      <c r="B55" s="5"/>
      <c r="C55" s="5" t="s">
        <v>128</v>
      </c>
      <c r="D55" s="5" t="s">
        <v>44</v>
      </c>
      <c r="E55" s="5" t="s">
        <v>45</v>
      </c>
      <c r="F55" s="5" t="s">
        <v>46</v>
      </c>
      <c r="G55" s="5" t="s">
        <v>57</v>
      </c>
      <c r="H55" s="5"/>
      <c r="I55" s="5" t="s">
        <v>193</v>
      </c>
      <c r="J55" s="5"/>
      <c r="K55" s="5" t="s">
        <v>193</v>
      </c>
      <c r="L55" s="5"/>
      <c r="M55" s="5"/>
      <c r="N55" s="5" t="s">
        <v>66</v>
      </c>
      <c r="O55" s="5"/>
      <c r="P55" s="6">
        <f t="shared" si="0"/>
        <v>5</v>
      </c>
      <c r="Q55" s="6" t="str">
        <f t="shared" si="1"/>
        <v>No</v>
      </c>
      <c r="R55" s="5" t="s">
        <v>51</v>
      </c>
      <c r="S55" s="5"/>
      <c r="T55" s="5" t="s">
        <v>293</v>
      </c>
      <c r="U55" s="5"/>
      <c r="V55" s="5" t="s">
        <v>57</v>
      </c>
      <c r="W55" s="5" t="s">
        <v>128</v>
      </c>
      <c r="X55" s="5" t="s">
        <v>294</v>
      </c>
      <c r="Y55" s="5"/>
    </row>
    <row r="56" spans="1:25" x14ac:dyDescent="0.25">
      <c r="A56" s="5" t="s">
        <v>295</v>
      </c>
      <c r="B56" s="5"/>
      <c r="C56" s="5"/>
      <c r="D56" s="5"/>
      <c r="E56" s="5" t="s">
        <v>45</v>
      </c>
      <c r="F56" s="5" t="s">
        <v>46</v>
      </c>
      <c r="G56" s="5"/>
      <c r="H56" s="5"/>
      <c r="I56" s="5" t="s">
        <v>91</v>
      </c>
      <c r="J56" s="5" t="s">
        <v>192</v>
      </c>
      <c r="K56" s="5" t="s">
        <v>296</v>
      </c>
      <c r="L56" s="5"/>
      <c r="M56" s="5"/>
      <c r="N56" s="5" t="s">
        <v>66</v>
      </c>
      <c r="O56" s="5"/>
      <c r="P56" s="6">
        <f t="shared" si="0"/>
        <v>3</v>
      </c>
      <c r="Q56" s="6" t="str">
        <f t="shared" si="1"/>
        <v>No</v>
      </c>
      <c r="R56" s="5" t="s">
        <v>51</v>
      </c>
      <c r="S56" s="5" t="s">
        <v>297</v>
      </c>
      <c r="T56" s="5" t="s">
        <v>298</v>
      </c>
      <c r="U56" s="5"/>
      <c r="V56" s="5"/>
      <c r="W56" s="5"/>
      <c r="X56" s="5"/>
      <c r="Y56" s="5" t="s">
        <v>167</v>
      </c>
    </row>
    <row r="57" spans="1:25" x14ac:dyDescent="0.25">
      <c r="A57" s="5" t="s">
        <v>299</v>
      </c>
      <c r="B57" s="5"/>
      <c r="C57" s="5" t="s">
        <v>70</v>
      </c>
      <c r="D57" s="5" t="s">
        <v>76</v>
      </c>
      <c r="E57" s="5"/>
      <c r="F57" s="5" t="s">
        <v>46</v>
      </c>
      <c r="G57" s="5"/>
      <c r="H57" s="5" t="s">
        <v>77</v>
      </c>
      <c r="I57" s="5" t="s">
        <v>78</v>
      </c>
      <c r="J57" s="5" t="s">
        <v>192</v>
      </c>
      <c r="K57" s="5" t="s">
        <v>300</v>
      </c>
      <c r="L57" s="5"/>
      <c r="M57" s="5"/>
      <c r="N57" s="5" t="s">
        <v>50</v>
      </c>
      <c r="O57" s="5"/>
      <c r="P57" s="6">
        <f t="shared" si="0"/>
        <v>4</v>
      </c>
      <c r="Q57" s="6" t="str">
        <f t="shared" si="1"/>
        <v>No</v>
      </c>
      <c r="R57" s="5" t="s">
        <v>51</v>
      </c>
      <c r="S57" s="5"/>
      <c r="T57" s="5" t="s">
        <v>301</v>
      </c>
      <c r="U57" s="5" t="s">
        <v>77</v>
      </c>
      <c r="V57" s="5"/>
      <c r="W57" s="5"/>
      <c r="X57" s="5"/>
      <c r="Y57" s="5" t="s">
        <v>302</v>
      </c>
    </row>
    <row r="58" spans="1:25" x14ac:dyDescent="0.25">
      <c r="A58" s="5" t="s">
        <v>303</v>
      </c>
      <c r="B58" s="5"/>
      <c r="C58" s="5"/>
      <c r="D58" s="5"/>
      <c r="E58" s="5" t="s">
        <v>45</v>
      </c>
      <c r="F58" s="5" t="s">
        <v>46</v>
      </c>
      <c r="G58" s="5"/>
      <c r="H58" s="5"/>
      <c r="I58" s="5" t="s">
        <v>178</v>
      </c>
      <c r="J58" s="5" t="s">
        <v>72</v>
      </c>
      <c r="K58" s="5" t="s">
        <v>304</v>
      </c>
      <c r="L58" s="5"/>
      <c r="M58" s="5"/>
      <c r="N58" s="5" t="s">
        <v>66</v>
      </c>
      <c r="O58" s="5"/>
      <c r="P58" s="6">
        <f t="shared" si="0"/>
        <v>3</v>
      </c>
      <c r="Q58" s="6" t="str">
        <f t="shared" si="1"/>
        <v>No</v>
      </c>
      <c r="R58" s="5" t="s">
        <v>51</v>
      </c>
      <c r="S58" s="5" t="s">
        <v>305</v>
      </c>
      <c r="T58" s="5" t="s">
        <v>306</v>
      </c>
      <c r="U58" s="5"/>
      <c r="V58" s="5"/>
      <c r="W58" s="5"/>
      <c r="X58" s="5"/>
      <c r="Y58" s="5" t="s">
        <v>167</v>
      </c>
    </row>
    <row r="59" spans="1:25" x14ac:dyDescent="0.25">
      <c r="A59" s="5" t="s">
        <v>307</v>
      </c>
      <c r="B59" s="5"/>
      <c r="C59" s="5" t="s">
        <v>70</v>
      </c>
      <c r="D59" s="5" t="s">
        <v>44</v>
      </c>
      <c r="E59" s="5"/>
      <c r="F59" s="5"/>
      <c r="G59" s="5"/>
      <c r="H59" s="5" t="s">
        <v>90</v>
      </c>
      <c r="I59" s="5"/>
      <c r="J59" s="5"/>
      <c r="K59" s="5"/>
      <c r="L59" s="5"/>
      <c r="M59" s="5"/>
      <c r="N59" s="5" t="s">
        <v>50</v>
      </c>
      <c r="O59" s="5"/>
      <c r="P59" s="6">
        <f t="shared" si="0"/>
        <v>2</v>
      </c>
      <c r="Q59" s="6" t="str">
        <f t="shared" si="1"/>
        <v>No</v>
      </c>
      <c r="R59" s="5" t="s">
        <v>51</v>
      </c>
      <c r="S59" s="5"/>
      <c r="T59" s="5"/>
      <c r="U59" s="5" t="s">
        <v>90</v>
      </c>
      <c r="V59" s="5"/>
      <c r="W59" s="5"/>
      <c r="X59" s="5"/>
      <c r="Y59" s="5" t="s">
        <v>189</v>
      </c>
    </row>
    <row r="60" spans="1:25" x14ac:dyDescent="0.25">
      <c r="A60" s="5" t="s">
        <v>308</v>
      </c>
      <c r="B60" s="5"/>
      <c r="C60" s="5" t="s">
        <v>70</v>
      </c>
      <c r="D60" s="5"/>
      <c r="E60" s="5" t="s">
        <v>253</v>
      </c>
      <c r="F60" s="5"/>
      <c r="G60" s="5" t="s">
        <v>57</v>
      </c>
      <c r="H60" s="5"/>
      <c r="I60" s="5"/>
      <c r="J60" s="5"/>
      <c r="K60" s="5"/>
      <c r="L60" s="5"/>
      <c r="M60" s="5"/>
      <c r="N60" s="5" t="s">
        <v>124</v>
      </c>
      <c r="O60" s="5" t="s">
        <v>309</v>
      </c>
      <c r="P60" s="6">
        <f t="shared" si="0"/>
        <v>2</v>
      </c>
      <c r="Q60" s="6" t="str">
        <f t="shared" si="1"/>
        <v>No</v>
      </c>
      <c r="R60" s="5" t="s">
        <v>125</v>
      </c>
      <c r="S60" s="5" t="s">
        <v>138</v>
      </c>
      <c r="T60" s="5"/>
      <c r="U60" s="5" t="s">
        <v>310</v>
      </c>
      <c r="V60" s="5" t="s">
        <v>311</v>
      </c>
      <c r="W60" s="5"/>
      <c r="X60" s="5"/>
      <c r="Y60" s="5" t="s">
        <v>312</v>
      </c>
    </row>
    <row r="61" spans="1:25" x14ac:dyDescent="0.25">
      <c r="A61" s="5" t="s">
        <v>313</v>
      </c>
      <c r="B61" s="5"/>
      <c r="C61" s="5" t="s">
        <v>43</v>
      </c>
      <c r="D61" s="5" t="s">
        <v>44</v>
      </c>
      <c r="E61" s="5" t="s">
        <v>45</v>
      </c>
      <c r="F61" s="5" t="s">
        <v>107</v>
      </c>
      <c r="G61" s="5" t="s">
        <v>57</v>
      </c>
      <c r="H61" s="5" t="s">
        <v>314</v>
      </c>
      <c r="I61" s="5" t="s">
        <v>123</v>
      </c>
      <c r="J61" s="5"/>
      <c r="K61" s="5" t="s">
        <v>123</v>
      </c>
      <c r="L61" s="5"/>
      <c r="M61" s="5"/>
      <c r="N61" s="5" t="s">
        <v>50</v>
      </c>
      <c r="O61" s="5"/>
      <c r="P61" s="6">
        <f t="shared" si="0"/>
        <v>6</v>
      </c>
      <c r="Q61" s="6" t="str">
        <f t="shared" si="1"/>
        <v>Yes</v>
      </c>
      <c r="R61" s="5" t="s">
        <v>51</v>
      </c>
      <c r="S61" s="5" t="s">
        <v>315</v>
      </c>
      <c r="T61" s="5" t="s">
        <v>316</v>
      </c>
      <c r="U61" s="5" t="s">
        <v>317</v>
      </c>
      <c r="V61" s="5"/>
      <c r="W61" s="5" t="s">
        <v>43</v>
      </c>
      <c r="X61" s="5"/>
      <c r="Y61" s="5" t="s">
        <v>101</v>
      </c>
    </row>
    <row r="62" spans="1:25" x14ac:dyDescent="0.25">
      <c r="A62" s="5" t="s">
        <v>318</v>
      </c>
      <c r="B62" s="5"/>
      <c r="C62" s="5" t="s">
        <v>128</v>
      </c>
      <c r="D62" s="5"/>
      <c r="E62" s="5"/>
      <c r="F62" s="5"/>
      <c r="G62" s="5"/>
      <c r="H62" s="5" t="s">
        <v>319</v>
      </c>
      <c r="I62" s="5"/>
      <c r="J62" s="5"/>
      <c r="K62" s="5"/>
      <c r="L62" s="5"/>
      <c r="M62" s="5"/>
      <c r="N62" s="5" t="s">
        <v>66</v>
      </c>
      <c r="O62" s="5"/>
      <c r="P62" s="6">
        <f t="shared" si="0"/>
        <v>1</v>
      </c>
      <c r="Q62" s="6" t="str">
        <f t="shared" si="1"/>
        <v>No</v>
      </c>
      <c r="R62" s="5" t="s">
        <v>51</v>
      </c>
      <c r="S62" s="5"/>
      <c r="T62" s="5"/>
      <c r="U62" s="5" t="s">
        <v>319</v>
      </c>
      <c r="V62" s="5"/>
      <c r="W62" s="5" t="s">
        <v>320</v>
      </c>
      <c r="X62" s="5" t="s">
        <v>321</v>
      </c>
      <c r="Y62" s="5"/>
    </row>
    <row r="63" spans="1:25" x14ac:dyDescent="0.25">
      <c r="A63" s="5" t="s">
        <v>322</v>
      </c>
      <c r="B63" s="5"/>
      <c r="C63" s="5" t="s">
        <v>43</v>
      </c>
      <c r="D63" s="5" t="s">
        <v>76</v>
      </c>
      <c r="E63" s="5" t="s">
        <v>45</v>
      </c>
      <c r="F63" s="5" t="s">
        <v>107</v>
      </c>
      <c r="G63" s="5" t="s">
        <v>57</v>
      </c>
      <c r="H63" s="5" t="s">
        <v>323</v>
      </c>
      <c r="I63" s="5" t="s">
        <v>78</v>
      </c>
      <c r="J63" s="5" t="s">
        <v>178</v>
      </c>
      <c r="K63" s="5" t="s">
        <v>324</v>
      </c>
      <c r="L63" s="5"/>
      <c r="M63" s="5"/>
      <c r="N63" s="5" t="s">
        <v>50</v>
      </c>
      <c r="O63" s="5"/>
      <c r="P63" s="6">
        <f t="shared" si="0"/>
        <v>6</v>
      </c>
      <c r="Q63" s="6" t="str">
        <f t="shared" si="1"/>
        <v>Yes</v>
      </c>
      <c r="R63" s="5" t="s">
        <v>51</v>
      </c>
      <c r="S63" s="5" t="s">
        <v>325</v>
      </c>
      <c r="T63" s="5" t="s">
        <v>326</v>
      </c>
      <c r="U63" s="5" t="s">
        <v>323</v>
      </c>
      <c r="V63" s="5"/>
      <c r="W63" s="5" t="s">
        <v>43</v>
      </c>
      <c r="X63" s="5" t="s">
        <v>87</v>
      </c>
      <c r="Y63" s="5" t="s">
        <v>101</v>
      </c>
    </row>
    <row r="64" spans="1:25" x14ac:dyDescent="0.25">
      <c r="A64" s="5" t="s">
        <v>327</v>
      </c>
      <c r="B64" s="5"/>
      <c r="C64" s="5" t="s">
        <v>70</v>
      </c>
      <c r="D64" s="5" t="s">
        <v>76</v>
      </c>
      <c r="E64" s="5"/>
      <c r="F64" s="5"/>
      <c r="G64" s="5"/>
      <c r="H64" s="5" t="s">
        <v>77</v>
      </c>
      <c r="I64" s="5"/>
      <c r="J64" s="5"/>
      <c r="K64" s="5"/>
      <c r="L64" s="5"/>
      <c r="M64" s="5"/>
      <c r="N64" s="5" t="s">
        <v>50</v>
      </c>
      <c r="O64" s="5"/>
      <c r="P64" s="6">
        <f t="shared" si="0"/>
        <v>2</v>
      </c>
      <c r="Q64" s="6" t="str">
        <f t="shared" si="1"/>
        <v>No</v>
      </c>
      <c r="R64" s="5" t="s">
        <v>51</v>
      </c>
      <c r="S64" s="5"/>
      <c r="T64" s="5"/>
      <c r="U64" s="5"/>
      <c r="V64" s="5"/>
      <c r="W64" s="5"/>
      <c r="X64" s="5"/>
      <c r="Y64" s="5" t="s">
        <v>328</v>
      </c>
    </row>
    <row r="65" spans="1:25" x14ac:dyDescent="0.25">
      <c r="A65" s="5" t="s">
        <v>329</v>
      </c>
      <c r="B65" s="5"/>
      <c r="C65" s="5" t="s">
        <v>43</v>
      </c>
      <c r="D65" s="5" t="s">
        <v>44</v>
      </c>
      <c r="E65" s="5"/>
      <c r="F65" s="5"/>
      <c r="G65" s="5" t="s">
        <v>47</v>
      </c>
      <c r="H65" s="5" t="s">
        <v>314</v>
      </c>
      <c r="I65" s="5" t="s">
        <v>192</v>
      </c>
      <c r="J65" s="5"/>
      <c r="K65" s="5" t="s">
        <v>192</v>
      </c>
      <c r="L65" s="5"/>
      <c r="M65" s="5"/>
      <c r="N65" s="5" t="s">
        <v>50</v>
      </c>
      <c r="O65" s="5"/>
      <c r="P65" s="6">
        <f t="shared" si="0"/>
        <v>4</v>
      </c>
      <c r="Q65" s="6" t="str">
        <f t="shared" si="1"/>
        <v>No</v>
      </c>
      <c r="R65" s="5" t="s">
        <v>51</v>
      </c>
      <c r="S65" s="5"/>
      <c r="T65" s="5" t="s">
        <v>330</v>
      </c>
      <c r="U65" s="5" t="s">
        <v>317</v>
      </c>
      <c r="V65" s="5"/>
      <c r="W65" s="5" t="s">
        <v>43</v>
      </c>
      <c r="X65" s="5"/>
      <c r="Y65" s="5" t="s">
        <v>238</v>
      </c>
    </row>
    <row r="66" spans="1:25" x14ac:dyDescent="0.25">
      <c r="A66" s="5" t="s">
        <v>331</v>
      </c>
      <c r="B66" s="5"/>
      <c r="C66" s="5" t="s">
        <v>70</v>
      </c>
      <c r="D66" s="5" t="s">
        <v>76</v>
      </c>
      <c r="E66" s="5" t="s">
        <v>332</v>
      </c>
      <c r="F66" s="5"/>
      <c r="G66" s="5"/>
      <c r="H66" s="5" t="s">
        <v>333</v>
      </c>
      <c r="I66" s="5"/>
      <c r="J66" s="5"/>
      <c r="K66" s="5"/>
      <c r="L66" s="5"/>
      <c r="M66" s="5"/>
      <c r="N66" s="5" t="s">
        <v>50</v>
      </c>
      <c r="O66" s="5"/>
      <c r="P66" s="6">
        <f t="shared" ref="P66:P129" si="2">IF(A66="","",COUNTA(D66:F66)+COUNTA(G66:G66)+COUNTA(H66:H66)+COUNTA(I66:I66))</f>
        <v>3</v>
      </c>
      <c r="Q66" s="6" t="str">
        <f t="shared" ref="Q66:Q129" si="3">IF(A66="","",IF(AND(P66=6,UPPER(L66)&lt;&gt;"Y",C66&lt;&gt;""),"Yes","No"))</f>
        <v>No</v>
      </c>
      <c r="R66" s="5" t="s">
        <v>51</v>
      </c>
      <c r="S66" s="5"/>
      <c r="T66" s="5"/>
      <c r="U66" s="5" t="s">
        <v>333</v>
      </c>
      <c r="V66" s="5"/>
      <c r="W66" s="5"/>
      <c r="X66" s="5"/>
      <c r="Y66" s="5" t="s">
        <v>334</v>
      </c>
    </row>
    <row r="67" spans="1:25" x14ac:dyDescent="0.25">
      <c r="A67" s="5" t="s">
        <v>335</v>
      </c>
      <c r="B67" s="5"/>
      <c r="C67" s="5" t="s">
        <v>43</v>
      </c>
      <c r="D67" s="5"/>
      <c r="E67" s="5" t="s">
        <v>45</v>
      </c>
      <c r="F67" s="5"/>
      <c r="G67" s="5" t="s">
        <v>47</v>
      </c>
      <c r="H67" s="5"/>
      <c r="I67" s="5"/>
      <c r="J67" s="5"/>
      <c r="K67" s="5"/>
      <c r="L67" s="5"/>
      <c r="M67" s="5"/>
      <c r="N67" s="5" t="s">
        <v>66</v>
      </c>
      <c r="O67" s="5"/>
      <c r="P67" s="6">
        <f t="shared" si="2"/>
        <v>2</v>
      </c>
      <c r="Q67" s="6" t="str">
        <f t="shared" si="3"/>
        <v>No</v>
      </c>
      <c r="R67" s="5" t="s">
        <v>51</v>
      </c>
      <c r="S67" s="5" t="s">
        <v>336</v>
      </c>
      <c r="T67" s="5"/>
      <c r="U67" s="5"/>
      <c r="V67" s="5" t="s">
        <v>67</v>
      </c>
      <c r="W67" s="5" t="s">
        <v>43</v>
      </c>
      <c r="X67" s="5" t="s">
        <v>68</v>
      </c>
      <c r="Y67" s="5" t="s">
        <v>337</v>
      </c>
    </row>
    <row r="68" spans="1:25" x14ac:dyDescent="0.25">
      <c r="A68" s="5" t="s">
        <v>338</v>
      </c>
      <c r="B68" s="5"/>
      <c r="C68" s="5" t="s">
        <v>43</v>
      </c>
      <c r="D68" s="5" t="s">
        <v>76</v>
      </c>
      <c r="E68" s="5"/>
      <c r="F68" s="5"/>
      <c r="G68" s="5" t="s">
        <v>47</v>
      </c>
      <c r="H68" s="5" t="s">
        <v>83</v>
      </c>
      <c r="I68" s="5" t="s">
        <v>72</v>
      </c>
      <c r="J68" s="5"/>
      <c r="K68" s="5" t="s">
        <v>72</v>
      </c>
      <c r="L68" s="5"/>
      <c r="M68" s="5"/>
      <c r="N68" s="5" t="s">
        <v>50</v>
      </c>
      <c r="O68" s="5" t="s">
        <v>225</v>
      </c>
      <c r="P68" s="6">
        <f t="shared" si="2"/>
        <v>4</v>
      </c>
      <c r="Q68" s="6" t="str">
        <f t="shared" si="3"/>
        <v>No</v>
      </c>
      <c r="R68" s="5" t="s">
        <v>51</v>
      </c>
      <c r="S68" s="5"/>
      <c r="T68" s="5" t="s">
        <v>339</v>
      </c>
      <c r="U68" s="5" t="s">
        <v>340</v>
      </c>
      <c r="V68" s="5" t="s">
        <v>341</v>
      </c>
      <c r="W68" s="5" t="s">
        <v>43</v>
      </c>
      <c r="X68" s="5" t="s">
        <v>342</v>
      </c>
      <c r="Y68" s="5" t="s">
        <v>150</v>
      </c>
    </row>
    <row r="69" spans="1:25" x14ac:dyDescent="0.25">
      <c r="A69" s="5" t="s">
        <v>343</v>
      </c>
      <c r="B69" s="5"/>
      <c r="C69" s="5" t="s">
        <v>43</v>
      </c>
      <c r="D69" s="5" t="s">
        <v>44</v>
      </c>
      <c r="E69" s="5" t="s">
        <v>45</v>
      </c>
      <c r="F69" s="5" t="s">
        <v>107</v>
      </c>
      <c r="G69" s="5" t="s">
        <v>47</v>
      </c>
      <c r="H69" s="5" t="s">
        <v>314</v>
      </c>
      <c r="I69" s="5" t="s">
        <v>119</v>
      </c>
      <c r="J69" s="5" t="s">
        <v>71</v>
      </c>
      <c r="K69" s="5" t="s">
        <v>344</v>
      </c>
      <c r="L69" s="5"/>
      <c r="M69" s="5"/>
      <c r="N69" s="5" t="s">
        <v>50</v>
      </c>
      <c r="O69" s="5"/>
      <c r="P69" s="6">
        <f t="shared" si="2"/>
        <v>6</v>
      </c>
      <c r="Q69" s="6" t="str">
        <f t="shared" si="3"/>
        <v>Yes</v>
      </c>
      <c r="R69" s="5" t="s">
        <v>51</v>
      </c>
      <c r="S69" s="5" t="s">
        <v>345</v>
      </c>
      <c r="T69" s="5" t="s">
        <v>346</v>
      </c>
      <c r="U69" s="5" t="s">
        <v>317</v>
      </c>
      <c r="V69" s="5" t="s">
        <v>347</v>
      </c>
      <c r="W69" s="5" t="s">
        <v>43</v>
      </c>
      <c r="X69" s="5"/>
      <c r="Y69" s="5" t="s">
        <v>348</v>
      </c>
    </row>
    <row r="70" spans="1:25" x14ac:dyDescent="0.25">
      <c r="A70" s="5" t="s">
        <v>349</v>
      </c>
      <c r="B70" s="5"/>
      <c r="C70" s="5" t="s">
        <v>43</v>
      </c>
      <c r="D70" s="5" t="s">
        <v>44</v>
      </c>
      <c r="E70" s="5"/>
      <c r="F70" s="5"/>
      <c r="G70" s="5" t="s">
        <v>47</v>
      </c>
      <c r="H70" s="5" t="s">
        <v>132</v>
      </c>
      <c r="I70" s="5" t="s">
        <v>72</v>
      </c>
      <c r="J70" s="5" t="s">
        <v>350</v>
      </c>
      <c r="K70" s="5" t="s">
        <v>351</v>
      </c>
      <c r="L70" s="5"/>
      <c r="M70" s="5"/>
      <c r="N70" s="5" t="s">
        <v>50</v>
      </c>
      <c r="O70" s="5"/>
      <c r="P70" s="6">
        <f t="shared" si="2"/>
        <v>4</v>
      </c>
      <c r="Q70" s="6" t="str">
        <f t="shared" si="3"/>
        <v>No</v>
      </c>
      <c r="R70" s="5" t="s">
        <v>51</v>
      </c>
      <c r="S70" s="5"/>
      <c r="T70" s="5" t="s">
        <v>352</v>
      </c>
      <c r="U70" s="5" t="s">
        <v>132</v>
      </c>
      <c r="V70" s="5" t="s">
        <v>47</v>
      </c>
      <c r="W70" s="5" t="s">
        <v>43</v>
      </c>
      <c r="X70" s="5"/>
      <c r="Y70" s="5" t="s">
        <v>353</v>
      </c>
    </row>
    <row r="71" spans="1:25" x14ac:dyDescent="0.25">
      <c r="A71" s="5" t="s">
        <v>354</v>
      </c>
      <c r="B71" s="5"/>
      <c r="C71" s="5" t="s">
        <v>43</v>
      </c>
      <c r="D71" s="5"/>
      <c r="E71" s="5"/>
      <c r="F71" s="5"/>
      <c r="G71" s="5" t="s">
        <v>47</v>
      </c>
      <c r="H71" s="5" t="s">
        <v>132</v>
      </c>
      <c r="I71" s="5"/>
      <c r="J71" s="5"/>
      <c r="K71" s="5"/>
      <c r="L71" s="5"/>
      <c r="M71" s="5"/>
      <c r="N71" s="5" t="s">
        <v>66</v>
      </c>
      <c r="O71" s="5"/>
      <c r="P71" s="6">
        <f t="shared" si="2"/>
        <v>2</v>
      </c>
      <c r="Q71" s="6" t="str">
        <f t="shared" si="3"/>
        <v>No</v>
      </c>
      <c r="R71" s="5" t="s">
        <v>51</v>
      </c>
      <c r="S71" s="5"/>
      <c r="T71" s="5" t="s">
        <v>355</v>
      </c>
      <c r="U71" s="5" t="s">
        <v>132</v>
      </c>
      <c r="V71" s="5" t="s">
        <v>47</v>
      </c>
      <c r="W71" s="5" t="s">
        <v>43</v>
      </c>
      <c r="X71" s="5"/>
      <c r="Y71" s="5"/>
    </row>
    <row r="72" spans="1:25" x14ac:dyDescent="0.25">
      <c r="A72" s="5" t="s">
        <v>356</v>
      </c>
      <c r="B72" s="5"/>
      <c r="C72" s="5" t="s">
        <v>43</v>
      </c>
      <c r="D72" s="5"/>
      <c r="E72" s="5"/>
      <c r="F72" s="5"/>
      <c r="G72" s="5" t="s">
        <v>47</v>
      </c>
      <c r="H72" s="5" t="s">
        <v>132</v>
      </c>
      <c r="I72" s="5"/>
      <c r="J72" s="5"/>
      <c r="K72" s="5"/>
      <c r="L72" s="5"/>
      <c r="M72" s="5"/>
      <c r="N72" s="5" t="s">
        <v>66</v>
      </c>
      <c r="O72" s="5"/>
      <c r="P72" s="6">
        <f t="shared" si="2"/>
        <v>2</v>
      </c>
      <c r="Q72" s="6" t="str">
        <f t="shared" si="3"/>
        <v>No</v>
      </c>
      <c r="R72" s="5" t="s">
        <v>51</v>
      </c>
      <c r="S72" s="5"/>
      <c r="T72" s="5" t="s">
        <v>357</v>
      </c>
      <c r="U72" s="5" t="s">
        <v>132</v>
      </c>
      <c r="V72" s="5" t="s">
        <v>47</v>
      </c>
      <c r="W72" s="5" t="s">
        <v>43</v>
      </c>
      <c r="X72" s="5"/>
      <c r="Y72" s="5"/>
    </row>
    <row r="73" spans="1:25" x14ac:dyDescent="0.25">
      <c r="A73" s="5" t="s">
        <v>358</v>
      </c>
      <c r="B73" s="5"/>
      <c r="C73" s="5" t="s">
        <v>43</v>
      </c>
      <c r="D73" s="5"/>
      <c r="E73" s="5"/>
      <c r="F73" s="5"/>
      <c r="G73" s="5" t="s">
        <v>47</v>
      </c>
      <c r="H73" s="5" t="s">
        <v>132</v>
      </c>
      <c r="I73" s="5"/>
      <c r="J73" s="5"/>
      <c r="K73" s="5"/>
      <c r="L73" s="5"/>
      <c r="M73" s="5"/>
      <c r="N73" s="5" t="s">
        <v>66</v>
      </c>
      <c r="O73" s="5"/>
      <c r="P73" s="6">
        <f t="shared" si="2"/>
        <v>2</v>
      </c>
      <c r="Q73" s="6" t="str">
        <f t="shared" si="3"/>
        <v>No</v>
      </c>
      <c r="R73" s="5" t="s">
        <v>51</v>
      </c>
      <c r="S73" s="5"/>
      <c r="T73" s="5" t="s">
        <v>359</v>
      </c>
      <c r="U73" s="5" t="s">
        <v>132</v>
      </c>
      <c r="V73" s="5" t="s">
        <v>47</v>
      </c>
      <c r="W73" s="5" t="s">
        <v>43</v>
      </c>
      <c r="X73" s="5"/>
      <c r="Y73" s="5"/>
    </row>
    <row r="74" spans="1:25" x14ac:dyDescent="0.25">
      <c r="A74" s="5" t="s">
        <v>360</v>
      </c>
      <c r="B74" s="5"/>
      <c r="C74" s="5" t="s">
        <v>43</v>
      </c>
      <c r="D74" s="5"/>
      <c r="E74" s="5"/>
      <c r="F74" s="5"/>
      <c r="G74" s="5" t="s">
        <v>47</v>
      </c>
      <c r="H74" s="5" t="s">
        <v>132</v>
      </c>
      <c r="I74" s="5"/>
      <c r="J74" s="5"/>
      <c r="K74" s="5"/>
      <c r="L74" s="5"/>
      <c r="M74" s="5"/>
      <c r="N74" s="5" t="s">
        <v>66</v>
      </c>
      <c r="O74" s="5"/>
      <c r="P74" s="6">
        <f t="shared" si="2"/>
        <v>2</v>
      </c>
      <c r="Q74" s="6" t="str">
        <f t="shared" si="3"/>
        <v>No</v>
      </c>
      <c r="R74" s="5" t="s">
        <v>51</v>
      </c>
      <c r="S74" s="5"/>
      <c r="T74" s="5" t="s">
        <v>361</v>
      </c>
      <c r="U74" s="5" t="s">
        <v>132</v>
      </c>
      <c r="V74" s="5" t="s">
        <v>47</v>
      </c>
      <c r="W74" s="5" t="s">
        <v>43</v>
      </c>
      <c r="X74" s="5"/>
      <c r="Y74" s="5"/>
    </row>
    <row r="75" spans="1:25" x14ac:dyDescent="0.25">
      <c r="A75" s="5" t="s">
        <v>362</v>
      </c>
      <c r="B75" s="5"/>
      <c r="C75" s="5" t="s">
        <v>43</v>
      </c>
      <c r="D75" s="5"/>
      <c r="E75" s="5"/>
      <c r="F75" s="5"/>
      <c r="G75" s="5" t="s">
        <v>47</v>
      </c>
      <c r="H75" s="5" t="s">
        <v>132</v>
      </c>
      <c r="I75" s="5"/>
      <c r="J75" s="5"/>
      <c r="K75" s="5"/>
      <c r="L75" s="5"/>
      <c r="M75" s="5"/>
      <c r="N75" s="5" t="s">
        <v>66</v>
      </c>
      <c r="O75" s="5"/>
      <c r="P75" s="6">
        <f t="shared" si="2"/>
        <v>2</v>
      </c>
      <c r="Q75" s="6" t="str">
        <f t="shared" si="3"/>
        <v>No</v>
      </c>
      <c r="R75" s="5" t="s">
        <v>51</v>
      </c>
      <c r="S75" s="5"/>
      <c r="T75" s="5" t="s">
        <v>363</v>
      </c>
      <c r="U75" s="5" t="s">
        <v>132</v>
      </c>
      <c r="V75" s="5" t="s">
        <v>47</v>
      </c>
      <c r="W75" s="5" t="s">
        <v>43</v>
      </c>
      <c r="X75" s="5"/>
      <c r="Y75" s="5"/>
    </row>
    <row r="76" spans="1:25" x14ac:dyDescent="0.25">
      <c r="A76" s="5" t="s">
        <v>364</v>
      </c>
      <c r="B76" s="5"/>
      <c r="C76" s="5" t="s">
        <v>43</v>
      </c>
      <c r="D76" s="5"/>
      <c r="E76" s="5"/>
      <c r="F76" s="5"/>
      <c r="G76" s="5" t="s">
        <v>47</v>
      </c>
      <c r="H76" s="5" t="s">
        <v>132</v>
      </c>
      <c r="I76" s="5"/>
      <c r="J76" s="5"/>
      <c r="K76" s="5"/>
      <c r="L76" s="5"/>
      <c r="M76" s="5"/>
      <c r="N76" s="5" t="s">
        <v>66</v>
      </c>
      <c r="O76" s="5"/>
      <c r="P76" s="6">
        <f t="shared" si="2"/>
        <v>2</v>
      </c>
      <c r="Q76" s="6" t="str">
        <f t="shared" si="3"/>
        <v>No</v>
      </c>
      <c r="R76" s="5" t="s">
        <v>51</v>
      </c>
      <c r="S76" s="5"/>
      <c r="T76" s="5" t="s">
        <v>365</v>
      </c>
      <c r="U76" s="5" t="s">
        <v>132</v>
      </c>
      <c r="V76" s="5" t="s">
        <v>47</v>
      </c>
      <c r="W76" s="5" t="s">
        <v>43</v>
      </c>
      <c r="X76" s="5"/>
      <c r="Y76" s="5"/>
    </row>
    <row r="77" spans="1:25" x14ac:dyDescent="0.25">
      <c r="A77" s="5" t="s">
        <v>366</v>
      </c>
      <c r="B77" s="5"/>
      <c r="C77" s="5" t="s">
        <v>43</v>
      </c>
      <c r="D77" s="5"/>
      <c r="E77" s="5"/>
      <c r="F77" s="5"/>
      <c r="G77" s="5" t="s">
        <v>47</v>
      </c>
      <c r="H77" s="5" t="s">
        <v>132</v>
      </c>
      <c r="I77" s="5"/>
      <c r="J77" s="5"/>
      <c r="K77" s="5"/>
      <c r="L77" s="5"/>
      <c r="M77" s="5"/>
      <c r="N77" s="5" t="s">
        <v>66</v>
      </c>
      <c r="O77" s="5"/>
      <c r="P77" s="6">
        <f t="shared" si="2"/>
        <v>2</v>
      </c>
      <c r="Q77" s="6" t="str">
        <f t="shared" si="3"/>
        <v>No</v>
      </c>
      <c r="R77" s="5" t="s">
        <v>51</v>
      </c>
      <c r="S77" s="5"/>
      <c r="T77" s="5" t="s">
        <v>367</v>
      </c>
      <c r="U77" s="5" t="s">
        <v>132</v>
      </c>
      <c r="V77" s="5" t="s">
        <v>47</v>
      </c>
      <c r="W77" s="5" t="s">
        <v>43</v>
      </c>
      <c r="X77" s="5"/>
      <c r="Y77" s="5"/>
    </row>
    <row r="78" spans="1:25" x14ac:dyDescent="0.25">
      <c r="A78" s="5" t="s">
        <v>368</v>
      </c>
      <c r="B78" s="5"/>
      <c r="C78" s="5" t="s">
        <v>43</v>
      </c>
      <c r="D78" s="5"/>
      <c r="E78" s="5"/>
      <c r="F78" s="5"/>
      <c r="G78" s="5" t="s">
        <v>47</v>
      </c>
      <c r="H78" s="5" t="s">
        <v>132</v>
      </c>
      <c r="I78" s="5"/>
      <c r="J78" s="5"/>
      <c r="K78" s="5"/>
      <c r="L78" s="5"/>
      <c r="M78" s="5"/>
      <c r="N78" s="5" t="s">
        <v>66</v>
      </c>
      <c r="O78" s="5"/>
      <c r="P78" s="6">
        <f t="shared" si="2"/>
        <v>2</v>
      </c>
      <c r="Q78" s="6" t="str">
        <f t="shared" si="3"/>
        <v>No</v>
      </c>
      <c r="R78" s="5" t="s">
        <v>51</v>
      </c>
      <c r="S78" s="5"/>
      <c r="T78" s="5" t="s">
        <v>369</v>
      </c>
      <c r="U78" s="5" t="s">
        <v>132</v>
      </c>
      <c r="V78" s="5" t="s">
        <v>47</v>
      </c>
      <c r="W78" s="5" t="s">
        <v>43</v>
      </c>
      <c r="X78" s="5"/>
      <c r="Y78" s="5"/>
    </row>
    <row r="79" spans="1:25" x14ac:dyDescent="0.25">
      <c r="A79" s="5" t="s">
        <v>370</v>
      </c>
      <c r="B79" s="5"/>
      <c r="C79" s="5" t="s">
        <v>43</v>
      </c>
      <c r="D79" s="5"/>
      <c r="E79" s="5"/>
      <c r="F79" s="5"/>
      <c r="G79" s="5" t="s">
        <v>47</v>
      </c>
      <c r="H79" s="5" t="s">
        <v>132</v>
      </c>
      <c r="I79" s="5"/>
      <c r="J79" s="5"/>
      <c r="K79" s="5"/>
      <c r="L79" s="5"/>
      <c r="M79" s="5"/>
      <c r="N79" s="5" t="s">
        <v>66</v>
      </c>
      <c r="O79" s="5"/>
      <c r="P79" s="6">
        <f t="shared" si="2"/>
        <v>2</v>
      </c>
      <c r="Q79" s="6" t="str">
        <f t="shared" si="3"/>
        <v>No</v>
      </c>
      <c r="R79" s="5" t="s">
        <v>51</v>
      </c>
      <c r="S79" s="5"/>
      <c r="T79" s="5" t="s">
        <v>367</v>
      </c>
      <c r="U79" s="5" t="s">
        <v>132</v>
      </c>
      <c r="V79" s="5" t="s">
        <v>47</v>
      </c>
      <c r="W79" s="5" t="s">
        <v>43</v>
      </c>
      <c r="X79" s="5"/>
      <c r="Y79" s="5"/>
    </row>
    <row r="80" spans="1:25" x14ac:dyDescent="0.25">
      <c r="A80" s="5" t="s">
        <v>371</v>
      </c>
      <c r="B80" s="5" t="s">
        <v>372</v>
      </c>
      <c r="C80" s="5" t="s">
        <v>43</v>
      </c>
      <c r="D80" s="5" t="s">
        <v>44</v>
      </c>
      <c r="E80" s="5"/>
      <c r="F80" s="5"/>
      <c r="G80" s="5" t="s">
        <v>47</v>
      </c>
      <c r="H80" s="5" t="s">
        <v>132</v>
      </c>
      <c r="I80" s="5"/>
      <c r="J80" s="5"/>
      <c r="K80" s="5"/>
      <c r="L80" s="5"/>
      <c r="M80" s="5"/>
      <c r="N80" s="5" t="s">
        <v>50</v>
      </c>
      <c r="O80" s="5"/>
      <c r="P80" s="6">
        <f t="shared" si="2"/>
        <v>3</v>
      </c>
      <c r="Q80" s="6" t="str">
        <f t="shared" si="3"/>
        <v>No</v>
      </c>
      <c r="R80" s="5" t="s">
        <v>51</v>
      </c>
      <c r="S80" s="5"/>
      <c r="T80" s="5" t="s">
        <v>373</v>
      </c>
      <c r="U80" s="5" t="s">
        <v>132</v>
      </c>
      <c r="V80" s="5" t="s">
        <v>374</v>
      </c>
      <c r="W80" s="5" t="s">
        <v>43</v>
      </c>
      <c r="X80" s="5"/>
      <c r="Y80" s="5" t="s">
        <v>136</v>
      </c>
    </row>
    <row r="81" spans="1:25" x14ac:dyDescent="0.25">
      <c r="A81" s="5" t="s">
        <v>375</v>
      </c>
      <c r="B81" s="5"/>
      <c r="C81" s="5" t="s">
        <v>43</v>
      </c>
      <c r="D81" s="5" t="s">
        <v>76</v>
      </c>
      <c r="E81" s="5"/>
      <c r="F81" s="5"/>
      <c r="G81" s="5" t="s">
        <v>57</v>
      </c>
      <c r="H81" s="5" t="s">
        <v>77</v>
      </c>
      <c r="I81" s="5" t="s">
        <v>91</v>
      </c>
      <c r="J81" s="5"/>
      <c r="K81" s="5" t="s">
        <v>91</v>
      </c>
      <c r="L81" s="5"/>
      <c r="M81" s="5"/>
      <c r="N81" s="5" t="s">
        <v>50</v>
      </c>
      <c r="O81" s="5"/>
      <c r="P81" s="6">
        <f t="shared" si="2"/>
        <v>4</v>
      </c>
      <c r="Q81" s="6" t="str">
        <f t="shared" si="3"/>
        <v>No</v>
      </c>
      <c r="R81" s="5" t="s">
        <v>51</v>
      </c>
      <c r="S81" s="5"/>
      <c r="T81" s="5" t="s">
        <v>376</v>
      </c>
      <c r="U81" s="5" t="s">
        <v>77</v>
      </c>
      <c r="V81" s="5"/>
      <c r="W81" s="5" t="s">
        <v>43</v>
      </c>
      <c r="X81" s="5"/>
      <c r="Y81" s="5" t="s">
        <v>94</v>
      </c>
    </row>
    <row r="82" spans="1:25" x14ac:dyDescent="0.25">
      <c r="A82" s="5" t="s">
        <v>377</v>
      </c>
      <c r="B82" s="5"/>
      <c r="C82" s="5"/>
      <c r="D82" s="5" t="s">
        <v>76</v>
      </c>
      <c r="E82" s="5"/>
      <c r="F82" s="5"/>
      <c r="G82" s="5"/>
      <c r="H82" s="5" t="s">
        <v>378</v>
      </c>
      <c r="I82" s="5"/>
      <c r="J82" s="5"/>
      <c r="K82" s="5"/>
      <c r="L82" s="5"/>
      <c r="M82" s="5"/>
      <c r="N82" s="5" t="s">
        <v>50</v>
      </c>
      <c r="O82" s="5" t="s">
        <v>103</v>
      </c>
      <c r="P82" s="6">
        <f t="shared" si="2"/>
        <v>2</v>
      </c>
      <c r="Q82" s="6" t="str">
        <f t="shared" si="3"/>
        <v>No</v>
      </c>
      <c r="R82" s="5" t="s">
        <v>51</v>
      </c>
      <c r="S82" s="5"/>
      <c r="T82" s="5" t="s">
        <v>379</v>
      </c>
      <c r="U82" s="5" t="s">
        <v>378</v>
      </c>
      <c r="V82" s="5"/>
      <c r="W82" s="5" t="s">
        <v>105</v>
      </c>
      <c r="X82" s="5"/>
      <c r="Y82" s="5" t="s">
        <v>136</v>
      </c>
    </row>
    <row r="83" spans="1:25" x14ac:dyDescent="0.25">
      <c r="A83" s="5" t="s">
        <v>380</v>
      </c>
      <c r="B83" s="5"/>
      <c r="C83" s="5" t="s">
        <v>43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 t="s">
        <v>66</v>
      </c>
      <c r="O83" s="5"/>
      <c r="P83" s="6">
        <f t="shared" si="2"/>
        <v>0</v>
      </c>
      <c r="Q83" s="6" t="str">
        <f t="shared" si="3"/>
        <v>No</v>
      </c>
      <c r="R83" s="5" t="s">
        <v>51</v>
      </c>
      <c r="S83" s="5"/>
      <c r="T83" s="5" t="s">
        <v>381</v>
      </c>
      <c r="U83" s="5"/>
      <c r="V83" s="5"/>
      <c r="W83" s="5" t="s">
        <v>43</v>
      </c>
      <c r="X83" s="5"/>
      <c r="Y83" s="5"/>
    </row>
    <row r="84" spans="1:25" x14ac:dyDescent="0.25">
      <c r="A84" s="5" t="s">
        <v>382</v>
      </c>
      <c r="B84" s="5"/>
      <c r="C84" s="5"/>
      <c r="D84" s="5"/>
      <c r="E84" s="5"/>
      <c r="F84" s="5"/>
      <c r="G84" s="5"/>
      <c r="H84" s="5" t="s">
        <v>58</v>
      </c>
      <c r="I84" s="5" t="s">
        <v>123</v>
      </c>
      <c r="J84" s="5"/>
      <c r="K84" s="5" t="s">
        <v>123</v>
      </c>
      <c r="L84" s="5"/>
      <c r="M84" s="5"/>
      <c r="N84" s="5" t="s">
        <v>66</v>
      </c>
      <c r="O84" s="5" t="s">
        <v>103</v>
      </c>
      <c r="P84" s="6">
        <f t="shared" si="2"/>
        <v>2</v>
      </c>
      <c r="Q84" s="6" t="str">
        <f t="shared" si="3"/>
        <v>No</v>
      </c>
      <c r="R84" s="5" t="s">
        <v>51</v>
      </c>
      <c r="S84" s="5"/>
      <c r="T84" s="5" t="s">
        <v>383</v>
      </c>
      <c r="U84" s="5" t="s">
        <v>63</v>
      </c>
      <c r="V84" s="5"/>
      <c r="W84" s="5" t="s">
        <v>105</v>
      </c>
      <c r="X84" s="5"/>
      <c r="Y84" s="5"/>
    </row>
    <row r="85" spans="1:25" x14ac:dyDescent="0.25">
      <c r="A85" s="5" t="s">
        <v>384</v>
      </c>
      <c r="B85" s="5"/>
      <c r="C85" s="5" t="s">
        <v>43</v>
      </c>
      <c r="D85" s="5" t="s">
        <v>76</v>
      </c>
      <c r="E85" s="5"/>
      <c r="F85" s="5"/>
      <c r="G85" s="5"/>
      <c r="H85" s="5" t="s">
        <v>83</v>
      </c>
      <c r="I85" s="5"/>
      <c r="J85" s="5"/>
      <c r="K85" s="5"/>
      <c r="L85" s="5"/>
      <c r="M85" s="5"/>
      <c r="N85" s="5" t="s">
        <v>50</v>
      </c>
      <c r="O85" s="5"/>
      <c r="P85" s="6">
        <f t="shared" si="2"/>
        <v>2</v>
      </c>
      <c r="Q85" s="6" t="str">
        <f t="shared" si="3"/>
        <v>No</v>
      </c>
      <c r="R85" s="5" t="s">
        <v>51</v>
      </c>
      <c r="S85" s="5"/>
      <c r="T85" s="5" t="s">
        <v>385</v>
      </c>
      <c r="U85" s="5" t="s">
        <v>83</v>
      </c>
      <c r="V85" s="5"/>
      <c r="W85" s="5" t="s">
        <v>43</v>
      </c>
      <c r="X85" s="5"/>
      <c r="Y85" s="5" t="s">
        <v>136</v>
      </c>
    </row>
    <row r="86" spans="1:25" x14ac:dyDescent="0.25">
      <c r="A86" s="5" t="s">
        <v>386</v>
      </c>
      <c r="B86" s="5"/>
      <c r="C86" s="5" t="s">
        <v>43</v>
      </c>
      <c r="D86" s="5" t="s">
        <v>245</v>
      </c>
      <c r="E86" s="5" t="s">
        <v>45</v>
      </c>
      <c r="F86" s="5" t="s">
        <v>107</v>
      </c>
      <c r="G86" s="5" t="s">
        <v>57</v>
      </c>
      <c r="H86" s="5" t="s">
        <v>58</v>
      </c>
      <c r="I86" s="5" t="s">
        <v>192</v>
      </c>
      <c r="J86" s="5"/>
      <c r="K86" s="5" t="s">
        <v>387</v>
      </c>
      <c r="L86" s="5"/>
      <c r="M86" s="5"/>
      <c r="N86" s="5" t="s">
        <v>110</v>
      </c>
      <c r="O86" s="5"/>
      <c r="P86" s="6">
        <f t="shared" si="2"/>
        <v>6</v>
      </c>
      <c r="Q86" s="6" t="str">
        <f t="shared" si="3"/>
        <v>Yes</v>
      </c>
      <c r="R86" s="5" t="s">
        <v>112</v>
      </c>
      <c r="S86" s="5" t="s">
        <v>388</v>
      </c>
      <c r="T86" s="5" t="s">
        <v>389</v>
      </c>
      <c r="U86" s="5" t="s">
        <v>63</v>
      </c>
      <c r="V86" s="5"/>
      <c r="W86" s="5" t="s">
        <v>43</v>
      </c>
      <c r="X86" s="5" t="s">
        <v>390</v>
      </c>
      <c r="Y86" s="5" t="s">
        <v>391</v>
      </c>
    </row>
    <row r="87" spans="1:25" x14ac:dyDescent="0.25">
      <c r="A87" s="5" t="s">
        <v>392</v>
      </c>
      <c r="B87" s="5"/>
      <c r="C87" s="5" t="s">
        <v>128</v>
      </c>
      <c r="D87" s="5"/>
      <c r="E87" s="5" t="s">
        <v>45</v>
      </c>
      <c r="F87" s="5" t="s">
        <v>46</v>
      </c>
      <c r="G87" s="5" t="s">
        <v>57</v>
      </c>
      <c r="H87" s="5" t="s">
        <v>319</v>
      </c>
      <c r="I87" s="5"/>
      <c r="J87" s="5"/>
      <c r="K87" s="5"/>
      <c r="L87" s="5"/>
      <c r="M87" s="5"/>
      <c r="N87" s="5" t="s">
        <v>66</v>
      </c>
      <c r="O87" s="5"/>
      <c r="P87" s="6">
        <f t="shared" si="2"/>
        <v>4</v>
      </c>
      <c r="Q87" s="6" t="str">
        <f t="shared" si="3"/>
        <v>No</v>
      </c>
      <c r="R87" s="5" t="s">
        <v>51</v>
      </c>
      <c r="S87" s="5" t="s">
        <v>393</v>
      </c>
      <c r="T87" s="5"/>
      <c r="U87" s="5" t="s">
        <v>319</v>
      </c>
      <c r="V87" s="5" t="s">
        <v>57</v>
      </c>
      <c r="W87" s="5" t="s">
        <v>320</v>
      </c>
      <c r="X87" s="5" t="s">
        <v>321</v>
      </c>
      <c r="Y87" s="5" t="s">
        <v>394</v>
      </c>
    </row>
    <row r="88" spans="1:25" x14ac:dyDescent="0.25">
      <c r="A88" s="5" t="s">
        <v>395</v>
      </c>
      <c r="B88" s="5"/>
      <c r="C88" s="5" t="s">
        <v>43</v>
      </c>
      <c r="D88" s="5"/>
      <c r="E88" s="5"/>
      <c r="F88" s="5"/>
      <c r="G88" s="5" t="s">
        <v>47</v>
      </c>
      <c r="H88" s="5"/>
      <c r="I88" s="5"/>
      <c r="J88" s="5"/>
      <c r="K88" s="5"/>
      <c r="L88" s="5"/>
      <c r="M88" s="5"/>
      <c r="N88" s="5" t="s">
        <v>66</v>
      </c>
      <c r="O88" s="5"/>
      <c r="P88" s="6">
        <f t="shared" si="2"/>
        <v>1</v>
      </c>
      <c r="Q88" s="6" t="str">
        <f t="shared" si="3"/>
        <v>No</v>
      </c>
      <c r="R88" s="5" t="s">
        <v>51</v>
      </c>
      <c r="S88" s="5"/>
      <c r="T88" s="5"/>
      <c r="U88" s="5"/>
      <c r="V88" s="5" t="s">
        <v>67</v>
      </c>
      <c r="W88" s="5" t="s">
        <v>43</v>
      </c>
      <c r="X88" s="5" t="s">
        <v>68</v>
      </c>
      <c r="Y88" s="5"/>
    </row>
    <row r="89" spans="1:25" x14ac:dyDescent="0.25">
      <c r="A89" s="5" t="s">
        <v>396</v>
      </c>
      <c r="B89" s="5"/>
      <c r="C89" s="5" t="s">
        <v>43</v>
      </c>
      <c r="D89" s="5" t="s">
        <v>44</v>
      </c>
      <c r="E89" s="5"/>
      <c r="F89" s="5"/>
      <c r="G89" s="5" t="s">
        <v>47</v>
      </c>
      <c r="H89" s="5"/>
      <c r="I89" s="5" t="s">
        <v>72</v>
      </c>
      <c r="J89" s="5"/>
      <c r="K89" s="5" t="s">
        <v>72</v>
      </c>
      <c r="L89" s="5"/>
      <c r="M89" s="5"/>
      <c r="N89" s="5" t="s">
        <v>50</v>
      </c>
      <c r="O89" s="5"/>
      <c r="P89" s="6">
        <f t="shared" si="2"/>
        <v>3</v>
      </c>
      <c r="Q89" s="6" t="str">
        <f t="shared" si="3"/>
        <v>No</v>
      </c>
      <c r="R89" s="5" t="s">
        <v>51</v>
      </c>
      <c r="S89" s="5"/>
      <c r="T89" s="5" t="s">
        <v>397</v>
      </c>
      <c r="U89" s="5"/>
      <c r="V89" s="5" t="s">
        <v>242</v>
      </c>
      <c r="W89" s="5" t="s">
        <v>43</v>
      </c>
      <c r="X89" s="5" t="s">
        <v>398</v>
      </c>
      <c r="Y89" s="5" t="s">
        <v>353</v>
      </c>
    </row>
    <row r="90" spans="1:25" x14ac:dyDescent="0.25">
      <c r="A90" s="5" t="s">
        <v>399</v>
      </c>
      <c r="B90" s="5"/>
      <c r="C90" s="5"/>
      <c r="D90" s="5"/>
      <c r="E90" s="5"/>
      <c r="F90" s="5"/>
      <c r="G90" s="5"/>
      <c r="H90" s="5" t="s">
        <v>400</v>
      </c>
      <c r="I90" s="5"/>
      <c r="J90" s="5"/>
      <c r="K90" s="5"/>
      <c r="L90" s="5"/>
      <c r="M90" s="5"/>
      <c r="N90" s="5" t="s">
        <v>66</v>
      </c>
      <c r="O90" s="5" t="s">
        <v>103</v>
      </c>
      <c r="P90" s="6">
        <f t="shared" si="2"/>
        <v>1</v>
      </c>
      <c r="Q90" s="6" t="str">
        <f t="shared" si="3"/>
        <v>No</v>
      </c>
      <c r="R90" s="5" t="s">
        <v>51</v>
      </c>
      <c r="S90" s="5"/>
      <c r="T90" s="5" t="s">
        <v>401</v>
      </c>
      <c r="U90" s="5" t="s">
        <v>400</v>
      </c>
      <c r="V90" s="5"/>
      <c r="W90" s="5" t="s">
        <v>105</v>
      </c>
      <c r="X90" s="5"/>
      <c r="Y90" s="5"/>
    </row>
    <row r="91" spans="1:25" x14ac:dyDescent="0.25">
      <c r="A91" s="5" t="s">
        <v>402</v>
      </c>
      <c r="B91" s="5"/>
      <c r="C91" s="5"/>
      <c r="D91" s="5"/>
      <c r="E91" s="5" t="s">
        <v>45</v>
      </c>
      <c r="F91" s="5" t="s">
        <v>46</v>
      </c>
      <c r="G91" s="5"/>
      <c r="H91" s="5" t="s">
        <v>77</v>
      </c>
      <c r="I91" s="5" t="s">
        <v>123</v>
      </c>
      <c r="J91" s="5" t="s">
        <v>403</v>
      </c>
      <c r="K91" s="5" t="s">
        <v>404</v>
      </c>
      <c r="L91" s="5"/>
      <c r="M91" s="5"/>
      <c r="N91" s="5" t="s">
        <v>66</v>
      </c>
      <c r="O91" s="5" t="s">
        <v>103</v>
      </c>
      <c r="P91" s="6">
        <f t="shared" si="2"/>
        <v>4</v>
      </c>
      <c r="Q91" s="6" t="str">
        <f t="shared" si="3"/>
        <v>No</v>
      </c>
      <c r="R91" s="5" t="s">
        <v>51</v>
      </c>
      <c r="S91" s="5" t="s">
        <v>405</v>
      </c>
      <c r="T91" s="5" t="s">
        <v>406</v>
      </c>
      <c r="U91" s="5" t="s">
        <v>77</v>
      </c>
      <c r="V91" s="5"/>
      <c r="W91" s="5" t="s">
        <v>105</v>
      </c>
      <c r="X91" s="5"/>
      <c r="Y91" s="5" t="s">
        <v>167</v>
      </c>
    </row>
    <row r="92" spans="1:25" x14ac:dyDescent="0.25">
      <c r="A92" s="5" t="s">
        <v>407</v>
      </c>
      <c r="B92" s="5"/>
      <c r="C92" s="5" t="s">
        <v>70</v>
      </c>
      <c r="D92" s="5"/>
      <c r="E92" s="5"/>
      <c r="F92" s="5"/>
      <c r="G92" s="5"/>
      <c r="H92" s="5" t="s">
        <v>58</v>
      </c>
      <c r="I92" s="5"/>
      <c r="J92" s="5"/>
      <c r="K92" s="5"/>
      <c r="L92" s="5"/>
      <c r="M92" s="5"/>
      <c r="N92" s="5" t="s">
        <v>50</v>
      </c>
      <c r="O92" s="5"/>
      <c r="P92" s="6">
        <f t="shared" si="2"/>
        <v>1</v>
      </c>
      <c r="Q92" s="6" t="str">
        <f t="shared" si="3"/>
        <v>No</v>
      </c>
      <c r="R92" s="5" t="s">
        <v>51</v>
      </c>
      <c r="S92" s="5"/>
      <c r="T92" s="5"/>
      <c r="U92" s="5" t="s">
        <v>63</v>
      </c>
      <c r="V92" s="5"/>
      <c r="W92" s="5"/>
      <c r="X92" s="5"/>
      <c r="Y92" s="5" t="s">
        <v>74</v>
      </c>
    </row>
    <row r="93" spans="1:25" x14ac:dyDescent="0.25">
      <c r="A93" s="5" t="s">
        <v>408</v>
      </c>
      <c r="B93" s="5"/>
      <c r="C93" s="5" t="s">
        <v>70</v>
      </c>
      <c r="D93" s="5" t="s">
        <v>76</v>
      </c>
      <c r="E93" s="5"/>
      <c r="F93" s="5"/>
      <c r="G93" s="5"/>
      <c r="H93" s="5" t="s">
        <v>77</v>
      </c>
      <c r="I93" s="5"/>
      <c r="J93" s="5"/>
      <c r="K93" s="5"/>
      <c r="L93" s="5"/>
      <c r="M93" s="5"/>
      <c r="N93" s="5" t="s">
        <v>124</v>
      </c>
      <c r="O93" s="5"/>
      <c r="P93" s="6">
        <f t="shared" si="2"/>
        <v>2</v>
      </c>
      <c r="Q93" s="6" t="str">
        <f t="shared" si="3"/>
        <v>No</v>
      </c>
      <c r="R93" s="5" t="s">
        <v>125</v>
      </c>
      <c r="S93" s="5"/>
      <c r="T93" s="5"/>
      <c r="U93" s="5" t="s">
        <v>77</v>
      </c>
      <c r="V93" s="5"/>
      <c r="W93" s="5"/>
      <c r="X93" s="5"/>
      <c r="Y93" s="5" t="s">
        <v>155</v>
      </c>
    </row>
    <row r="94" spans="1:25" x14ac:dyDescent="0.25">
      <c r="A94" s="5" t="s">
        <v>409</v>
      </c>
      <c r="B94" s="5"/>
      <c r="C94" s="5" t="s">
        <v>43</v>
      </c>
      <c r="D94" s="5" t="s">
        <v>76</v>
      </c>
      <c r="E94" s="5" t="s">
        <v>45</v>
      </c>
      <c r="F94" s="5" t="s">
        <v>46</v>
      </c>
      <c r="G94" s="5" t="s">
        <v>57</v>
      </c>
      <c r="H94" s="5" t="s">
        <v>83</v>
      </c>
      <c r="I94" s="5" t="s">
        <v>123</v>
      </c>
      <c r="J94" s="5"/>
      <c r="K94" s="5" t="s">
        <v>123</v>
      </c>
      <c r="L94" s="5"/>
      <c r="M94" s="5"/>
      <c r="N94" s="5" t="s">
        <v>50</v>
      </c>
      <c r="O94" s="5" t="s">
        <v>225</v>
      </c>
      <c r="P94" s="6">
        <f t="shared" si="2"/>
        <v>6</v>
      </c>
      <c r="Q94" s="6" t="str">
        <f t="shared" si="3"/>
        <v>Yes</v>
      </c>
      <c r="R94" s="5" t="s">
        <v>51</v>
      </c>
      <c r="S94" s="5" t="s">
        <v>410</v>
      </c>
      <c r="T94" s="5" t="s">
        <v>411</v>
      </c>
      <c r="U94" s="5" t="s">
        <v>412</v>
      </c>
      <c r="V94" s="5"/>
      <c r="W94" s="5" t="s">
        <v>43</v>
      </c>
      <c r="X94" s="5" t="s">
        <v>413</v>
      </c>
      <c r="Y94" s="5" t="s">
        <v>414</v>
      </c>
    </row>
    <row r="95" spans="1:25" x14ac:dyDescent="0.25">
      <c r="A95" s="5" t="s">
        <v>415</v>
      </c>
      <c r="B95" s="5" t="s">
        <v>416</v>
      </c>
      <c r="C95" s="5" t="s">
        <v>43</v>
      </c>
      <c r="D95" s="5" t="s">
        <v>44</v>
      </c>
      <c r="E95" s="5" t="s">
        <v>45</v>
      </c>
      <c r="F95" s="5" t="s">
        <v>107</v>
      </c>
      <c r="G95" s="5" t="s">
        <v>57</v>
      </c>
      <c r="H95" s="5" t="s">
        <v>314</v>
      </c>
      <c r="I95" s="5" t="s">
        <v>192</v>
      </c>
      <c r="J95" s="5"/>
      <c r="K95" s="5" t="s">
        <v>192</v>
      </c>
      <c r="L95" s="5"/>
      <c r="M95" s="5"/>
      <c r="N95" s="5" t="s">
        <v>50</v>
      </c>
      <c r="O95" s="5"/>
      <c r="P95" s="6">
        <f t="shared" si="2"/>
        <v>6</v>
      </c>
      <c r="Q95" s="6" t="str">
        <f t="shared" si="3"/>
        <v>Yes</v>
      </c>
      <c r="R95" s="5" t="s">
        <v>51</v>
      </c>
      <c r="S95" s="5" t="s">
        <v>417</v>
      </c>
      <c r="T95" s="5" t="s">
        <v>418</v>
      </c>
      <c r="U95" s="5" t="s">
        <v>317</v>
      </c>
      <c r="V95" s="5"/>
      <c r="W95" s="5" t="s">
        <v>43</v>
      </c>
      <c r="X95" s="5" t="s">
        <v>419</v>
      </c>
      <c r="Y95" s="5" t="s">
        <v>101</v>
      </c>
    </row>
    <row r="96" spans="1:25" x14ac:dyDescent="0.25">
      <c r="A96" s="5" t="s">
        <v>420</v>
      </c>
      <c r="B96" s="5"/>
      <c r="C96" s="5" t="s">
        <v>43</v>
      </c>
      <c r="D96" s="5" t="s">
        <v>76</v>
      </c>
      <c r="E96" s="5" t="s">
        <v>45</v>
      </c>
      <c r="F96" s="5" t="s">
        <v>46</v>
      </c>
      <c r="G96" s="5" t="s">
        <v>57</v>
      </c>
      <c r="H96" s="5" t="s">
        <v>77</v>
      </c>
      <c r="I96" s="5" t="s">
        <v>78</v>
      </c>
      <c r="J96" s="5"/>
      <c r="K96" s="5" t="s">
        <v>78</v>
      </c>
      <c r="L96" s="5"/>
      <c r="M96" s="5"/>
      <c r="N96" s="5" t="s">
        <v>50</v>
      </c>
      <c r="O96" s="5" t="s">
        <v>225</v>
      </c>
      <c r="P96" s="6">
        <f t="shared" si="2"/>
        <v>6</v>
      </c>
      <c r="Q96" s="6" t="str">
        <f t="shared" si="3"/>
        <v>Yes</v>
      </c>
      <c r="R96" s="5" t="s">
        <v>51</v>
      </c>
      <c r="S96" s="5"/>
      <c r="T96" s="5" t="s">
        <v>421</v>
      </c>
      <c r="U96" s="5" t="s">
        <v>422</v>
      </c>
      <c r="V96" s="5"/>
      <c r="W96" s="5" t="s">
        <v>43</v>
      </c>
      <c r="X96" s="5" t="s">
        <v>423</v>
      </c>
      <c r="Y96" s="5" t="s">
        <v>424</v>
      </c>
    </row>
    <row r="97" spans="1:25" x14ac:dyDescent="0.25">
      <c r="A97" s="5" t="s">
        <v>425</v>
      </c>
      <c r="B97" s="5"/>
      <c r="C97" s="5"/>
      <c r="D97" s="5"/>
      <c r="E97" s="5" t="s">
        <v>45</v>
      </c>
      <c r="F97" s="5"/>
      <c r="G97" s="5"/>
      <c r="H97" s="5" t="s">
        <v>378</v>
      </c>
      <c r="I97" s="5" t="s">
        <v>123</v>
      </c>
      <c r="J97" s="5"/>
      <c r="K97" s="5" t="s">
        <v>123</v>
      </c>
      <c r="L97" s="5"/>
      <c r="M97" s="5"/>
      <c r="N97" s="5" t="s">
        <v>66</v>
      </c>
      <c r="O97" s="5" t="s">
        <v>103</v>
      </c>
      <c r="P97" s="6">
        <f t="shared" si="2"/>
        <v>3</v>
      </c>
      <c r="Q97" s="6" t="str">
        <f t="shared" si="3"/>
        <v>No</v>
      </c>
      <c r="R97" s="5" t="s">
        <v>51</v>
      </c>
      <c r="S97" s="5" t="s">
        <v>426</v>
      </c>
      <c r="T97" s="5" t="s">
        <v>427</v>
      </c>
      <c r="U97" s="5" t="s">
        <v>378</v>
      </c>
      <c r="V97" s="5"/>
      <c r="W97" s="5" t="s">
        <v>105</v>
      </c>
      <c r="X97" s="5"/>
      <c r="Y97" s="5" t="s">
        <v>337</v>
      </c>
    </row>
    <row r="98" spans="1:25" x14ac:dyDescent="0.25">
      <c r="A98" s="5" t="s">
        <v>428</v>
      </c>
      <c r="B98" s="5"/>
      <c r="C98" s="5" t="s">
        <v>70</v>
      </c>
      <c r="D98" s="5" t="s">
        <v>76</v>
      </c>
      <c r="E98" s="5"/>
      <c r="F98" s="5"/>
      <c r="G98" s="5"/>
      <c r="H98" s="5" t="s">
        <v>83</v>
      </c>
      <c r="I98" s="5" t="s">
        <v>71</v>
      </c>
      <c r="J98" s="5"/>
      <c r="K98" s="5" t="s">
        <v>71</v>
      </c>
      <c r="L98" s="5"/>
      <c r="M98" s="5"/>
      <c r="N98" s="5" t="s">
        <v>50</v>
      </c>
      <c r="O98" s="5"/>
      <c r="P98" s="6">
        <f t="shared" si="2"/>
        <v>3</v>
      </c>
      <c r="Q98" s="6" t="str">
        <f t="shared" si="3"/>
        <v>No</v>
      </c>
      <c r="R98" s="5" t="s">
        <v>51</v>
      </c>
      <c r="S98" s="5"/>
      <c r="T98" s="5" t="s">
        <v>429</v>
      </c>
      <c r="U98" s="5" t="s">
        <v>83</v>
      </c>
      <c r="V98" s="5"/>
      <c r="W98" s="5"/>
      <c r="X98" s="5"/>
      <c r="Y98" s="5" t="s">
        <v>430</v>
      </c>
    </row>
    <row r="99" spans="1:25" x14ac:dyDescent="0.25">
      <c r="A99" s="5" t="s">
        <v>431</v>
      </c>
      <c r="B99" s="5"/>
      <c r="C99" s="5" t="s">
        <v>43</v>
      </c>
      <c r="D99" s="5" t="s">
        <v>76</v>
      </c>
      <c r="E99" s="5" t="s">
        <v>45</v>
      </c>
      <c r="F99" s="5" t="s">
        <v>46</v>
      </c>
      <c r="G99" s="5" t="s">
        <v>47</v>
      </c>
      <c r="H99" s="5" t="s">
        <v>77</v>
      </c>
      <c r="I99" s="5" t="s">
        <v>72</v>
      </c>
      <c r="J99" s="5"/>
      <c r="K99" s="5" t="s">
        <v>72</v>
      </c>
      <c r="L99" s="5"/>
      <c r="M99" s="5"/>
      <c r="N99" s="5" t="s">
        <v>50</v>
      </c>
      <c r="O99" s="5"/>
      <c r="P99" s="6">
        <f t="shared" si="2"/>
        <v>6</v>
      </c>
      <c r="Q99" s="6" t="str">
        <f t="shared" si="3"/>
        <v>Yes</v>
      </c>
      <c r="R99" s="5" t="s">
        <v>51</v>
      </c>
      <c r="S99" s="5" t="s">
        <v>432</v>
      </c>
      <c r="T99" s="5" t="s">
        <v>433</v>
      </c>
      <c r="U99" s="5"/>
      <c r="V99" s="5" t="s">
        <v>67</v>
      </c>
      <c r="W99" s="5" t="s">
        <v>43</v>
      </c>
      <c r="X99" s="5" t="s">
        <v>434</v>
      </c>
      <c r="Y99" s="5" t="s">
        <v>435</v>
      </c>
    </row>
    <row r="100" spans="1:25" x14ac:dyDescent="0.25">
      <c r="A100" s="5" t="s">
        <v>436</v>
      </c>
      <c r="B100" s="5"/>
      <c r="C100" s="5" t="s">
        <v>43</v>
      </c>
      <c r="D100" s="5" t="s">
        <v>44</v>
      </c>
      <c r="E100" s="5" t="s">
        <v>45</v>
      </c>
      <c r="F100" s="5" t="s">
        <v>46</v>
      </c>
      <c r="G100" s="5" t="s">
        <v>47</v>
      </c>
      <c r="H100" s="5" t="s">
        <v>314</v>
      </c>
      <c r="I100" s="5" t="s">
        <v>72</v>
      </c>
      <c r="J100" s="5" t="s">
        <v>71</v>
      </c>
      <c r="K100" s="5" t="s">
        <v>84</v>
      </c>
      <c r="L100" s="5"/>
      <c r="M100" s="5"/>
      <c r="N100" s="5" t="s">
        <v>50</v>
      </c>
      <c r="O100" s="5"/>
      <c r="P100" s="6">
        <f t="shared" si="2"/>
        <v>6</v>
      </c>
      <c r="Q100" s="6" t="str">
        <f t="shared" si="3"/>
        <v>Yes</v>
      </c>
      <c r="R100" s="5" t="s">
        <v>51</v>
      </c>
      <c r="S100" s="5"/>
      <c r="T100" s="5" t="s">
        <v>437</v>
      </c>
      <c r="U100" s="5" t="s">
        <v>317</v>
      </c>
      <c r="V100" s="5"/>
      <c r="W100" s="5" t="s">
        <v>43</v>
      </c>
      <c r="X100" s="5"/>
      <c r="Y100" s="5" t="s">
        <v>101</v>
      </c>
    </row>
    <row r="101" spans="1:25" x14ac:dyDescent="0.25">
      <c r="A101" s="5" t="s">
        <v>438</v>
      </c>
      <c r="B101" s="5"/>
      <c r="C101" s="5" t="s">
        <v>43</v>
      </c>
      <c r="D101" s="5" t="s">
        <v>44</v>
      </c>
      <c r="E101" s="5"/>
      <c r="F101" s="5"/>
      <c r="G101" s="5"/>
      <c r="H101" s="5" t="s">
        <v>439</v>
      </c>
      <c r="I101" s="5"/>
      <c r="J101" s="5"/>
      <c r="K101" s="5"/>
      <c r="L101" s="5"/>
      <c r="M101" s="5"/>
      <c r="N101" s="5" t="s">
        <v>50</v>
      </c>
      <c r="O101" s="5"/>
      <c r="P101" s="6">
        <f t="shared" si="2"/>
        <v>2</v>
      </c>
      <c r="Q101" s="6" t="str">
        <f t="shared" si="3"/>
        <v>No</v>
      </c>
      <c r="R101" s="5" t="s">
        <v>51</v>
      </c>
      <c r="S101" s="5"/>
      <c r="T101" s="5" t="s">
        <v>440</v>
      </c>
      <c r="U101" s="5" t="s">
        <v>439</v>
      </c>
      <c r="V101" s="5"/>
      <c r="W101" s="5" t="s">
        <v>43</v>
      </c>
      <c r="X101" s="5"/>
      <c r="Y101" s="5" t="s">
        <v>136</v>
      </c>
    </row>
    <row r="102" spans="1:25" x14ac:dyDescent="0.25">
      <c r="A102" s="5" t="s">
        <v>441</v>
      </c>
      <c r="B102" s="5"/>
      <c r="C102" s="5"/>
      <c r="D102" s="5"/>
      <c r="E102" s="5" t="s">
        <v>45</v>
      </c>
      <c r="F102" s="5" t="s">
        <v>107</v>
      </c>
      <c r="G102" s="5"/>
      <c r="H102" s="5" t="s">
        <v>77</v>
      </c>
      <c r="I102" s="5" t="s">
        <v>119</v>
      </c>
      <c r="J102" s="5" t="s">
        <v>442</v>
      </c>
      <c r="K102" s="5" t="s">
        <v>443</v>
      </c>
      <c r="L102" s="5"/>
      <c r="M102" s="5"/>
      <c r="N102" s="5" t="s">
        <v>66</v>
      </c>
      <c r="O102" s="5"/>
      <c r="P102" s="6">
        <f t="shared" si="2"/>
        <v>4</v>
      </c>
      <c r="Q102" s="6" t="str">
        <f t="shared" si="3"/>
        <v>No</v>
      </c>
      <c r="R102" s="5" t="s">
        <v>51</v>
      </c>
      <c r="S102" s="5"/>
      <c r="T102" s="5" t="s">
        <v>444</v>
      </c>
      <c r="U102" s="5" t="s">
        <v>77</v>
      </c>
      <c r="V102" s="5"/>
      <c r="W102" s="5"/>
      <c r="X102" s="5"/>
      <c r="Y102" s="5" t="s">
        <v>167</v>
      </c>
    </row>
    <row r="103" spans="1:25" x14ac:dyDescent="0.25">
      <c r="A103" s="5" t="s">
        <v>445</v>
      </c>
      <c r="B103" s="5"/>
      <c r="C103" s="5" t="s">
        <v>43</v>
      </c>
      <c r="D103" s="5" t="s">
        <v>44</v>
      </c>
      <c r="E103" s="5" t="s">
        <v>45</v>
      </c>
      <c r="F103" s="5" t="s">
        <v>446</v>
      </c>
      <c r="G103" s="5" t="s">
        <v>57</v>
      </c>
      <c r="H103" s="5" t="s">
        <v>224</v>
      </c>
      <c r="I103" s="5" t="s">
        <v>193</v>
      </c>
      <c r="J103" s="5" t="s">
        <v>447</v>
      </c>
      <c r="K103" s="5" t="s">
        <v>448</v>
      </c>
      <c r="L103" s="5"/>
      <c r="M103" s="5"/>
      <c r="N103" s="5" t="s">
        <v>50</v>
      </c>
      <c r="O103" s="5" t="s">
        <v>449</v>
      </c>
      <c r="P103" s="6">
        <f t="shared" si="2"/>
        <v>6</v>
      </c>
      <c r="Q103" s="6" t="str">
        <f t="shared" si="3"/>
        <v>Yes</v>
      </c>
      <c r="R103" s="5" t="s">
        <v>51</v>
      </c>
      <c r="S103" s="5"/>
      <c r="T103" s="5" t="s">
        <v>450</v>
      </c>
      <c r="U103" s="5" t="s">
        <v>451</v>
      </c>
      <c r="V103" s="5"/>
      <c r="W103" s="5" t="s">
        <v>43</v>
      </c>
      <c r="X103" s="5" t="s">
        <v>452</v>
      </c>
      <c r="Y103" s="5" t="s">
        <v>453</v>
      </c>
    </row>
    <row r="104" spans="1:25" x14ac:dyDescent="0.25">
      <c r="A104" s="5" t="s">
        <v>454</v>
      </c>
      <c r="B104" s="5"/>
      <c r="C104" s="5" t="s">
        <v>43</v>
      </c>
      <c r="D104" s="5" t="s">
        <v>44</v>
      </c>
      <c r="E104" s="5" t="s">
        <v>45</v>
      </c>
      <c r="F104" s="5" t="s">
        <v>107</v>
      </c>
      <c r="G104" s="5" t="s">
        <v>57</v>
      </c>
      <c r="H104" s="5" t="s">
        <v>48</v>
      </c>
      <c r="I104" s="5" t="s">
        <v>91</v>
      </c>
      <c r="J104" s="5" t="s">
        <v>133</v>
      </c>
      <c r="K104" s="5" t="s">
        <v>455</v>
      </c>
      <c r="L104" s="5"/>
      <c r="M104" s="5"/>
      <c r="N104" s="5" t="s">
        <v>50</v>
      </c>
      <c r="O104" s="5"/>
      <c r="P104" s="6">
        <f t="shared" si="2"/>
        <v>6</v>
      </c>
      <c r="Q104" s="6" t="str">
        <f t="shared" si="3"/>
        <v>Yes</v>
      </c>
      <c r="R104" s="5" t="s">
        <v>51</v>
      </c>
      <c r="S104" s="5"/>
      <c r="T104" s="5" t="s">
        <v>456</v>
      </c>
      <c r="U104" s="5" t="s">
        <v>48</v>
      </c>
      <c r="V104" s="5"/>
      <c r="W104" s="5" t="s">
        <v>43</v>
      </c>
      <c r="X104" s="5"/>
      <c r="Y104" s="5" t="s">
        <v>219</v>
      </c>
    </row>
    <row r="105" spans="1:25" x14ac:dyDescent="0.25">
      <c r="A105" s="5" t="s">
        <v>457</v>
      </c>
      <c r="B105" s="5"/>
      <c r="C105" s="5" t="s">
        <v>70</v>
      </c>
      <c r="D105" s="5"/>
      <c r="E105" s="5"/>
      <c r="F105" s="5"/>
      <c r="G105" s="5" t="s">
        <v>57</v>
      </c>
      <c r="H105" s="5" t="s">
        <v>458</v>
      </c>
      <c r="I105" s="5" t="s">
        <v>49</v>
      </c>
      <c r="J105" s="5" t="s">
        <v>78</v>
      </c>
      <c r="K105" s="5" t="s">
        <v>459</v>
      </c>
      <c r="L105" s="5"/>
      <c r="M105" s="5"/>
      <c r="N105" s="5" t="s">
        <v>124</v>
      </c>
      <c r="O105" s="5"/>
      <c r="P105" s="6">
        <f t="shared" si="2"/>
        <v>3</v>
      </c>
      <c r="Q105" s="6" t="str">
        <f t="shared" si="3"/>
        <v>No</v>
      </c>
      <c r="R105" s="5" t="s">
        <v>125</v>
      </c>
      <c r="S105" s="5"/>
      <c r="T105" s="5"/>
      <c r="U105" s="5" t="s">
        <v>458</v>
      </c>
      <c r="V105" s="5" t="s">
        <v>57</v>
      </c>
      <c r="W105" s="5"/>
      <c r="X105" s="5"/>
      <c r="Y105" s="5" t="s">
        <v>460</v>
      </c>
    </row>
    <row r="106" spans="1:25" x14ac:dyDescent="0.25">
      <c r="A106" s="5" t="s">
        <v>461</v>
      </c>
      <c r="B106" s="5"/>
      <c r="C106" s="5" t="s">
        <v>70</v>
      </c>
      <c r="D106" s="5" t="s">
        <v>76</v>
      </c>
      <c r="E106" s="5"/>
      <c r="F106" s="5"/>
      <c r="G106" s="5"/>
      <c r="H106" s="5" t="s">
        <v>77</v>
      </c>
      <c r="I106" s="5"/>
      <c r="J106" s="5"/>
      <c r="K106" s="5"/>
      <c r="L106" s="5"/>
      <c r="M106" s="5"/>
      <c r="N106" s="5" t="s">
        <v>50</v>
      </c>
      <c r="O106" s="5"/>
      <c r="P106" s="6">
        <f t="shared" si="2"/>
        <v>2</v>
      </c>
      <c r="Q106" s="6" t="str">
        <f t="shared" si="3"/>
        <v>No</v>
      </c>
      <c r="R106" s="5" t="s">
        <v>51</v>
      </c>
      <c r="S106" s="5"/>
      <c r="T106" s="5"/>
      <c r="U106" s="5" t="s">
        <v>77</v>
      </c>
      <c r="V106" s="5"/>
      <c r="W106" s="5"/>
      <c r="X106" s="5"/>
      <c r="Y106" s="5" t="s">
        <v>189</v>
      </c>
    </row>
    <row r="107" spans="1:25" x14ac:dyDescent="0.25">
      <c r="A107" s="5" t="s">
        <v>462</v>
      </c>
      <c r="B107" s="5"/>
      <c r="C107" s="5"/>
      <c r="D107" s="5"/>
      <c r="E107" s="5" t="s">
        <v>45</v>
      </c>
      <c r="F107" s="5"/>
      <c r="G107" s="5"/>
      <c r="H107" s="5" t="s">
        <v>77</v>
      </c>
      <c r="I107" s="5" t="s">
        <v>91</v>
      </c>
      <c r="J107" s="5" t="s">
        <v>463</v>
      </c>
      <c r="K107" s="5" t="s">
        <v>464</v>
      </c>
      <c r="L107" s="5"/>
      <c r="M107" s="5"/>
      <c r="N107" s="5" t="s">
        <v>66</v>
      </c>
      <c r="O107" s="5" t="s">
        <v>103</v>
      </c>
      <c r="P107" s="6">
        <f t="shared" si="2"/>
        <v>3</v>
      </c>
      <c r="Q107" s="6" t="str">
        <f t="shared" si="3"/>
        <v>No</v>
      </c>
      <c r="R107" s="5" t="s">
        <v>51</v>
      </c>
      <c r="S107" s="5" t="s">
        <v>465</v>
      </c>
      <c r="T107" s="5" t="s">
        <v>466</v>
      </c>
      <c r="U107" s="5" t="s">
        <v>77</v>
      </c>
      <c r="V107" s="5"/>
      <c r="W107" s="5" t="s">
        <v>105</v>
      </c>
      <c r="X107" s="5"/>
      <c r="Y107" s="5" t="s">
        <v>337</v>
      </c>
    </row>
    <row r="108" spans="1:25" x14ac:dyDescent="0.25">
      <c r="A108" s="5" t="s">
        <v>467</v>
      </c>
      <c r="B108" s="5"/>
      <c r="C108" s="5" t="s">
        <v>128</v>
      </c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 t="s">
        <v>66</v>
      </c>
      <c r="O108" s="5"/>
      <c r="P108" s="6">
        <f t="shared" si="2"/>
        <v>0</v>
      </c>
      <c r="Q108" s="6" t="str">
        <f t="shared" si="3"/>
        <v>No</v>
      </c>
      <c r="R108" s="5" t="s">
        <v>51</v>
      </c>
      <c r="S108" s="5"/>
      <c r="T108" s="5"/>
      <c r="U108" s="5"/>
      <c r="V108" s="5"/>
      <c r="W108" s="5" t="s">
        <v>128</v>
      </c>
      <c r="X108" s="5" t="s">
        <v>468</v>
      </c>
      <c r="Y108" s="5"/>
    </row>
    <row r="109" spans="1:25" x14ac:dyDescent="0.25">
      <c r="A109" s="5" t="s">
        <v>469</v>
      </c>
      <c r="B109" s="5"/>
      <c r="C109" s="5" t="s">
        <v>43</v>
      </c>
      <c r="D109" s="5" t="s">
        <v>76</v>
      </c>
      <c r="E109" s="5" t="s">
        <v>45</v>
      </c>
      <c r="F109" s="5" t="s">
        <v>46</v>
      </c>
      <c r="G109" s="5" t="s">
        <v>47</v>
      </c>
      <c r="H109" s="5" t="s">
        <v>83</v>
      </c>
      <c r="I109" s="5" t="s">
        <v>78</v>
      </c>
      <c r="J109" s="5"/>
      <c r="K109" s="5" t="s">
        <v>184</v>
      </c>
      <c r="L109" s="5"/>
      <c r="M109" s="5"/>
      <c r="N109" s="5" t="s">
        <v>209</v>
      </c>
      <c r="O109" s="5"/>
      <c r="P109" s="6">
        <f t="shared" si="2"/>
        <v>6</v>
      </c>
      <c r="Q109" s="6" t="str">
        <f t="shared" si="3"/>
        <v>Yes</v>
      </c>
      <c r="R109" s="5" t="s">
        <v>112</v>
      </c>
      <c r="S109" s="5" t="s">
        <v>470</v>
      </c>
      <c r="T109" s="5" t="s">
        <v>471</v>
      </c>
      <c r="U109" s="5" t="s">
        <v>83</v>
      </c>
      <c r="V109" s="5" t="s">
        <v>472</v>
      </c>
      <c r="W109" s="5" t="s">
        <v>43</v>
      </c>
      <c r="X109" s="5" t="s">
        <v>473</v>
      </c>
      <c r="Y109" s="5" t="s">
        <v>88</v>
      </c>
    </row>
    <row r="110" spans="1:25" x14ac:dyDescent="0.25">
      <c r="A110" s="5" t="s">
        <v>474</v>
      </c>
      <c r="B110" s="5"/>
      <c r="C110" s="5" t="s">
        <v>43</v>
      </c>
      <c r="D110" s="5" t="s">
        <v>76</v>
      </c>
      <c r="E110" s="5" t="s">
        <v>45</v>
      </c>
      <c r="F110" s="5" t="s">
        <v>107</v>
      </c>
      <c r="G110" s="5" t="s">
        <v>47</v>
      </c>
      <c r="H110" s="5" t="s">
        <v>149</v>
      </c>
      <c r="I110" s="5"/>
      <c r="J110" s="5"/>
      <c r="K110" s="5"/>
      <c r="L110" s="5"/>
      <c r="M110" s="5"/>
      <c r="N110" s="5" t="s">
        <v>50</v>
      </c>
      <c r="O110" s="5"/>
      <c r="P110" s="6">
        <f t="shared" si="2"/>
        <v>5</v>
      </c>
      <c r="Q110" s="6" t="str">
        <f t="shared" si="3"/>
        <v>No</v>
      </c>
      <c r="R110" s="5" t="s">
        <v>51</v>
      </c>
      <c r="S110" s="5" t="s">
        <v>475</v>
      </c>
      <c r="T110" s="5"/>
      <c r="U110" s="5"/>
      <c r="V110" s="5" t="s">
        <v>67</v>
      </c>
      <c r="W110" s="5" t="s">
        <v>43</v>
      </c>
      <c r="X110" s="5" t="s">
        <v>68</v>
      </c>
      <c r="Y110" s="5" t="s">
        <v>476</v>
      </c>
    </row>
    <row r="111" spans="1:25" x14ac:dyDescent="0.25">
      <c r="A111" s="5" t="s">
        <v>477</v>
      </c>
      <c r="B111" s="5"/>
      <c r="C111" s="5" t="s">
        <v>43</v>
      </c>
      <c r="D111" s="5" t="s">
        <v>44</v>
      </c>
      <c r="E111" s="5" t="s">
        <v>45</v>
      </c>
      <c r="F111" s="5" t="s">
        <v>107</v>
      </c>
      <c r="G111" s="5" t="s">
        <v>47</v>
      </c>
      <c r="H111" s="5" t="s">
        <v>48</v>
      </c>
      <c r="I111" s="5" t="s">
        <v>119</v>
      </c>
      <c r="J111" s="5" t="s">
        <v>49</v>
      </c>
      <c r="K111" s="5" t="s">
        <v>478</v>
      </c>
      <c r="L111" s="5"/>
      <c r="M111" s="5"/>
      <c r="N111" s="5" t="s">
        <v>50</v>
      </c>
      <c r="O111" s="5"/>
      <c r="P111" s="6">
        <f t="shared" si="2"/>
        <v>6</v>
      </c>
      <c r="Q111" s="6" t="str">
        <f t="shared" si="3"/>
        <v>Yes</v>
      </c>
      <c r="R111" s="5" t="s">
        <v>51</v>
      </c>
      <c r="S111" s="5"/>
      <c r="T111" s="5" t="s">
        <v>479</v>
      </c>
      <c r="U111" s="5" t="s">
        <v>53</v>
      </c>
      <c r="V111" s="5" t="s">
        <v>47</v>
      </c>
      <c r="W111" s="5" t="s">
        <v>43</v>
      </c>
      <c r="X111" s="5"/>
      <c r="Y111" s="5" t="s">
        <v>197</v>
      </c>
    </row>
    <row r="112" spans="1:25" x14ac:dyDescent="0.25">
      <c r="A112" s="5" t="s">
        <v>480</v>
      </c>
      <c r="B112" s="5"/>
      <c r="C112" s="5" t="s">
        <v>128</v>
      </c>
      <c r="D112" s="5"/>
      <c r="E112" s="5"/>
      <c r="F112" s="5"/>
      <c r="G112" s="5" t="s">
        <v>47</v>
      </c>
      <c r="H112" s="5" t="s">
        <v>319</v>
      </c>
      <c r="I112" s="5"/>
      <c r="J112" s="5"/>
      <c r="K112" s="5"/>
      <c r="L112" s="5"/>
      <c r="M112" s="5"/>
      <c r="N112" s="5" t="s">
        <v>66</v>
      </c>
      <c r="O112" s="5"/>
      <c r="P112" s="6">
        <f t="shared" si="2"/>
        <v>2</v>
      </c>
      <c r="Q112" s="6" t="str">
        <f t="shared" si="3"/>
        <v>No</v>
      </c>
      <c r="R112" s="5" t="s">
        <v>51</v>
      </c>
      <c r="S112" s="5"/>
      <c r="T112" s="5"/>
      <c r="U112" s="5" t="s">
        <v>319</v>
      </c>
      <c r="V112" s="5" t="s">
        <v>47</v>
      </c>
      <c r="W112" s="5" t="s">
        <v>320</v>
      </c>
      <c r="X112" s="5" t="s">
        <v>321</v>
      </c>
      <c r="Y112" s="5"/>
    </row>
    <row r="113" spans="1:25" x14ac:dyDescent="0.25">
      <c r="A113" s="5" t="s">
        <v>481</v>
      </c>
      <c r="B113" s="5"/>
      <c r="C113" s="5" t="s">
        <v>43</v>
      </c>
      <c r="D113" s="5" t="s">
        <v>44</v>
      </c>
      <c r="E113" s="5" t="s">
        <v>45</v>
      </c>
      <c r="F113" s="5" t="s">
        <v>46</v>
      </c>
      <c r="G113" s="5" t="s">
        <v>47</v>
      </c>
      <c r="H113" s="5" t="s">
        <v>58</v>
      </c>
      <c r="I113" s="5" t="s">
        <v>49</v>
      </c>
      <c r="J113" s="5"/>
      <c r="K113" s="5" t="s">
        <v>49</v>
      </c>
      <c r="L113" s="5"/>
      <c r="M113" s="5"/>
      <c r="N113" s="5" t="s">
        <v>209</v>
      </c>
      <c r="O113" s="5"/>
      <c r="P113" s="6">
        <f t="shared" si="2"/>
        <v>6</v>
      </c>
      <c r="Q113" s="6" t="str">
        <f t="shared" si="3"/>
        <v>Yes</v>
      </c>
      <c r="R113" s="5" t="s">
        <v>112</v>
      </c>
      <c r="S113" s="5" t="s">
        <v>482</v>
      </c>
      <c r="T113" s="5" t="s">
        <v>483</v>
      </c>
      <c r="U113" s="5" t="s">
        <v>63</v>
      </c>
      <c r="V113" s="5" t="s">
        <v>484</v>
      </c>
      <c r="W113" s="5" t="s">
        <v>43</v>
      </c>
      <c r="X113" s="5" t="s">
        <v>87</v>
      </c>
      <c r="Y113" s="5" t="s">
        <v>88</v>
      </c>
    </row>
    <row r="114" spans="1:25" x14ac:dyDescent="0.25">
      <c r="A114" s="5" t="s">
        <v>485</v>
      </c>
      <c r="B114" s="5"/>
      <c r="C114" s="5" t="s">
        <v>43</v>
      </c>
      <c r="D114" s="5" t="s">
        <v>44</v>
      </c>
      <c r="E114" s="5" t="s">
        <v>45</v>
      </c>
      <c r="F114" s="5" t="s">
        <v>107</v>
      </c>
      <c r="G114" s="5" t="s">
        <v>57</v>
      </c>
      <c r="H114" s="5" t="s">
        <v>458</v>
      </c>
      <c r="I114" s="5" t="s">
        <v>49</v>
      </c>
      <c r="J114" s="5"/>
      <c r="K114" s="5" t="s">
        <v>486</v>
      </c>
      <c r="L114" s="5"/>
      <c r="M114" s="5"/>
      <c r="N114" s="5" t="s">
        <v>110</v>
      </c>
      <c r="O114" s="5"/>
      <c r="P114" s="6">
        <f t="shared" si="2"/>
        <v>6</v>
      </c>
      <c r="Q114" s="6" t="str">
        <f t="shared" si="3"/>
        <v>Yes</v>
      </c>
      <c r="R114" s="5" t="s">
        <v>112</v>
      </c>
      <c r="S114" s="5" t="s">
        <v>487</v>
      </c>
      <c r="T114" s="5" t="s">
        <v>488</v>
      </c>
      <c r="U114" s="5" t="s">
        <v>458</v>
      </c>
      <c r="V114" s="5"/>
      <c r="W114" s="5" t="s">
        <v>43</v>
      </c>
      <c r="X114" s="5"/>
      <c r="Y114" s="5" t="s">
        <v>489</v>
      </c>
    </row>
    <row r="115" spans="1:25" x14ac:dyDescent="0.25">
      <c r="A115" s="5" t="s">
        <v>490</v>
      </c>
      <c r="B115" s="5"/>
      <c r="C115" s="5" t="s">
        <v>128</v>
      </c>
      <c r="D115" s="5"/>
      <c r="E115" s="5"/>
      <c r="F115" s="5"/>
      <c r="G115" s="5" t="s">
        <v>57</v>
      </c>
      <c r="H115" s="5" t="s">
        <v>129</v>
      </c>
      <c r="I115" s="5"/>
      <c r="J115" s="5"/>
      <c r="K115" s="5"/>
      <c r="L115" s="5"/>
      <c r="M115" s="5"/>
      <c r="N115" s="5" t="s">
        <v>66</v>
      </c>
      <c r="O115" s="5"/>
      <c r="P115" s="6">
        <f t="shared" si="2"/>
        <v>2</v>
      </c>
      <c r="Q115" s="6" t="str">
        <f t="shared" si="3"/>
        <v>No</v>
      </c>
      <c r="R115" s="5" t="s">
        <v>51</v>
      </c>
      <c r="S115" s="5"/>
      <c r="T115" s="5"/>
      <c r="U115" s="5" t="s">
        <v>129</v>
      </c>
      <c r="V115" s="5" t="s">
        <v>57</v>
      </c>
      <c r="W115" s="5" t="s">
        <v>128</v>
      </c>
      <c r="X115" s="5" t="s">
        <v>130</v>
      </c>
      <c r="Y115" s="5"/>
    </row>
    <row r="116" spans="1:25" x14ac:dyDescent="0.25">
      <c r="A116" s="5" t="s">
        <v>491</v>
      </c>
      <c r="B116" s="5" t="s">
        <v>492</v>
      </c>
      <c r="C116" s="5"/>
      <c r="D116" s="5"/>
      <c r="E116" s="5"/>
      <c r="F116" s="5"/>
      <c r="G116" s="5"/>
      <c r="H116" s="5" t="s">
        <v>260</v>
      </c>
      <c r="I116" s="5"/>
      <c r="J116" s="5"/>
      <c r="K116" s="5"/>
      <c r="L116" s="5"/>
      <c r="M116" s="5"/>
      <c r="N116" s="5" t="s">
        <v>66</v>
      </c>
      <c r="O116" s="5" t="s">
        <v>163</v>
      </c>
      <c r="P116" s="6">
        <f t="shared" si="2"/>
        <v>1</v>
      </c>
      <c r="Q116" s="6" t="str">
        <f t="shared" si="3"/>
        <v>No</v>
      </c>
      <c r="R116" s="5" t="s">
        <v>51</v>
      </c>
      <c r="S116" s="5"/>
      <c r="T116" s="5" t="s">
        <v>493</v>
      </c>
      <c r="U116" s="5" t="s">
        <v>262</v>
      </c>
      <c r="V116" s="5"/>
      <c r="W116" s="5" t="s">
        <v>166</v>
      </c>
      <c r="X116" s="5"/>
      <c r="Y116" s="5"/>
    </row>
    <row r="117" spans="1:25" x14ac:dyDescent="0.25">
      <c r="A117" s="5" t="s">
        <v>494</v>
      </c>
      <c r="B117" s="5"/>
      <c r="C117" s="5" t="s">
        <v>43</v>
      </c>
      <c r="D117" s="5" t="s">
        <v>44</v>
      </c>
      <c r="E117" s="5"/>
      <c r="F117" s="5"/>
      <c r="G117" s="5" t="s">
        <v>57</v>
      </c>
      <c r="H117" s="5" t="s">
        <v>495</v>
      </c>
      <c r="I117" s="5"/>
      <c r="J117" s="5"/>
      <c r="K117" s="5"/>
      <c r="L117" s="5"/>
      <c r="M117" s="5"/>
      <c r="N117" s="5" t="s">
        <v>50</v>
      </c>
      <c r="O117" s="5"/>
      <c r="P117" s="6">
        <f t="shared" si="2"/>
        <v>3</v>
      </c>
      <c r="Q117" s="6" t="str">
        <f t="shared" si="3"/>
        <v>No</v>
      </c>
      <c r="R117" s="5" t="s">
        <v>51</v>
      </c>
      <c r="S117" s="5"/>
      <c r="T117" s="5" t="s">
        <v>496</v>
      </c>
      <c r="U117" s="5" t="s">
        <v>495</v>
      </c>
      <c r="V117" s="5"/>
      <c r="W117" s="5" t="s">
        <v>43</v>
      </c>
      <c r="X117" s="5"/>
      <c r="Y117" s="5" t="s">
        <v>64</v>
      </c>
    </row>
    <row r="118" spans="1:25" x14ac:dyDescent="0.25">
      <c r="A118" s="5" t="s">
        <v>497</v>
      </c>
      <c r="B118" s="5"/>
      <c r="C118" s="5" t="s">
        <v>43</v>
      </c>
      <c r="D118" s="5" t="s">
        <v>44</v>
      </c>
      <c r="E118" s="5" t="s">
        <v>45</v>
      </c>
      <c r="F118" s="5" t="s">
        <v>107</v>
      </c>
      <c r="G118" s="5" t="s">
        <v>47</v>
      </c>
      <c r="H118" s="5" t="s">
        <v>58</v>
      </c>
      <c r="I118" s="5" t="s">
        <v>91</v>
      </c>
      <c r="J118" s="5" t="s">
        <v>49</v>
      </c>
      <c r="K118" s="5" t="s">
        <v>498</v>
      </c>
      <c r="L118" s="5"/>
      <c r="M118" s="5"/>
      <c r="N118" s="5" t="s">
        <v>50</v>
      </c>
      <c r="O118" s="5"/>
      <c r="P118" s="6">
        <f t="shared" si="2"/>
        <v>6</v>
      </c>
      <c r="Q118" s="6" t="str">
        <f t="shared" si="3"/>
        <v>Yes</v>
      </c>
      <c r="R118" s="5" t="s">
        <v>51</v>
      </c>
      <c r="S118" s="5" t="s">
        <v>499</v>
      </c>
      <c r="T118" s="5" t="s">
        <v>500</v>
      </c>
      <c r="U118" s="5" t="s">
        <v>63</v>
      </c>
      <c r="V118" s="5"/>
      <c r="W118" s="5" t="s">
        <v>43</v>
      </c>
      <c r="X118" s="5"/>
      <c r="Y118" s="5" t="s">
        <v>219</v>
      </c>
    </row>
    <row r="119" spans="1:25" x14ac:dyDescent="0.25">
      <c r="A119" s="5" t="s">
        <v>501</v>
      </c>
      <c r="B119" s="5"/>
      <c r="C119" s="5" t="s">
        <v>43</v>
      </c>
      <c r="D119" s="5" t="s">
        <v>245</v>
      </c>
      <c r="E119" s="5"/>
      <c r="F119" s="5"/>
      <c r="G119" s="5" t="s">
        <v>47</v>
      </c>
      <c r="H119" s="5" t="s">
        <v>246</v>
      </c>
      <c r="I119" s="5" t="s">
        <v>123</v>
      </c>
      <c r="J119" s="5"/>
      <c r="K119" s="5" t="s">
        <v>123</v>
      </c>
      <c r="L119" s="5"/>
      <c r="M119" s="5"/>
      <c r="N119" s="5" t="s">
        <v>50</v>
      </c>
      <c r="O119" s="5"/>
      <c r="P119" s="6">
        <f t="shared" si="2"/>
        <v>4</v>
      </c>
      <c r="Q119" s="6" t="str">
        <f t="shared" si="3"/>
        <v>No</v>
      </c>
      <c r="R119" s="5" t="s">
        <v>51</v>
      </c>
      <c r="S119" s="5"/>
      <c r="T119" s="5" t="s">
        <v>502</v>
      </c>
      <c r="U119" s="5" t="s">
        <v>246</v>
      </c>
      <c r="V119" s="5"/>
      <c r="W119" s="5" t="s">
        <v>43</v>
      </c>
      <c r="X119" s="5"/>
      <c r="Y119" s="5" t="s">
        <v>64</v>
      </c>
    </row>
    <row r="120" spans="1:25" x14ac:dyDescent="0.25">
      <c r="A120" s="5" t="s">
        <v>503</v>
      </c>
      <c r="B120" s="5"/>
      <c r="C120" s="5" t="s">
        <v>43</v>
      </c>
      <c r="D120" s="5" t="s">
        <v>44</v>
      </c>
      <c r="E120" s="5" t="s">
        <v>45</v>
      </c>
      <c r="F120" s="5" t="s">
        <v>46</v>
      </c>
      <c r="G120" s="5" t="s">
        <v>47</v>
      </c>
      <c r="H120" s="5" t="s">
        <v>314</v>
      </c>
      <c r="I120" s="5" t="s">
        <v>72</v>
      </c>
      <c r="J120" s="5"/>
      <c r="K120" s="5" t="s">
        <v>72</v>
      </c>
      <c r="L120" s="5"/>
      <c r="M120" s="5"/>
      <c r="N120" s="5" t="s">
        <v>209</v>
      </c>
      <c r="O120" s="5"/>
      <c r="P120" s="6">
        <f t="shared" si="2"/>
        <v>6</v>
      </c>
      <c r="Q120" s="6" t="str">
        <f t="shared" si="3"/>
        <v>Yes</v>
      </c>
      <c r="R120" s="5" t="s">
        <v>112</v>
      </c>
      <c r="S120" s="5" t="s">
        <v>504</v>
      </c>
      <c r="T120" s="5" t="s">
        <v>505</v>
      </c>
      <c r="U120" s="5" t="s">
        <v>317</v>
      </c>
      <c r="V120" s="5" t="s">
        <v>506</v>
      </c>
      <c r="W120" s="5" t="s">
        <v>43</v>
      </c>
      <c r="X120" s="5"/>
      <c r="Y120" s="5" t="s">
        <v>88</v>
      </c>
    </row>
    <row r="121" spans="1:25" x14ac:dyDescent="0.25">
      <c r="A121" s="5" t="s">
        <v>507</v>
      </c>
      <c r="B121" s="5"/>
      <c r="C121" s="5" t="s">
        <v>128</v>
      </c>
      <c r="D121" s="5"/>
      <c r="E121" s="5"/>
      <c r="F121" s="5"/>
      <c r="G121" s="5" t="s">
        <v>57</v>
      </c>
      <c r="H121" s="5"/>
      <c r="I121" s="5"/>
      <c r="J121" s="5"/>
      <c r="K121" s="5"/>
      <c r="L121" s="5"/>
      <c r="M121" s="5"/>
      <c r="N121" s="5" t="s">
        <v>66</v>
      </c>
      <c r="O121" s="5"/>
      <c r="P121" s="6">
        <f t="shared" si="2"/>
        <v>1</v>
      </c>
      <c r="Q121" s="6" t="str">
        <f t="shared" si="3"/>
        <v>No</v>
      </c>
      <c r="R121" s="5" t="s">
        <v>51</v>
      </c>
      <c r="S121" s="5"/>
      <c r="T121" s="5"/>
      <c r="U121" s="5"/>
      <c r="V121" s="5" t="s">
        <v>57</v>
      </c>
      <c r="W121" s="5" t="s">
        <v>128</v>
      </c>
      <c r="X121" s="5" t="s">
        <v>250</v>
      </c>
      <c r="Y121" s="5"/>
    </row>
    <row r="122" spans="1:25" x14ac:dyDescent="0.25">
      <c r="A122" s="5" t="s">
        <v>508</v>
      </c>
      <c r="B122" s="5"/>
      <c r="C122" s="5" t="s">
        <v>43</v>
      </c>
      <c r="D122" s="5" t="s">
        <v>44</v>
      </c>
      <c r="E122" s="5" t="s">
        <v>45</v>
      </c>
      <c r="F122" s="5" t="s">
        <v>107</v>
      </c>
      <c r="G122" s="5"/>
      <c r="H122" s="5" t="s">
        <v>96</v>
      </c>
      <c r="I122" s="5" t="s">
        <v>59</v>
      </c>
      <c r="J122" s="5"/>
      <c r="K122" s="5" t="s">
        <v>59</v>
      </c>
      <c r="L122" s="5"/>
      <c r="M122" s="5"/>
      <c r="N122" s="5" t="s">
        <v>66</v>
      </c>
      <c r="O122" s="5"/>
      <c r="P122" s="6">
        <f t="shared" si="2"/>
        <v>5</v>
      </c>
      <c r="Q122" s="6" t="str">
        <f t="shared" si="3"/>
        <v>No</v>
      </c>
      <c r="R122" s="5" t="s">
        <v>51</v>
      </c>
      <c r="S122" s="5"/>
      <c r="T122" s="5" t="s">
        <v>509</v>
      </c>
      <c r="U122" s="5" t="s">
        <v>99</v>
      </c>
      <c r="V122" s="5"/>
      <c r="W122" s="5" t="s">
        <v>43</v>
      </c>
      <c r="X122" s="5" t="s">
        <v>510</v>
      </c>
      <c r="Y122" s="5" t="s">
        <v>88</v>
      </c>
    </row>
    <row r="123" spans="1:25" x14ac:dyDescent="0.25">
      <c r="A123" s="5" t="s">
        <v>511</v>
      </c>
      <c r="B123" s="5"/>
      <c r="C123" s="5" t="s">
        <v>43</v>
      </c>
      <c r="D123" s="5" t="s">
        <v>44</v>
      </c>
      <c r="E123" s="5"/>
      <c r="F123" s="5"/>
      <c r="G123" s="5" t="s">
        <v>47</v>
      </c>
      <c r="H123" s="5" t="s">
        <v>314</v>
      </c>
      <c r="I123" s="5" t="s">
        <v>178</v>
      </c>
      <c r="J123" s="5"/>
      <c r="K123" s="5" t="s">
        <v>178</v>
      </c>
      <c r="L123" s="5"/>
      <c r="M123" s="5"/>
      <c r="N123" s="5" t="s">
        <v>50</v>
      </c>
      <c r="O123" s="5"/>
      <c r="P123" s="6">
        <f t="shared" si="2"/>
        <v>4</v>
      </c>
      <c r="Q123" s="6" t="str">
        <f t="shared" si="3"/>
        <v>No</v>
      </c>
      <c r="R123" s="5" t="s">
        <v>51</v>
      </c>
      <c r="S123" s="5"/>
      <c r="T123" s="5" t="s">
        <v>512</v>
      </c>
      <c r="U123" s="5" t="s">
        <v>317</v>
      </c>
      <c r="V123" s="5"/>
      <c r="W123" s="5" t="s">
        <v>43</v>
      </c>
      <c r="X123" s="5"/>
      <c r="Y123" s="5" t="s">
        <v>238</v>
      </c>
    </row>
    <row r="124" spans="1:25" x14ac:dyDescent="0.25">
      <c r="A124" s="5" t="s">
        <v>513</v>
      </c>
      <c r="B124" s="5"/>
      <c r="C124" s="5" t="s">
        <v>70</v>
      </c>
      <c r="D124" s="5" t="s">
        <v>76</v>
      </c>
      <c r="E124" s="5" t="s">
        <v>45</v>
      </c>
      <c r="F124" s="5" t="s">
        <v>46</v>
      </c>
      <c r="G124" s="5"/>
      <c r="H124" s="5" t="s">
        <v>83</v>
      </c>
      <c r="I124" s="5" t="s">
        <v>91</v>
      </c>
      <c r="J124" s="5"/>
      <c r="K124" s="5" t="s">
        <v>91</v>
      </c>
      <c r="L124" s="5"/>
      <c r="M124" s="5"/>
      <c r="N124" s="5" t="s">
        <v>50</v>
      </c>
      <c r="O124" s="5"/>
      <c r="P124" s="6">
        <f t="shared" si="2"/>
        <v>5</v>
      </c>
      <c r="Q124" s="6" t="str">
        <f t="shared" si="3"/>
        <v>No</v>
      </c>
      <c r="R124" s="5" t="s">
        <v>51</v>
      </c>
      <c r="S124" s="5"/>
      <c r="T124" s="5" t="s">
        <v>514</v>
      </c>
      <c r="U124" s="5" t="s">
        <v>83</v>
      </c>
      <c r="V124" s="5"/>
      <c r="W124" s="5"/>
      <c r="X124" s="5"/>
      <c r="Y124" s="5" t="s">
        <v>515</v>
      </c>
    </row>
    <row r="125" spans="1:25" x14ac:dyDescent="0.25">
      <c r="A125" s="5" t="s">
        <v>516</v>
      </c>
      <c r="B125" s="5"/>
      <c r="C125" s="5" t="s">
        <v>43</v>
      </c>
      <c r="D125" s="5" t="s">
        <v>44</v>
      </c>
      <c r="E125" s="5" t="s">
        <v>45</v>
      </c>
      <c r="F125" s="5" t="s">
        <v>46</v>
      </c>
      <c r="G125" s="5" t="s">
        <v>47</v>
      </c>
      <c r="H125" s="5" t="s">
        <v>517</v>
      </c>
      <c r="I125" s="5" t="s">
        <v>192</v>
      </c>
      <c r="J125" s="5"/>
      <c r="K125" s="5" t="s">
        <v>518</v>
      </c>
      <c r="L125" s="5"/>
      <c r="M125" s="5"/>
      <c r="N125" s="5" t="s">
        <v>50</v>
      </c>
      <c r="O125" s="5" t="s">
        <v>225</v>
      </c>
      <c r="P125" s="6">
        <f t="shared" si="2"/>
        <v>6</v>
      </c>
      <c r="Q125" s="6" t="str">
        <f t="shared" si="3"/>
        <v>Yes</v>
      </c>
      <c r="R125" s="5" t="s">
        <v>51</v>
      </c>
      <c r="S125" s="5" t="s">
        <v>519</v>
      </c>
      <c r="T125" s="5" t="s">
        <v>520</v>
      </c>
      <c r="U125" s="5" t="s">
        <v>521</v>
      </c>
      <c r="V125" s="5"/>
      <c r="W125" s="5" t="s">
        <v>43</v>
      </c>
      <c r="X125" s="5" t="s">
        <v>68</v>
      </c>
      <c r="Y125" s="5" t="s">
        <v>522</v>
      </c>
    </row>
    <row r="126" spans="1:25" x14ac:dyDescent="0.25">
      <c r="A126" s="5" t="s">
        <v>523</v>
      </c>
      <c r="B126" s="5"/>
      <c r="C126" s="5" t="s">
        <v>128</v>
      </c>
      <c r="D126" s="5"/>
      <c r="E126" s="5"/>
      <c r="F126" s="5"/>
      <c r="G126" s="5" t="s">
        <v>57</v>
      </c>
      <c r="H126" s="5" t="s">
        <v>524</v>
      </c>
      <c r="I126" s="5"/>
      <c r="J126" s="5"/>
      <c r="K126" s="5"/>
      <c r="L126" s="5"/>
      <c r="M126" s="5"/>
      <c r="N126" s="5" t="s">
        <v>66</v>
      </c>
      <c r="O126" s="5" t="s">
        <v>225</v>
      </c>
      <c r="P126" s="6">
        <f t="shared" si="2"/>
        <v>2</v>
      </c>
      <c r="Q126" s="6" t="str">
        <f t="shared" si="3"/>
        <v>No</v>
      </c>
      <c r="R126" s="5" t="s">
        <v>51</v>
      </c>
      <c r="S126" s="5"/>
      <c r="T126" s="5" t="s">
        <v>525</v>
      </c>
      <c r="U126" s="5" t="s">
        <v>524</v>
      </c>
      <c r="V126" s="5" t="s">
        <v>57</v>
      </c>
      <c r="W126" s="5" t="s">
        <v>128</v>
      </c>
      <c r="X126" s="5" t="s">
        <v>526</v>
      </c>
      <c r="Y126" s="5"/>
    </row>
    <row r="127" spans="1:25" x14ac:dyDescent="0.25">
      <c r="A127" s="5" t="s">
        <v>527</v>
      </c>
      <c r="B127" s="5"/>
      <c r="C127" s="5" t="s">
        <v>43</v>
      </c>
      <c r="D127" s="5" t="s">
        <v>76</v>
      </c>
      <c r="E127" s="5" t="s">
        <v>45</v>
      </c>
      <c r="F127" s="5" t="s">
        <v>107</v>
      </c>
      <c r="G127" s="5"/>
      <c r="H127" s="5" t="s">
        <v>83</v>
      </c>
      <c r="I127" s="5" t="s">
        <v>78</v>
      </c>
      <c r="J127" s="5"/>
      <c r="K127" s="5" t="s">
        <v>78</v>
      </c>
      <c r="L127" s="5"/>
      <c r="M127" s="5"/>
      <c r="N127" s="5" t="s">
        <v>50</v>
      </c>
      <c r="O127" s="5"/>
      <c r="P127" s="6">
        <f t="shared" si="2"/>
        <v>5</v>
      </c>
      <c r="Q127" s="6" t="str">
        <f t="shared" si="3"/>
        <v>No</v>
      </c>
      <c r="R127" s="5" t="s">
        <v>51</v>
      </c>
      <c r="S127" s="5" t="s">
        <v>528</v>
      </c>
      <c r="T127" s="5" t="s">
        <v>529</v>
      </c>
      <c r="U127" s="5" t="s">
        <v>83</v>
      </c>
      <c r="V127" s="5"/>
      <c r="W127" s="5" t="s">
        <v>43</v>
      </c>
      <c r="X127" s="5"/>
      <c r="Y127" s="5" t="s">
        <v>348</v>
      </c>
    </row>
    <row r="128" spans="1:25" x14ac:dyDescent="0.25">
      <c r="A128" s="5" t="s">
        <v>530</v>
      </c>
      <c r="B128" s="5"/>
      <c r="C128" s="5" t="s">
        <v>43</v>
      </c>
      <c r="D128" s="5"/>
      <c r="E128" s="5" t="s">
        <v>45</v>
      </c>
      <c r="F128" s="5" t="s">
        <v>107</v>
      </c>
      <c r="G128" s="5"/>
      <c r="H128" s="5" t="s">
        <v>458</v>
      </c>
      <c r="I128" s="5" t="s">
        <v>192</v>
      </c>
      <c r="J128" s="5" t="s">
        <v>59</v>
      </c>
      <c r="K128" s="5" t="s">
        <v>531</v>
      </c>
      <c r="L128" s="5"/>
      <c r="M128" s="5"/>
      <c r="N128" s="5" t="s">
        <v>66</v>
      </c>
      <c r="O128" s="5"/>
      <c r="P128" s="6">
        <f t="shared" si="2"/>
        <v>4</v>
      </c>
      <c r="Q128" s="6" t="str">
        <f t="shared" si="3"/>
        <v>No</v>
      </c>
      <c r="R128" s="5" t="s">
        <v>51</v>
      </c>
      <c r="S128" s="5"/>
      <c r="T128" s="5" t="s">
        <v>532</v>
      </c>
      <c r="U128" s="5" t="s">
        <v>458</v>
      </c>
      <c r="V128" s="5"/>
      <c r="W128" s="5" t="s">
        <v>43</v>
      </c>
      <c r="X128" s="5"/>
      <c r="Y128" s="5" t="s">
        <v>167</v>
      </c>
    </row>
    <row r="129" spans="1:25" x14ac:dyDescent="0.25">
      <c r="A129" s="5" t="s">
        <v>533</v>
      </c>
      <c r="B129" s="5"/>
      <c r="C129" s="5" t="s">
        <v>43</v>
      </c>
      <c r="D129" s="5" t="s">
        <v>44</v>
      </c>
      <c r="E129" s="5" t="s">
        <v>45</v>
      </c>
      <c r="F129" s="5" t="s">
        <v>46</v>
      </c>
      <c r="G129" s="5" t="s">
        <v>47</v>
      </c>
      <c r="H129" s="5" t="s">
        <v>58</v>
      </c>
      <c r="I129" s="5" t="s">
        <v>192</v>
      </c>
      <c r="J129" s="5"/>
      <c r="K129" s="5" t="s">
        <v>192</v>
      </c>
      <c r="L129" s="5"/>
      <c r="M129" s="5"/>
      <c r="N129" s="5" t="s">
        <v>50</v>
      </c>
      <c r="O129" s="5"/>
      <c r="P129" s="6">
        <f t="shared" si="2"/>
        <v>6</v>
      </c>
      <c r="Q129" s="6" t="str">
        <f t="shared" si="3"/>
        <v>Yes</v>
      </c>
      <c r="R129" s="5" t="s">
        <v>51</v>
      </c>
      <c r="S129" s="5" t="s">
        <v>533</v>
      </c>
      <c r="T129" s="5" t="s">
        <v>534</v>
      </c>
      <c r="U129" s="5" t="s">
        <v>63</v>
      </c>
      <c r="V129" s="5" t="s">
        <v>535</v>
      </c>
      <c r="W129" s="5" t="s">
        <v>43</v>
      </c>
      <c r="X129" s="5"/>
      <c r="Y129" s="5" t="s">
        <v>197</v>
      </c>
    </row>
    <row r="130" spans="1:25" x14ac:dyDescent="0.25">
      <c r="A130" s="5" t="s">
        <v>536</v>
      </c>
      <c r="B130" s="5"/>
      <c r="C130" s="5" t="s">
        <v>43</v>
      </c>
      <c r="D130" s="5" t="s">
        <v>44</v>
      </c>
      <c r="E130" s="5" t="s">
        <v>45</v>
      </c>
      <c r="F130" s="5" t="s">
        <v>107</v>
      </c>
      <c r="G130" s="5" t="s">
        <v>47</v>
      </c>
      <c r="H130" s="5" t="s">
        <v>314</v>
      </c>
      <c r="I130" s="5" t="s">
        <v>71</v>
      </c>
      <c r="J130" s="5" t="s">
        <v>91</v>
      </c>
      <c r="K130" s="5" t="s">
        <v>537</v>
      </c>
      <c r="L130" s="5"/>
      <c r="M130" s="5"/>
      <c r="N130" s="5" t="s">
        <v>50</v>
      </c>
      <c r="O130" s="5" t="s">
        <v>225</v>
      </c>
      <c r="P130" s="6">
        <f t="shared" ref="P130:P193" si="4">IF(A130="","",COUNTA(D130:F130)+COUNTA(G130:G130)+COUNTA(H130:H130)+COUNTA(I130:I130))</f>
        <v>6</v>
      </c>
      <c r="Q130" s="6" t="str">
        <f t="shared" ref="Q130:Q193" si="5">IF(A130="","",IF(AND(P130=6,UPPER(L130)&lt;&gt;"Y",C130&lt;&gt;""),"Yes","No"))</f>
        <v>Yes</v>
      </c>
      <c r="R130" s="5" t="s">
        <v>51</v>
      </c>
      <c r="S130" s="5" t="s">
        <v>538</v>
      </c>
      <c r="T130" s="5" t="s">
        <v>539</v>
      </c>
      <c r="U130" s="5" t="s">
        <v>540</v>
      </c>
      <c r="V130" s="5" t="s">
        <v>541</v>
      </c>
      <c r="W130" s="5" t="s">
        <v>43</v>
      </c>
      <c r="X130" s="5"/>
      <c r="Y130" s="5" t="s">
        <v>542</v>
      </c>
    </row>
    <row r="131" spans="1:25" x14ac:dyDescent="0.25">
      <c r="A131" s="5" t="s">
        <v>543</v>
      </c>
      <c r="B131" s="5"/>
      <c r="C131" s="5" t="s">
        <v>128</v>
      </c>
      <c r="D131" s="5"/>
      <c r="E131" s="5"/>
      <c r="F131" s="5"/>
      <c r="G131" s="5"/>
      <c r="H131" s="5"/>
      <c r="I131" s="5" t="s">
        <v>49</v>
      </c>
      <c r="J131" s="5"/>
      <c r="K131" s="5" t="s">
        <v>49</v>
      </c>
      <c r="L131" s="5"/>
      <c r="M131" s="5"/>
      <c r="N131" s="5" t="s">
        <v>66</v>
      </c>
      <c r="O131" s="5"/>
      <c r="P131" s="6">
        <f t="shared" si="4"/>
        <v>1</v>
      </c>
      <c r="Q131" s="6" t="str">
        <f t="shared" si="5"/>
        <v>No</v>
      </c>
      <c r="R131" s="5" t="s">
        <v>51</v>
      </c>
      <c r="S131" s="5"/>
      <c r="T131" s="5" t="s">
        <v>544</v>
      </c>
      <c r="U131" s="5"/>
      <c r="V131" s="5"/>
      <c r="W131" s="5" t="s">
        <v>320</v>
      </c>
      <c r="X131" s="5" t="s">
        <v>545</v>
      </c>
      <c r="Y131" s="5"/>
    </row>
    <row r="132" spans="1:25" x14ac:dyDescent="0.25">
      <c r="A132" s="5" t="s">
        <v>546</v>
      </c>
      <c r="B132" s="5"/>
      <c r="C132" s="5" t="s">
        <v>70</v>
      </c>
      <c r="D132" s="5"/>
      <c r="E132" s="5"/>
      <c r="F132" s="5" t="s">
        <v>46</v>
      </c>
      <c r="G132" s="5"/>
      <c r="H132" s="5" t="s">
        <v>138</v>
      </c>
      <c r="I132" s="5"/>
      <c r="J132" s="5"/>
      <c r="K132" s="5" t="s">
        <v>139</v>
      </c>
      <c r="L132" s="5"/>
      <c r="M132" s="5"/>
      <c r="N132" s="5" t="s">
        <v>124</v>
      </c>
      <c r="O132" s="5" t="s">
        <v>140</v>
      </c>
      <c r="P132" s="6">
        <f t="shared" si="4"/>
        <v>2</v>
      </c>
      <c r="Q132" s="6" t="str">
        <f t="shared" si="5"/>
        <v>No</v>
      </c>
      <c r="R132" s="5" t="s">
        <v>125</v>
      </c>
      <c r="S132" s="5"/>
      <c r="T132" s="5"/>
      <c r="U132" s="5" t="s">
        <v>138</v>
      </c>
      <c r="V132" s="5"/>
      <c r="W132" s="5"/>
      <c r="X132" s="5"/>
      <c r="Y132" s="5" t="s">
        <v>547</v>
      </c>
    </row>
    <row r="133" spans="1:25" x14ac:dyDescent="0.25">
      <c r="A133" s="5" t="s">
        <v>548</v>
      </c>
      <c r="B133" s="5"/>
      <c r="C133" s="5" t="s">
        <v>43</v>
      </c>
      <c r="D133" s="5"/>
      <c r="E133" s="5"/>
      <c r="F133" s="5"/>
      <c r="G133" s="5" t="s">
        <v>47</v>
      </c>
      <c r="H133" s="5"/>
      <c r="I133" s="5"/>
      <c r="J133" s="5"/>
      <c r="K133" s="5"/>
      <c r="L133" s="5"/>
      <c r="M133" s="5"/>
      <c r="N133" s="5" t="s">
        <v>50</v>
      </c>
      <c r="O133" s="5"/>
      <c r="P133" s="6">
        <f t="shared" si="4"/>
        <v>1</v>
      </c>
      <c r="Q133" s="6" t="str">
        <f t="shared" si="5"/>
        <v>No</v>
      </c>
      <c r="R133" s="5" t="s">
        <v>51</v>
      </c>
      <c r="S133" s="5"/>
      <c r="T133" s="5"/>
      <c r="U133" s="5"/>
      <c r="V133" s="5"/>
      <c r="W133" s="5" t="s">
        <v>43</v>
      </c>
      <c r="X133" s="5" t="s">
        <v>68</v>
      </c>
      <c r="Y133" s="5" t="s">
        <v>549</v>
      </c>
    </row>
    <row r="134" spans="1:25" x14ac:dyDescent="0.25">
      <c r="A134" s="5" t="s">
        <v>550</v>
      </c>
      <c r="B134" s="5"/>
      <c r="C134" s="5" t="s">
        <v>43</v>
      </c>
      <c r="D134" s="5" t="s">
        <v>76</v>
      </c>
      <c r="E134" s="5" t="s">
        <v>45</v>
      </c>
      <c r="F134" s="5" t="s">
        <v>46</v>
      </c>
      <c r="G134" s="5" t="s">
        <v>47</v>
      </c>
      <c r="H134" s="5" t="s">
        <v>77</v>
      </c>
      <c r="I134" s="5" t="s">
        <v>78</v>
      </c>
      <c r="J134" s="5" t="s">
        <v>133</v>
      </c>
      <c r="K134" s="5" t="s">
        <v>551</v>
      </c>
      <c r="L134" s="5"/>
      <c r="M134" s="5"/>
      <c r="N134" s="5" t="s">
        <v>50</v>
      </c>
      <c r="O134" s="5" t="s">
        <v>97</v>
      </c>
      <c r="P134" s="6">
        <f t="shared" si="4"/>
        <v>6</v>
      </c>
      <c r="Q134" s="6" t="str">
        <f t="shared" si="5"/>
        <v>Yes</v>
      </c>
      <c r="R134" s="5" t="s">
        <v>51</v>
      </c>
      <c r="S134" s="5"/>
      <c r="T134" s="5" t="s">
        <v>552</v>
      </c>
      <c r="U134" s="5" t="s">
        <v>77</v>
      </c>
      <c r="V134" s="5" t="s">
        <v>100</v>
      </c>
      <c r="W134" s="5" t="s">
        <v>43</v>
      </c>
      <c r="X134" s="5" t="s">
        <v>187</v>
      </c>
      <c r="Y134" s="5" t="s">
        <v>101</v>
      </c>
    </row>
    <row r="135" spans="1:25" x14ac:dyDescent="0.25">
      <c r="A135" s="5" t="s">
        <v>553</v>
      </c>
      <c r="B135" s="5"/>
      <c r="C135" s="5" t="s">
        <v>70</v>
      </c>
      <c r="D135" s="5" t="s">
        <v>245</v>
      </c>
      <c r="E135" s="5"/>
      <c r="F135" s="5"/>
      <c r="G135" s="5"/>
      <c r="H135" s="5"/>
      <c r="I135" s="5"/>
      <c r="J135" s="5"/>
      <c r="K135" s="5"/>
      <c r="L135" s="5"/>
      <c r="M135" s="5"/>
      <c r="N135" s="5" t="s">
        <v>124</v>
      </c>
      <c r="O135" s="5"/>
      <c r="P135" s="6">
        <f t="shared" si="4"/>
        <v>1</v>
      </c>
      <c r="Q135" s="6" t="str">
        <f t="shared" si="5"/>
        <v>No</v>
      </c>
      <c r="R135" s="5" t="s">
        <v>125</v>
      </c>
      <c r="S135" s="5"/>
      <c r="T135" s="5"/>
      <c r="U135" s="5" t="s">
        <v>554</v>
      </c>
      <c r="V135" s="5"/>
      <c r="W135" s="5"/>
      <c r="X135" s="5"/>
      <c r="Y135" s="5" t="s">
        <v>555</v>
      </c>
    </row>
    <row r="136" spans="1:25" x14ac:dyDescent="0.25">
      <c r="A136" s="5" t="s">
        <v>556</v>
      </c>
      <c r="B136" s="5"/>
      <c r="C136" s="5" t="s">
        <v>70</v>
      </c>
      <c r="D136" s="5" t="s">
        <v>44</v>
      </c>
      <c r="E136" s="5"/>
      <c r="F136" s="5"/>
      <c r="G136" s="5"/>
      <c r="H136" s="5"/>
      <c r="I136" s="5"/>
      <c r="J136" s="5"/>
      <c r="K136" s="5"/>
      <c r="L136" s="5"/>
      <c r="M136" s="5"/>
      <c r="N136" s="5" t="s">
        <v>50</v>
      </c>
      <c r="O136" s="5"/>
      <c r="P136" s="6">
        <f t="shared" si="4"/>
        <v>1</v>
      </c>
      <c r="Q136" s="6" t="str">
        <f t="shared" si="5"/>
        <v>No</v>
      </c>
      <c r="R136" s="5" t="s">
        <v>51</v>
      </c>
      <c r="S136" s="5"/>
      <c r="T136" s="5"/>
      <c r="U136" s="5"/>
      <c r="V136" s="5"/>
      <c r="W136" s="5"/>
      <c r="X136" s="5"/>
      <c r="Y136" s="5" t="s">
        <v>189</v>
      </c>
    </row>
    <row r="137" spans="1:25" x14ac:dyDescent="0.25">
      <c r="A137" s="5" t="s">
        <v>557</v>
      </c>
      <c r="B137" s="5"/>
      <c r="C137" s="5" t="s">
        <v>43</v>
      </c>
      <c r="D137" s="5"/>
      <c r="E137" s="5"/>
      <c r="F137" s="5"/>
      <c r="G137" s="5" t="s">
        <v>47</v>
      </c>
      <c r="H137" s="5"/>
      <c r="I137" s="5"/>
      <c r="J137" s="5"/>
      <c r="K137" s="5"/>
      <c r="L137" s="5"/>
      <c r="M137" s="5"/>
      <c r="N137" s="5" t="s">
        <v>50</v>
      </c>
      <c r="O137" s="5"/>
      <c r="P137" s="6">
        <f t="shared" si="4"/>
        <v>1</v>
      </c>
      <c r="Q137" s="6" t="str">
        <f t="shared" si="5"/>
        <v>No</v>
      </c>
      <c r="R137" s="5" t="s">
        <v>51</v>
      </c>
      <c r="S137" s="5"/>
      <c r="T137" s="5"/>
      <c r="U137" s="5"/>
      <c r="V137" s="5"/>
      <c r="W137" s="5" t="s">
        <v>43</v>
      </c>
      <c r="X137" s="5" t="s">
        <v>68</v>
      </c>
      <c r="Y137" s="5" t="s">
        <v>549</v>
      </c>
    </row>
    <row r="138" spans="1:25" x14ac:dyDescent="0.25">
      <c r="A138" s="5" t="s">
        <v>558</v>
      </c>
      <c r="B138" s="5"/>
      <c r="C138" s="5"/>
      <c r="D138" s="5"/>
      <c r="E138" s="5"/>
      <c r="F138" s="5"/>
      <c r="G138" s="5"/>
      <c r="H138" s="5" t="s">
        <v>559</v>
      </c>
      <c r="I138" s="5"/>
      <c r="J138" s="5"/>
      <c r="K138" s="5"/>
      <c r="L138" s="5"/>
      <c r="M138" s="5"/>
      <c r="N138" s="5" t="s">
        <v>66</v>
      </c>
      <c r="O138" s="5" t="s">
        <v>103</v>
      </c>
      <c r="P138" s="6">
        <f t="shared" si="4"/>
        <v>1</v>
      </c>
      <c r="Q138" s="6" t="str">
        <f t="shared" si="5"/>
        <v>No</v>
      </c>
      <c r="R138" s="5" t="s">
        <v>51</v>
      </c>
      <c r="S138" s="5"/>
      <c r="T138" s="5" t="s">
        <v>560</v>
      </c>
      <c r="U138" s="5" t="s">
        <v>559</v>
      </c>
      <c r="V138" s="5"/>
      <c r="W138" s="5" t="s">
        <v>105</v>
      </c>
      <c r="X138" s="5"/>
      <c r="Y138" s="5"/>
    </row>
    <row r="139" spans="1:25" x14ac:dyDescent="0.25">
      <c r="A139" s="5" t="s">
        <v>561</v>
      </c>
      <c r="B139" s="5"/>
      <c r="C139" s="5"/>
      <c r="D139" s="5"/>
      <c r="E139" s="5"/>
      <c r="F139" s="5"/>
      <c r="G139" s="5" t="s">
        <v>47</v>
      </c>
      <c r="H139" s="5"/>
      <c r="I139" s="5" t="s">
        <v>178</v>
      </c>
      <c r="J139" s="5"/>
      <c r="K139" s="5" t="s">
        <v>178</v>
      </c>
      <c r="L139" s="5"/>
      <c r="M139" s="5"/>
      <c r="N139" s="5" t="s">
        <v>66</v>
      </c>
      <c r="O139" s="5" t="s">
        <v>103</v>
      </c>
      <c r="P139" s="6">
        <f t="shared" si="4"/>
        <v>2</v>
      </c>
      <c r="Q139" s="6" t="str">
        <f t="shared" si="5"/>
        <v>No</v>
      </c>
      <c r="R139" s="5" t="s">
        <v>51</v>
      </c>
      <c r="S139" s="5"/>
      <c r="T139" s="5" t="s">
        <v>562</v>
      </c>
      <c r="U139" s="5"/>
      <c r="V139" s="5" t="s">
        <v>563</v>
      </c>
      <c r="W139" s="5" t="s">
        <v>105</v>
      </c>
      <c r="X139" s="5"/>
      <c r="Y139" s="5"/>
    </row>
    <row r="140" spans="1:25" x14ac:dyDescent="0.25">
      <c r="A140" s="5" t="s">
        <v>564</v>
      </c>
      <c r="B140" s="5"/>
      <c r="C140" s="5" t="s">
        <v>128</v>
      </c>
      <c r="D140" s="5"/>
      <c r="E140" s="5"/>
      <c r="F140" s="5"/>
      <c r="G140" s="5" t="s">
        <v>57</v>
      </c>
      <c r="H140" s="5" t="s">
        <v>565</v>
      </c>
      <c r="I140" s="5"/>
      <c r="J140" s="5"/>
      <c r="K140" s="5"/>
      <c r="L140" s="5"/>
      <c r="M140" s="5"/>
      <c r="N140" s="5" t="s">
        <v>66</v>
      </c>
      <c r="O140" s="5"/>
      <c r="P140" s="6">
        <f t="shared" si="4"/>
        <v>2</v>
      </c>
      <c r="Q140" s="6" t="str">
        <f t="shared" si="5"/>
        <v>No</v>
      </c>
      <c r="R140" s="5" t="s">
        <v>51</v>
      </c>
      <c r="S140" s="5"/>
      <c r="T140" s="5"/>
      <c r="U140" s="5" t="s">
        <v>565</v>
      </c>
      <c r="V140" s="5" t="s">
        <v>57</v>
      </c>
      <c r="W140" s="5" t="s">
        <v>128</v>
      </c>
      <c r="X140" s="5" t="s">
        <v>130</v>
      </c>
      <c r="Y140" s="5"/>
    </row>
    <row r="141" spans="1:25" x14ac:dyDescent="0.25">
      <c r="A141" s="5" t="s">
        <v>566</v>
      </c>
      <c r="B141" s="5"/>
      <c r="C141" s="5" t="s">
        <v>43</v>
      </c>
      <c r="D141" s="5" t="s">
        <v>245</v>
      </c>
      <c r="E141" s="5" t="s">
        <v>45</v>
      </c>
      <c r="F141" s="5" t="s">
        <v>107</v>
      </c>
      <c r="G141" s="5" t="s">
        <v>57</v>
      </c>
      <c r="H141" s="5" t="s">
        <v>58</v>
      </c>
      <c r="I141" s="5" t="s">
        <v>49</v>
      </c>
      <c r="J141" s="5"/>
      <c r="K141" s="5" t="s">
        <v>49</v>
      </c>
      <c r="L141" s="5"/>
      <c r="M141" s="5"/>
      <c r="N141" s="5" t="s">
        <v>110</v>
      </c>
      <c r="O141" s="5"/>
      <c r="P141" s="6">
        <f t="shared" si="4"/>
        <v>6</v>
      </c>
      <c r="Q141" s="6" t="str">
        <f t="shared" si="5"/>
        <v>Yes</v>
      </c>
      <c r="R141" s="5" t="s">
        <v>112</v>
      </c>
      <c r="S141" s="5" t="s">
        <v>566</v>
      </c>
      <c r="T141" s="5" t="s">
        <v>567</v>
      </c>
      <c r="U141" s="5" t="s">
        <v>63</v>
      </c>
      <c r="V141" s="5"/>
      <c r="W141" s="5" t="s">
        <v>43</v>
      </c>
      <c r="X141" s="5" t="s">
        <v>568</v>
      </c>
      <c r="Y141" s="5" t="s">
        <v>219</v>
      </c>
    </row>
    <row r="142" spans="1:25" x14ac:dyDescent="0.25">
      <c r="A142" s="5" t="s">
        <v>569</v>
      </c>
      <c r="B142" s="5"/>
      <c r="C142" s="5" t="s">
        <v>70</v>
      </c>
      <c r="D142" s="5" t="s">
        <v>76</v>
      </c>
      <c r="E142" s="5"/>
      <c r="F142" s="5"/>
      <c r="G142" s="5"/>
      <c r="H142" s="5" t="s">
        <v>77</v>
      </c>
      <c r="I142" s="5" t="s">
        <v>72</v>
      </c>
      <c r="J142" s="5" t="s">
        <v>570</v>
      </c>
      <c r="K142" s="5" t="s">
        <v>571</v>
      </c>
      <c r="L142" s="5"/>
      <c r="M142" s="5"/>
      <c r="N142" s="5" t="s">
        <v>50</v>
      </c>
      <c r="O142" s="5"/>
      <c r="P142" s="6">
        <f t="shared" si="4"/>
        <v>3</v>
      </c>
      <c r="Q142" s="6" t="str">
        <f t="shared" si="5"/>
        <v>No</v>
      </c>
      <c r="R142" s="5" t="s">
        <v>51</v>
      </c>
      <c r="S142" s="5"/>
      <c r="T142" s="5" t="s">
        <v>572</v>
      </c>
      <c r="U142" s="5" t="s">
        <v>77</v>
      </c>
      <c r="V142" s="5"/>
      <c r="W142" s="5"/>
      <c r="X142" s="5"/>
      <c r="Y142" s="5" t="s">
        <v>430</v>
      </c>
    </row>
    <row r="143" spans="1:25" x14ac:dyDescent="0.25">
      <c r="A143" s="5" t="s">
        <v>573</v>
      </c>
      <c r="B143" s="5"/>
      <c r="C143" s="5" t="s">
        <v>70</v>
      </c>
      <c r="D143" s="5" t="s">
        <v>44</v>
      </c>
      <c r="E143" s="5"/>
      <c r="F143" s="5"/>
      <c r="G143" s="5"/>
      <c r="H143" s="5" t="s">
        <v>574</v>
      </c>
      <c r="I143" s="5"/>
      <c r="J143" s="5"/>
      <c r="K143" s="5" t="s">
        <v>139</v>
      </c>
      <c r="L143" s="5"/>
      <c r="M143" s="5"/>
      <c r="N143" s="5" t="s">
        <v>124</v>
      </c>
      <c r="O143" s="5"/>
      <c r="P143" s="6">
        <f t="shared" si="4"/>
        <v>2</v>
      </c>
      <c r="Q143" s="6" t="str">
        <f t="shared" si="5"/>
        <v>No</v>
      </c>
      <c r="R143" s="5" t="s">
        <v>125</v>
      </c>
      <c r="S143" s="5" t="s">
        <v>575</v>
      </c>
      <c r="T143" s="5"/>
      <c r="U143" s="5" t="s">
        <v>574</v>
      </c>
      <c r="V143" s="5"/>
      <c r="W143" s="5"/>
      <c r="X143" s="5"/>
      <c r="Y143" s="5" t="s">
        <v>155</v>
      </c>
    </row>
    <row r="144" spans="1:25" x14ac:dyDescent="0.25">
      <c r="A144" s="5" t="s">
        <v>576</v>
      </c>
      <c r="B144" s="5"/>
      <c r="C144" s="5" t="s">
        <v>70</v>
      </c>
      <c r="D144" s="5" t="s">
        <v>44</v>
      </c>
      <c r="E144" s="5"/>
      <c r="F144" s="5" t="s">
        <v>107</v>
      </c>
      <c r="G144" s="5" t="s">
        <v>47</v>
      </c>
      <c r="H144" s="5" t="s">
        <v>458</v>
      </c>
      <c r="I144" s="5"/>
      <c r="J144" s="5"/>
      <c r="K144" s="5" t="s">
        <v>139</v>
      </c>
      <c r="L144" s="5"/>
      <c r="M144" s="5"/>
      <c r="N144" s="5" t="s">
        <v>124</v>
      </c>
      <c r="O144" s="5"/>
      <c r="P144" s="6">
        <f t="shared" si="4"/>
        <v>4</v>
      </c>
      <c r="Q144" s="6" t="str">
        <f t="shared" si="5"/>
        <v>No</v>
      </c>
      <c r="R144" s="5" t="s">
        <v>125</v>
      </c>
      <c r="S144" s="5" t="s">
        <v>138</v>
      </c>
      <c r="T144" s="5"/>
      <c r="U144" s="5" t="s">
        <v>458</v>
      </c>
      <c r="V144" s="5" t="s">
        <v>47</v>
      </c>
      <c r="W144" s="5"/>
      <c r="X144" s="5"/>
      <c r="Y144" s="5" t="s">
        <v>577</v>
      </c>
    </row>
    <row r="145" spans="1:25" x14ac:dyDescent="0.25">
      <c r="A145" s="5" t="s">
        <v>578</v>
      </c>
      <c r="B145" s="5"/>
      <c r="C145" s="5" t="s">
        <v>70</v>
      </c>
      <c r="D145" s="5" t="s">
        <v>245</v>
      </c>
      <c r="E145" s="5" t="s">
        <v>45</v>
      </c>
      <c r="F145" s="5" t="s">
        <v>46</v>
      </c>
      <c r="G145" s="5" t="s">
        <v>47</v>
      </c>
      <c r="H145" s="5" t="s">
        <v>246</v>
      </c>
      <c r="I145" s="5" t="s">
        <v>123</v>
      </c>
      <c r="J145" s="5"/>
      <c r="K145" s="5" t="s">
        <v>123</v>
      </c>
      <c r="L145" s="5"/>
      <c r="M145" s="5"/>
      <c r="N145" s="5" t="s">
        <v>50</v>
      </c>
      <c r="O145" s="5"/>
      <c r="P145" s="6">
        <f t="shared" si="4"/>
        <v>6</v>
      </c>
      <c r="Q145" s="6" t="str">
        <f t="shared" si="5"/>
        <v>Yes</v>
      </c>
      <c r="R145" s="5" t="s">
        <v>51</v>
      </c>
      <c r="S145" s="5"/>
      <c r="T145" s="5" t="s">
        <v>579</v>
      </c>
      <c r="U145" s="5" t="s">
        <v>246</v>
      </c>
      <c r="V145" s="5"/>
      <c r="W145" s="5"/>
      <c r="X145" s="5"/>
      <c r="Y145" s="5" t="s">
        <v>580</v>
      </c>
    </row>
    <row r="146" spans="1:25" x14ac:dyDescent="0.25">
      <c r="A146" s="5" t="s">
        <v>581</v>
      </c>
      <c r="B146" s="5"/>
      <c r="C146" s="5"/>
      <c r="D146" s="5"/>
      <c r="E146" s="5"/>
      <c r="F146" s="5" t="s">
        <v>46</v>
      </c>
      <c r="G146" s="5"/>
      <c r="H146" s="5" t="s">
        <v>77</v>
      </c>
      <c r="I146" s="5" t="s">
        <v>178</v>
      </c>
      <c r="J146" s="5" t="s">
        <v>582</v>
      </c>
      <c r="K146" s="5" t="s">
        <v>583</v>
      </c>
      <c r="L146" s="5"/>
      <c r="M146" s="5"/>
      <c r="N146" s="5" t="s">
        <v>66</v>
      </c>
      <c r="O146" s="5"/>
      <c r="P146" s="6">
        <f t="shared" si="4"/>
        <v>3</v>
      </c>
      <c r="Q146" s="6" t="str">
        <f t="shared" si="5"/>
        <v>No</v>
      </c>
      <c r="R146" s="5" t="s">
        <v>51</v>
      </c>
      <c r="S146" s="5"/>
      <c r="T146" s="5" t="s">
        <v>584</v>
      </c>
      <c r="U146" s="5" t="s">
        <v>77</v>
      </c>
      <c r="V146" s="5"/>
      <c r="W146" s="5"/>
      <c r="X146" s="5"/>
      <c r="Y146" s="5" t="s">
        <v>585</v>
      </c>
    </row>
    <row r="147" spans="1:25" x14ac:dyDescent="0.25">
      <c r="A147" s="5" t="s">
        <v>586</v>
      </c>
      <c r="B147" s="5"/>
      <c r="C147" s="5" t="s">
        <v>43</v>
      </c>
      <c r="D147" s="5"/>
      <c r="E147" s="5"/>
      <c r="F147" s="5"/>
      <c r="G147" s="5" t="s">
        <v>47</v>
      </c>
      <c r="H147" s="5" t="s">
        <v>458</v>
      </c>
      <c r="I147" s="5" t="s">
        <v>71</v>
      </c>
      <c r="J147" s="5"/>
      <c r="K147" s="5" t="s">
        <v>71</v>
      </c>
      <c r="L147" s="5"/>
      <c r="M147" s="5"/>
      <c r="N147" s="5" t="s">
        <v>50</v>
      </c>
      <c r="O147" s="5"/>
      <c r="P147" s="6">
        <f t="shared" si="4"/>
        <v>3</v>
      </c>
      <c r="Q147" s="6" t="str">
        <f t="shared" si="5"/>
        <v>No</v>
      </c>
      <c r="R147" s="5" t="s">
        <v>51</v>
      </c>
      <c r="S147" s="5"/>
      <c r="T147" s="5" t="s">
        <v>587</v>
      </c>
      <c r="U147" s="5" t="s">
        <v>458</v>
      </c>
      <c r="V147" s="5" t="s">
        <v>588</v>
      </c>
      <c r="W147" s="5" t="s">
        <v>43</v>
      </c>
      <c r="X147" s="5"/>
      <c r="Y147" s="5" t="s">
        <v>589</v>
      </c>
    </row>
    <row r="148" spans="1:25" x14ac:dyDescent="0.25">
      <c r="A148" s="5" t="s">
        <v>590</v>
      </c>
      <c r="B148" s="5"/>
      <c r="C148" s="5" t="s">
        <v>43</v>
      </c>
      <c r="D148" s="5" t="s">
        <v>76</v>
      </c>
      <c r="E148" s="5"/>
      <c r="F148" s="5" t="s">
        <v>107</v>
      </c>
      <c r="G148" s="5"/>
      <c r="H148" s="5" t="s">
        <v>149</v>
      </c>
      <c r="I148" s="5" t="s">
        <v>71</v>
      </c>
      <c r="J148" s="5" t="s">
        <v>91</v>
      </c>
      <c r="K148" s="5" t="s">
        <v>591</v>
      </c>
      <c r="L148" s="5"/>
      <c r="M148" s="5"/>
      <c r="N148" s="5" t="s">
        <v>50</v>
      </c>
      <c r="O148" s="5"/>
      <c r="P148" s="6">
        <f t="shared" si="4"/>
        <v>4</v>
      </c>
      <c r="Q148" s="6" t="str">
        <f t="shared" si="5"/>
        <v>No</v>
      </c>
      <c r="R148" s="5" t="s">
        <v>51</v>
      </c>
      <c r="S148" s="5"/>
      <c r="T148" s="5" t="s">
        <v>592</v>
      </c>
      <c r="U148" s="5" t="s">
        <v>149</v>
      </c>
      <c r="V148" s="5"/>
      <c r="W148" s="5" t="s">
        <v>43</v>
      </c>
      <c r="X148" s="5"/>
      <c r="Y148" s="5" t="s">
        <v>593</v>
      </c>
    </row>
    <row r="149" spans="1:25" x14ac:dyDescent="0.25">
      <c r="A149" s="5" t="s">
        <v>594</v>
      </c>
      <c r="B149" s="5"/>
      <c r="C149" s="5" t="s">
        <v>43</v>
      </c>
      <c r="D149" s="5" t="s">
        <v>76</v>
      </c>
      <c r="E149" s="5" t="s">
        <v>595</v>
      </c>
      <c r="F149" s="5" t="s">
        <v>107</v>
      </c>
      <c r="G149" s="5" t="s">
        <v>57</v>
      </c>
      <c r="H149" s="5" t="s">
        <v>596</v>
      </c>
      <c r="I149" s="5" t="s">
        <v>123</v>
      </c>
      <c r="J149" s="5" t="s">
        <v>597</v>
      </c>
      <c r="K149" s="5" t="s">
        <v>123</v>
      </c>
      <c r="L149" s="5"/>
      <c r="M149" s="5"/>
      <c r="N149" s="5" t="s">
        <v>110</v>
      </c>
      <c r="O149" s="5" t="s">
        <v>598</v>
      </c>
      <c r="P149" s="6">
        <f t="shared" si="4"/>
        <v>6</v>
      </c>
      <c r="Q149" s="6" t="str">
        <f t="shared" si="5"/>
        <v>Yes</v>
      </c>
      <c r="R149" s="5" t="s">
        <v>112</v>
      </c>
      <c r="S149" s="5"/>
      <c r="T149" s="5" t="s">
        <v>599</v>
      </c>
      <c r="U149" s="5" t="s">
        <v>600</v>
      </c>
      <c r="V149" s="5" t="s">
        <v>57</v>
      </c>
      <c r="W149" s="5" t="s">
        <v>43</v>
      </c>
      <c r="X149" s="5"/>
      <c r="Y149" s="5" t="s">
        <v>601</v>
      </c>
    </row>
    <row r="150" spans="1:25" x14ac:dyDescent="0.25">
      <c r="A150" s="5" t="s">
        <v>602</v>
      </c>
      <c r="B150" s="5"/>
      <c r="C150" s="5"/>
      <c r="D150" s="5"/>
      <c r="E150" s="5"/>
      <c r="F150" s="5"/>
      <c r="G150" s="5"/>
      <c r="H150" s="5" t="s">
        <v>378</v>
      </c>
      <c r="I150" s="5" t="s">
        <v>49</v>
      </c>
      <c r="J150" s="5"/>
      <c r="K150" s="5" t="s">
        <v>603</v>
      </c>
      <c r="L150" s="5"/>
      <c r="M150" s="5"/>
      <c r="N150" s="5" t="s">
        <v>66</v>
      </c>
      <c r="O150" s="5" t="s">
        <v>103</v>
      </c>
      <c r="P150" s="6">
        <f t="shared" si="4"/>
        <v>2</v>
      </c>
      <c r="Q150" s="6" t="str">
        <f t="shared" si="5"/>
        <v>No</v>
      </c>
      <c r="R150" s="5" t="s">
        <v>51</v>
      </c>
      <c r="S150" s="5"/>
      <c r="T150" s="5"/>
      <c r="U150" s="5" t="s">
        <v>378</v>
      </c>
      <c r="V150" s="5"/>
      <c r="W150" s="5" t="s">
        <v>105</v>
      </c>
      <c r="X150" s="5"/>
      <c r="Y150" s="5"/>
    </row>
    <row r="151" spans="1:25" x14ac:dyDescent="0.25">
      <c r="A151" s="5" t="s">
        <v>604</v>
      </c>
      <c r="B151" s="5" t="s">
        <v>605</v>
      </c>
      <c r="C151" s="5"/>
      <c r="D151" s="5"/>
      <c r="E151" s="5"/>
      <c r="F151" s="5"/>
      <c r="G151" s="5"/>
      <c r="H151" s="5" t="s">
        <v>260</v>
      </c>
      <c r="I151" s="5"/>
      <c r="J151" s="5"/>
      <c r="K151" s="5"/>
      <c r="L151" s="5"/>
      <c r="M151" s="5"/>
      <c r="N151" s="5" t="s">
        <v>66</v>
      </c>
      <c r="O151" s="5" t="s">
        <v>163</v>
      </c>
      <c r="P151" s="6">
        <f t="shared" si="4"/>
        <v>1</v>
      </c>
      <c r="Q151" s="6" t="str">
        <f t="shared" si="5"/>
        <v>No</v>
      </c>
      <c r="R151" s="5" t="s">
        <v>51</v>
      </c>
      <c r="S151" s="5"/>
      <c r="T151" s="5" t="s">
        <v>606</v>
      </c>
      <c r="U151" s="5" t="s">
        <v>262</v>
      </c>
      <c r="V151" s="5"/>
      <c r="W151" s="5" t="s">
        <v>166</v>
      </c>
      <c r="X151" s="5"/>
      <c r="Y151" s="5"/>
    </row>
    <row r="152" spans="1:25" x14ac:dyDescent="0.25">
      <c r="A152" s="5" t="s">
        <v>607</v>
      </c>
      <c r="B152" s="5"/>
      <c r="C152" s="5" t="s">
        <v>43</v>
      </c>
      <c r="D152" s="5" t="s">
        <v>44</v>
      </c>
      <c r="E152" s="5" t="s">
        <v>45</v>
      </c>
      <c r="F152" s="5" t="s">
        <v>107</v>
      </c>
      <c r="G152" s="5" t="s">
        <v>47</v>
      </c>
      <c r="H152" s="5" t="s">
        <v>77</v>
      </c>
      <c r="I152" s="5" t="s">
        <v>78</v>
      </c>
      <c r="J152" s="5" t="s">
        <v>608</v>
      </c>
      <c r="K152" s="5" t="s">
        <v>609</v>
      </c>
      <c r="L152" s="5"/>
      <c r="M152" s="5"/>
      <c r="N152" s="5" t="s">
        <v>110</v>
      </c>
      <c r="O152" s="5" t="s">
        <v>610</v>
      </c>
      <c r="P152" s="6">
        <f t="shared" si="4"/>
        <v>6</v>
      </c>
      <c r="Q152" s="6" t="str">
        <f t="shared" si="5"/>
        <v>Yes</v>
      </c>
      <c r="R152" s="5" t="s">
        <v>112</v>
      </c>
      <c r="S152" s="5" t="s">
        <v>611</v>
      </c>
      <c r="T152" s="5" t="s">
        <v>612</v>
      </c>
      <c r="U152" s="5" t="s">
        <v>613</v>
      </c>
      <c r="V152" s="5" t="s">
        <v>614</v>
      </c>
      <c r="W152" s="5" t="s">
        <v>43</v>
      </c>
      <c r="X152" s="5"/>
      <c r="Y152" s="5" t="s">
        <v>542</v>
      </c>
    </row>
    <row r="153" spans="1:25" x14ac:dyDescent="0.25">
      <c r="A153" s="5" t="s">
        <v>615</v>
      </c>
      <c r="B153" s="5"/>
      <c r="C153" s="5" t="s">
        <v>70</v>
      </c>
      <c r="D153" s="5"/>
      <c r="E153" s="5" t="s">
        <v>595</v>
      </c>
      <c r="F153" s="5"/>
      <c r="G153" s="5" t="s">
        <v>47</v>
      </c>
      <c r="H153" s="5" t="s">
        <v>138</v>
      </c>
      <c r="I153" s="5"/>
      <c r="J153" s="5"/>
      <c r="K153" s="5" t="s">
        <v>616</v>
      </c>
      <c r="L153" s="5"/>
      <c r="M153" s="5"/>
      <c r="N153" s="5" t="s">
        <v>124</v>
      </c>
      <c r="O153" s="5" t="s">
        <v>617</v>
      </c>
      <c r="P153" s="6">
        <f t="shared" si="4"/>
        <v>3</v>
      </c>
      <c r="Q153" s="6" t="str">
        <f t="shared" si="5"/>
        <v>No</v>
      </c>
      <c r="R153" s="5" t="s">
        <v>125</v>
      </c>
      <c r="S153" s="5" t="s">
        <v>138</v>
      </c>
      <c r="T153" s="5"/>
      <c r="U153" s="5" t="s">
        <v>138</v>
      </c>
      <c r="V153" s="5" t="s">
        <v>47</v>
      </c>
      <c r="W153" s="5"/>
      <c r="X153" s="5"/>
      <c r="Y153" s="5" t="s">
        <v>618</v>
      </c>
    </row>
    <row r="154" spans="1:25" x14ac:dyDescent="0.25">
      <c r="A154" s="5" t="s">
        <v>619</v>
      </c>
      <c r="B154" s="5"/>
      <c r="C154" s="5" t="s">
        <v>70</v>
      </c>
      <c r="D154" s="5" t="s">
        <v>76</v>
      </c>
      <c r="E154" s="5" t="s">
        <v>45</v>
      </c>
      <c r="F154" s="5" t="s">
        <v>107</v>
      </c>
      <c r="G154" s="5"/>
      <c r="H154" s="5" t="s">
        <v>58</v>
      </c>
      <c r="I154" s="5" t="s">
        <v>192</v>
      </c>
      <c r="J154" s="5"/>
      <c r="K154" s="5" t="s">
        <v>192</v>
      </c>
      <c r="L154" s="5"/>
      <c r="M154" s="5"/>
      <c r="N154" s="5" t="s">
        <v>50</v>
      </c>
      <c r="O154" s="5"/>
      <c r="P154" s="6">
        <f t="shared" si="4"/>
        <v>5</v>
      </c>
      <c r="Q154" s="6" t="str">
        <f t="shared" si="5"/>
        <v>No</v>
      </c>
      <c r="R154" s="5" t="s">
        <v>51</v>
      </c>
      <c r="S154" s="5"/>
      <c r="T154" s="5" t="s">
        <v>620</v>
      </c>
      <c r="U154" s="5" t="s">
        <v>63</v>
      </c>
      <c r="V154" s="5"/>
      <c r="W154" s="5"/>
      <c r="X154" s="5"/>
      <c r="Y154" s="5" t="s">
        <v>621</v>
      </c>
    </row>
    <row r="155" spans="1:25" x14ac:dyDescent="0.25">
      <c r="A155" s="5" t="s">
        <v>622</v>
      </c>
      <c r="B155" s="5"/>
      <c r="C155" s="5" t="s">
        <v>128</v>
      </c>
      <c r="D155" s="5"/>
      <c r="E155" s="5"/>
      <c r="F155" s="5"/>
      <c r="G155" s="5" t="s">
        <v>57</v>
      </c>
      <c r="H155" s="5" t="s">
        <v>129</v>
      </c>
      <c r="I155" s="5"/>
      <c r="J155" s="5"/>
      <c r="K155" s="5"/>
      <c r="L155" s="5"/>
      <c r="M155" s="5"/>
      <c r="N155" s="5" t="s">
        <v>66</v>
      </c>
      <c r="O155" s="5"/>
      <c r="P155" s="6">
        <f t="shared" si="4"/>
        <v>2</v>
      </c>
      <c r="Q155" s="6" t="str">
        <f t="shared" si="5"/>
        <v>No</v>
      </c>
      <c r="R155" s="5" t="s">
        <v>51</v>
      </c>
      <c r="S155" s="5"/>
      <c r="T155" s="5" t="s">
        <v>623</v>
      </c>
      <c r="U155" s="5" t="s">
        <v>129</v>
      </c>
      <c r="V155" s="5" t="s">
        <v>57</v>
      </c>
      <c r="W155" s="5" t="s">
        <v>128</v>
      </c>
      <c r="X155" s="5" t="s">
        <v>130</v>
      </c>
      <c r="Y155" s="5"/>
    </row>
    <row r="156" spans="1:25" x14ac:dyDescent="0.25">
      <c r="A156" s="5" t="s">
        <v>624</v>
      </c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 t="s">
        <v>66</v>
      </c>
      <c r="O156" s="5"/>
      <c r="P156" s="6">
        <f t="shared" si="4"/>
        <v>0</v>
      </c>
      <c r="Q156" s="6" t="str">
        <f t="shared" si="5"/>
        <v>No</v>
      </c>
      <c r="R156" s="5" t="s">
        <v>51</v>
      </c>
      <c r="S156" s="5"/>
      <c r="T156" s="5" t="s">
        <v>625</v>
      </c>
      <c r="U156" s="5"/>
      <c r="V156" s="5"/>
      <c r="W156" s="5"/>
      <c r="X156" s="5"/>
      <c r="Y156" s="5"/>
    </row>
    <row r="157" spans="1:25" x14ac:dyDescent="0.25">
      <c r="A157" s="5" t="s">
        <v>626</v>
      </c>
      <c r="B157" s="5"/>
      <c r="C157" s="5" t="s">
        <v>43</v>
      </c>
      <c r="D157" s="5" t="s">
        <v>76</v>
      </c>
      <c r="E157" s="5" t="s">
        <v>45</v>
      </c>
      <c r="F157" s="5" t="s">
        <v>46</v>
      </c>
      <c r="G157" s="5" t="s">
        <v>47</v>
      </c>
      <c r="H157" s="5" t="s">
        <v>77</v>
      </c>
      <c r="I157" s="5" t="s">
        <v>133</v>
      </c>
      <c r="J157" s="5"/>
      <c r="K157" s="5" t="s">
        <v>627</v>
      </c>
      <c r="L157" s="5"/>
      <c r="M157" s="5"/>
      <c r="N157" s="5" t="s">
        <v>110</v>
      </c>
      <c r="O157" s="5" t="s">
        <v>225</v>
      </c>
      <c r="P157" s="6">
        <f t="shared" si="4"/>
        <v>6</v>
      </c>
      <c r="Q157" s="6" t="str">
        <f t="shared" si="5"/>
        <v>Yes</v>
      </c>
      <c r="R157" s="5" t="s">
        <v>112</v>
      </c>
      <c r="S157" s="5" t="s">
        <v>628</v>
      </c>
      <c r="T157" s="5" t="s">
        <v>629</v>
      </c>
      <c r="U157" s="5" t="s">
        <v>115</v>
      </c>
      <c r="V157" s="5" t="s">
        <v>472</v>
      </c>
      <c r="W157" s="5" t="s">
        <v>43</v>
      </c>
      <c r="X157" s="5" t="s">
        <v>630</v>
      </c>
      <c r="Y157" s="5" t="s">
        <v>117</v>
      </c>
    </row>
    <row r="158" spans="1:25" x14ac:dyDescent="0.25">
      <c r="A158" s="5" t="s">
        <v>631</v>
      </c>
      <c r="B158" s="5"/>
      <c r="C158" s="5" t="s">
        <v>43</v>
      </c>
      <c r="D158" s="5"/>
      <c r="E158" s="5" t="s">
        <v>45</v>
      </c>
      <c r="F158" s="5" t="s">
        <v>107</v>
      </c>
      <c r="G158" s="5" t="s">
        <v>47</v>
      </c>
      <c r="H158" s="5"/>
      <c r="I158" s="5"/>
      <c r="J158" s="5"/>
      <c r="K158" s="5"/>
      <c r="L158" s="5"/>
      <c r="M158" s="5"/>
      <c r="N158" s="5" t="s">
        <v>66</v>
      </c>
      <c r="O158" s="5"/>
      <c r="P158" s="6">
        <f t="shared" si="4"/>
        <v>3</v>
      </c>
      <c r="Q158" s="6" t="str">
        <f t="shared" si="5"/>
        <v>No</v>
      </c>
      <c r="R158" s="5" t="s">
        <v>51</v>
      </c>
      <c r="S158" s="5" t="s">
        <v>632</v>
      </c>
      <c r="T158" s="5"/>
      <c r="U158" s="5"/>
      <c r="V158" s="5" t="s">
        <v>67</v>
      </c>
      <c r="W158" s="5" t="s">
        <v>43</v>
      </c>
      <c r="X158" s="5" t="s">
        <v>68</v>
      </c>
      <c r="Y158" s="5" t="s">
        <v>394</v>
      </c>
    </row>
    <row r="159" spans="1:25" x14ac:dyDescent="0.25">
      <c r="A159" s="5" t="s">
        <v>633</v>
      </c>
      <c r="B159" s="5"/>
      <c r="C159" s="5" t="s">
        <v>43</v>
      </c>
      <c r="D159" s="5"/>
      <c r="E159" s="5" t="s">
        <v>45</v>
      </c>
      <c r="F159" s="5" t="s">
        <v>46</v>
      </c>
      <c r="G159" s="5"/>
      <c r="H159" s="5"/>
      <c r="I159" s="5" t="s">
        <v>49</v>
      </c>
      <c r="J159" s="5"/>
      <c r="K159" s="5" t="s">
        <v>49</v>
      </c>
      <c r="L159" s="5"/>
      <c r="M159" s="5"/>
      <c r="N159" s="5" t="s">
        <v>66</v>
      </c>
      <c r="O159" s="5"/>
      <c r="P159" s="6">
        <f t="shared" si="4"/>
        <v>3</v>
      </c>
      <c r="Q159" s="6" t="str">
        <f t="shared" si="5"/>
        <v>No</v>
      </c>
      <c r="R159" s="5" t="s">
        <v>51</v>
      </c>
      <c r="S159" s="5"/>
      <c r="T159" s="5"/>
      <c r="U159" s="5"/>
      <c r="V159" s="5"/>
      <c r="W159" s="5" t="s">
        <v>43</v>
      </c>
      <c r="X159" s="5"/>
      <c r="Y159" s="5" t="s">
        <v>167</v>
      </c>
    </row>
    <row r="160" spans="1:25" x14ac:dyDescent="0.25">
      <c r="A160" s="5" t="s">
        <v>634</v>
      </c>
      <c r="B160" s="5"/>
      <c r="C160" s="5" t="s">
        <v>70</v>
      </c>
      <c r="D160" s="5" t="s">
        <v>44</v>
      </c>
      <c r="E160" s="5"/>
      <c r="F160" s="5" t="s">
        <v>46</v>
      </c>
      <c r="G160" s="5"/>
      <c r="H160" s="5" t="s">
        <v>635</v>
      </c>
      <c r="I160" s="5" t="s">
        <v>119</v>
      </c>
      <c r="J160" s="5"/>
      <c r="K160" s="5" t="s">
        <v>119</v>
      </c>
      <c r="L160" s="5"/>
      <c r="M160" s="5"/>
      <c r="N160" s="5" t="s">
        <v>50</v>
      </c>
      <c r="O160" s="5"/>
      <c r="P160" s="6">
        <f t="shared" si="4"/>
        <v>4</v>
      </c>
      <c r="Q160" s="6" t="str">
        <f t="shared" si="5"/>
        <v>No</v>
      </c>
      <c r="R160" s="5" t="s">
        <v>51</v>
      </c>
      <c r="S160" s="5"/>
      <c r="T160" s="5" t="s">
        <v>636</v>
      </c>
      <c r="U160" s="5" t="s">
        <v>637</v>
      </c>
      <c r="V160" s="5"/>
      <c r="W160" s="5"/>
      <c r="X160" s="5"/>
      <c r="Y160" s="5" t="s">
        <v>302</v>
      </c>
    </row>
    <row r="161" spans="1:25" x14ac:dyDescent="0.25">
      <c r="A161" s="5" t="s">
        <v>638</v>
      </c>
      <c r="B161" s="5"/>
      <c r="C161" s="5" t="s">
        <v>70</v>
      </c>
      <c r="D161" s="5"/>
      <c r="E161" s="5"/>
      <c r="F161" s="5" t="s">
        <v>107</v>
      </c>
      <c r="G161" s="5"/>
      <c r="H161" s="5" t="s">
        <v>639</v>
      </c>
      <c r="I161" s="5"/>
      <c r="J161" s="5"/>
      <c r="K161" s="5" t="s">
        <v>139</v>
      </c>
      <c r="L161" s="5"/>
      <c r="M161" s="5"/>
      <c r="N161" s="5" t="s">
        <v>124</v>
      </c>
      <c r="O161" s="5"/>
      <c r="P161" s="6">
        <f t="shared" si="4"/>
        <v>2</v>
      </c>
      <c r="Q161" s="6" t="str">
        <f t="shared" si="5"/>
        <v>No</v>
      </c>
      <c r="R161" s="5" t="s">
        <v>125</v>
      </c>
      <c r="S161" s="5"/>
      <c r="T161" s="5"/>
      <c r="U161" s="5" t="s">
        <v>639</v>
      </c>
      <c r="V161" s="5"/>
      <c r="W161" s="5"/>
      <c r="X161" s="5"/>
      <c r="Y161" s="5" t="s">
        <v>547</v>
      </c>
    </row>
    <row r="162" spans="1:25" x14ac:dyDescent="0.25">
      <c r="A162" s="5" t="s">
        <v>640</v>
      </c>
      <c r="B162" s="5"/>
      <c r="C162" s="5" t="s">
        <v>70</v>
      </c>
      <c r="D162" s="5"/>
      <c r="E162" s="5"/>
      <c r="F162" s="5" t="s">
        <v>107</v>
      </c>
      <c r="G162" s="5" t="s">
        <v>47</v>
      </c>
      <c r="H162" s="5"/>
      <c r="I162" s="5"/>
      <c r="J162" s="5"/>
      <c r="K162" s="5" t="s">
        <v>139</v>
      </c>
      <c r="L162" s="5"/>
      <c r="M162" s="5"/>
      <c r="N162" s="5" t="s">
        <v>124</v>
      </c>
      <c r="O162" s="5" t="s">
        <v>140</v>
      </c>
      <c r="P162" s="6">
        <f t="shared" si="4"/>
        <v>2</v>
      </c>
      <c r="Q162" s="6" t="str">
        <f t="shared" si="5"/>
        <v>No</v>
      </c>
      <c r="R162" s="5" t="s">
        <v>125</v>
      </c>
      <c r="S162" s="5"/>
      <c r="T162" s="5"/>
      <c r="U162" s="5"/>
      <c r="V162" s="5" t="s">
        <v>47</v>
      </c>
      <c r="W162" s="5"/>
      <c r="X162" s="5"/>
      <c r="Y162" s="5" t="s">
        <v>641</v>
      </c>
    </row>
    <row r="163" spans="1:25" x14ac:dyDescent="0.25">
      <c r="A163" s="5" t="s">
        <v>642</v>
      </c>
      <c r="B163" s="5"/>
      <c r="C163" s="5"/>
      <c r="D163" s="5"/>
      <c r="E163" s="5" t="s">
        <v>45</v>
      </c>
      <c r="F163" s="5" t="s">
        <v>107</v>
      </c>
      <c r="G163" s="5"/>
      <c r="H163" s="5" t="s">
        <v>90</v>
      </c>
      <c r="I163" s="5"/>
      <c r="J163" s="5"/>
      <c r="K163" s="5"/>
      <c r="L163" s="5"/>
      <c r="M163" s="5"/>
      <c r="N163" s="5" t="s">
        <v>66</v>
      </c>
      <c r="O163" s="5" t="s">
        <v>103</v>
      </c>
      <c r="P163" s="6">
        <f t="shared" si="4"/>
        <v>3</v>
      </c>
      <c r="Q163" s="6" t="str">
        <f t="shared" si="5"/>
        <v>No</v>
      </c>
      <c r="R163" s="5" t="s">
        <v>51</v>
      </c>
      <c r="S163" s="5" t="s">
        <v>643</v>
      </c>
      <c r="T163" s="5" t="s">
        <v>644</v>
      </c>
      <c r="U163" s="5" t="s">
        <v>90</v>
      </c>
      <c r="V163" s="5"/>
      <c r="W163" s="5" t="s">
        <v>105</v>
      </c>
      <c r="X163" s="5"/>
      <c r="Y163" s="5" t="s">
        <v>394</v>
      </c>
    </row>
    <row r="164" spans="1:25" x14ac:dyDescent="0.25">
      <c r="A164" s="5" t="s">
        <v>645</v>
      </c>
      <c r="B164" s="5"/>
      <c r="C164" s="5" t="s">
        <v>70</v>
      </c>
      <c r="D164" s="5" t="s">
        <v>44</v>
      </c>
      <c r="E164" s="5"/>
      <c r="F164" s="5"/>
      <c r="G164" s="5"/>
      <c r="H164" s="5"/>
      <c r="I164" s="5" t="s">
        <v>123</v>
      </c>
      <c r="J164" s="5"/>
      <c r="K164" s="5" t="s">
        <v>123</v>
      </c>
      <c r="L164" s="5"/>
      <c r="M164" s="5"/>
      <c r="N164" s="5" t="s">
        <v>124</v>
      </c>
      <c r="O164" s="5"/>
      <c r="P164" s="6">
        <f t="shared" si="4"/>
        <v>2</v>
      </c>
      <c r="Q164" s="6" t="str">
        <f t="shared" si="5"/>
        <v>No</v>
      </c>
      <c r="R164" s="5" t="s">
        <v>125</v>
      </c>
      <c r="S164" s="5"/>
      <c r="T164" s="5"/>
      <c r="U164" s="5"/>
      <c r="V164" s="5"/>
      <c r="W164" s="5"/>
      <c r="X164" s="5"/>
      <c r="Y164" s="5" t="s">
        <v>555</v>
      </c>
    </row>
    <row r="165" spans="1:25" x14ac:dyDescent="0.25">
      <c r="A165" s="5" t="s">
        <v>646</v>
      </c>
      <c r="B165" s="5"/>
      <c r="C165" s="5" t="s">
        <v>43</v>
      </c>
      <c r="D165" s="5" t="s">
        <v>44</v>
      </c>
      <c r="E165" s="5"/>
      <c r="F165" s="5"/>
      <c r="G165" s="5"/>
      <c r="H165" s="5" t="s">
        <v>647</v>
      </c>
      <c r="I165" s="5"/>
      <c r="J165" s="5"/>
      <c r="K165" s="5"/>
      <c r="L165" s="5"/>
      <c r="M165" s="5"/>
      <c r="N165" s="5" t="s">
        <v>50</v>
      </c>
      <c r="O165" s="5"/>
      <c r="P165" s="6">
        <f t="shared" si="4"/>
        <v>2</v>
      </c>
      <c r="Q165" s="6" t="str">
        <f t="shared" si="5"/>
        <v>No</v>
      </c>
      <c r="R165" s="5" t="s">
        <v>51</v>
      </c>
      <c r="S165" s="5"/>
      <c r="T165" s="5" t="s">
        <v>648</v>
      </c>
      <c r="U165" s="5" t="s">
        <v>647</v>
      </c>
      <c r="V165" s="5"/>
      <c r="W165" s="5" t="s">
        <v>43</v>
      </c>
      <c r="X165" s="5"/>
      <c r="Y165" s="5" t="s">
        <v>136</v>
      </c>
    </row>
    <row r="166" spans="1:25" x14ac:dyDescent="0.25">
      <c r="A166" s="5" t="s">
        <v>649</v>
      </c>
      <c r="B166" s="5"/>
      <c r="C166" s="5" t="s">
        <v>43</v>
      </c>
      <c r="D166" s="5"/>
      <c r="E166" s="5" t="s">
        <v>45</v>
      </c>
      <c r="F166" s="5" t="s">
        <v>107</v>
      </c>
      <c r="G166" s="5" t="s">
        <v>47</v>
      </c>
      <c r="H166" s="5"/>
      <c r="I166" s="5"/>
      <c r="J166" s="5"/>
      <c r="K166" s="5"/>
      <c r="L166" s="5"/>
      <c r="M166" s="5"/>
      <c r="N166" s="5" t="s">
        <v>66</v>
      </c>
      <c r="O166" s="5"/>
      <c r="P166" s="6">
        <f t="shared" si="4"/>
        <v>3</v>
      </c>
      <c r="Q166" s="6" t="str">
        <f t="shared" si="5"/>
        <v>No</v>
      </c>
      <c r="R166" s="5" t="s">
        <v>51</v>
      </c>
      <c r="S166" s="5" t="s">
        <v>650</v>
      </c>
      <c r="T166" s="5"/>
      <c r="U166" s="5"/>
      <c r="V166" s="5" t="s">
        <v>67</v>
      </c>
      <c r="W166" s="5" t="s">
        <v>43</v>
      </c>
      <c r="X166" s="5"/>
      <c r="Y166" s="5" t="s">
        <v>394</v>
      </c>
    </row>
    <row r="167" spans="1:25" x14ac:dyDescent="0.25">
      <c r="A167" s="5" t="s">
        <v>651</v>
      </c>
      <c r="B167" s="5"/>
      <c r="C167" s="5" t="s">
        <v>43</v>
      </c>
      <c r="D167" s="5"/>
      <c r="E167" s="5" t="s">
        <v>45</v>
      </c>
      <c r="F167" s="5" t="s">
        <v>46</v>
      </c>
      <c r="G167" s="5" t="s">
        <v>47</v>
      </c>
      <c r="H167" s="5"/>
      <c r="I167" s="5"/>
      <c r="J167" s="5"/>
      <c r="K167" s="5"/>
      <c r="L167" s="5"/>
      <c r="M167" s="5"/>
      <c r="N167" s="5" t="s">
        <v>66</v>
      </c>
      <c r="O167" s="5"/>
      <c r="P167" s="6">
        <f t="shared" si="4"/>
        <v>3</v>
      </c>
      <c r="Q167" s="6" t="str">
        <f t="shared" si="5"/>
        <v>No</v>
      </c>
      <c r="R167" s="5" t="s">
        <v>51</v>
      </c>
      <c r="S167" s="5" t="s">
        <v>652</v>
      </c>
      <c r="T167" s="5"/>
      <c r="U167" s="5"/>
      <c r="V167" s="5" t="s">
        <v>67</v>
      </c>
      <c r="W167" s="5" t="s">
        <v>43</v>
      </c>
      <c r="X167" s="5" t="s">
        <v>68</v>
      </c>
      <c r="Y167" s="5" t="s">
        <v>394</v>
      </c>
    </row>
    <row r="168" spans="1:25" x14ac:dyDescent="0.25">
      <c r="A168" s="5" t="s">
        <v>653</v>
      </c>
      <c r="B168" s="5"/>
      <c r="C168" s="5" t="s">
        <v>70</v>
      </c>
      <c r="D168" s="5" t="s">
        <v>76</v>
      </c>
      <c r="E168" s="5"/>
      <c r="F168" s="5"/>
      <c r="G168" s="5"/>
      <c r="H168" s="5"/>
      <c r="I168" s="5"/>
      <c r="J168" s="5"/>
      <c r="K168" s="5"/>
      <c r="L168" s="5"/>
      <c r="M168" s="5"/>
      <c r="N168" s="5" t="s">
        <v>124</v>
      </c>
      <c r="O168" s="5"/>
      <c r="P168" s="6">
        <f t="shared" si="4"/>
        <v>1</v>
      </c>
      <c r="Q168" s="6" t="str">
        <f t="shared" si="5"/>
        <v>No</v>
      </c>
      <c r="R168" s="5" t="s">
        <v>125</v>
      </c>
      <c r="S168" s="5"/>
      <c r="T168" s="5"/>
      <c r="U168" s="5"/>
      <c r="V168" s="5"/>
      <c r="W168" s="5"/>
      <c r="X168" s="5"/>
      <c r="Y168" s="5" t="s">
        <v>555</v>
      </c>
    </row>
    <row r="169" spans="1:25" x14ac:dyDescent="0.25">
      <c r="A169" s="5" t="s">
        <v>654</v>
      </c>
      <c r="B169" s="5"/>
      <c r="C169" s="5" t="s">
        <v>128</v>
      </c>
      <c r="D169" s="5"/>
      <c r="E169" s="5"/>
      <c r="F169" s="5"/>
      <c r="G169" s="5" t="s">
        <v>57</v>
      </c>
      <c r="H169" s="5"/>
      <c r="I169" s="5"/>
      <c r="J169" s="5"/>
      <c r="K169" s="5"/>
      <c r="L169" s="5"/>
      <c r="M169" s="5"/>
      <c r="N169" s="5" t="s">
        <v>66</v>
      </c>
      <c r="O169" s="5"/>
      <c r="P169" s="6">
        <f t="shared" si="4"/>
        <v>1</v>
      </c>
      <c r="Q169" s="6" t="str">
        <f t="shared" si="5"/>
        <v>No</v>
      </c>
      <c r="R169" s="5" t="s">
        <v>51</v>
      </c>
      <c r="S169" s="5"/>
      <c r="T169" s="5"/>
      <c r="U169" s="5"/>
      <c r="V169" s="5" t="s">
        <v>57</v>
      </c>
      <c r="W169" s="5" t="s">
        <v>128</v>
      </c>
      <c r="X169" s="5" t="s">
        <v>250</v>
      </c>
      <c r="Y169" s="5"/>
    </row>
    <row r="170" spans="1:25" x14ac:dyDescent="0.25">
      <c r="A170" s="5" t="s">
        <v>655</v>
      </c>
      <c r="B170" s="5"/>
      <c r="C170" s="5"/>
      <c r="D170" s="5"/>
      <c r="E170" s="5"/>
      <c r="F170" s="5"/>
      <c r="G170" s="5"/>
      <c r="H170" s="5" t="s">
        <v>83</v>
      </c>
      <c r="I170" s="5"/>
      <c r="J170" s="5"/>
      <c r="K170" s="5"/>
      <c r="L170" s="5"/>
      <c r="M170" s="5"/>
      <c r="N170" s="5" t="s">
        <v>66</v>
      </c>
      <c r="O170" s="5" t="s">
        <v>103</v>
      </c>
      <c r="P170" s="6">
        <f t="shared" si="4"/>
        <v>1</v>
      </c>
      <c r="Q170" s="6" t="str">
        <f t="shared" si="5"/>
        <v>No</v>
      </c>
      <c r="R170" s="5" t="s">
        <v>51</v>
      </c>
      <c r="S170" s="5"/>
      <c r="T170" s="5" t="s">
        <v>656</v>
      </c>
      <c r="U170" s="5" t="s">
        <v>83</v>
      </c>
      <c r="V170" s="5"/>
      <c r="W170" s="5" t="s">
        <v>105</v>
      </c>
      <c r="X170" s="5"/>
      <c r="Y170" s="5"/>
    </row>
    <row r="171" spans="1:25" x14ac:dyDescent="0.25">
      <c r="A171" s="5" t="s">
        <v>657</v>
      </c>
      <c r="B171" s="5"/>
      <c r="C171" s="5" t="s">
        <v>70</v>
      </c>
      <c r="D171" s="5" t="s">
        <v>76</v>
      </c>
      <c r="E171" s="5"/>
      <c r="F171" s="5"/>
      <c r="G171" s="5"/>
      <c r="H171" s="5" t="s">
        <v>77</v>
      </c>
      <c r="I171" s="5"/>
      <c r="J171" s="5"/>
      <c r="K171" s="5"/>
      <c r="L171" s="5"/>
      <c r="M171" s="5"/>
      <c r="N171" s="5" t="s">
        <v>50</v>
      </c>
      <c r="O171" s="5"/>
      <c r="P171" s="6">
        <f t="shared" si="4"/>
        <v>2</v>
      </c>
      <c r="Q171" s="6" t="str">
        <f t="shared" si="5"/>
        <v>No</v>
      </c>
      <c r="R171" s="5" t="s">
        <v>51</v>
      </c>
      <c r="S171" s="5"/>
      <c r="T171" s="5" t="s">
        <v>658</v>
      </c>
      <c r="U171" s="5" t="s">
        <v>77</v>
      </c>
      <c r="V171" s="5"/>
      <c r="W171" s="5"/>
      <c r="X171" s="5"/>
      <c r="Y171" s="5" t="s">
        <v>189</v>
      </c>
    </row>
    <row r="172" spans="1:25" x14ac:dyDescent="0.25">
      <c r="A172" s="5" t="s">
        <v>659</v>
      </c>
      <c r="B172" s="5"/>
      <c r="C172" s="5"/>
      <c r="D172" s="5"/>
      <c r="E172" s="5"/>
      <c r="F172" s="5"/>
      <c r="G172" s="5" t="s">
        <v>47</v>
      </c>
      <c r="H172" s="5"/>
      <c r="I172" s="5" t="s">
        <v>119</v>
      </c>
      <c r="J172" s="5" t="s">
        <v>78</v>
      </c>
      <c r="K172" s="5" t="s">
        <v>660</v>
      </c>
      <c r="L172" s="5"/>
      <c r="M172" s="5"/>
      <c r="N172" s="5" t="s">
        <v>66</v>
      </c>
      <c r="O172" s="5" t="s">
        <v>103</v>
      </c>
      <c r="P172" s="6">
        <f t="shared" si="4"/>
        <v>2</v>
      </c>
      <c r="Q172" s="6" t="str">
        <f t="shared" si="5"/>
        <v>No</v>
      </c>
      <c r="R172" s="5" t="s">
        <v>51</v>
      </c>
      <c r="S172" s="5"/>
      <c r="T172" s="5"/>
      <c r="U172" s="5"/>
      <c r="V172" s="5" t="s">
        <v>563</v>
      </c>
      <c r="W172" s="5" t="s">
        <v>105</v>
      </c>
      <c r="X172" s="5"/>
      <c r="Y172" s="5"/>
    </row>
    <row r="173" spans="1:25" x14ac:dyDescent="0.25">
      <c r="A173" s="5" t="s">
        <v>661</v>
      </c>
      <c r="B173" s="5"/>
      <c r="C173" s="5" t="s">
        <v>70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 t="s">
        <v>50</v>
      </c>
      <c r="O173" s="5"/>
      <c r="P173" s="6">
        <f t="shared" si="4"/>
        <v>0</v>
      </c>
      <c r="Q173" s="6" t="str">
        <f t="shared" si="5"/>
        <v>No</v>
      </c>
      <c r="R173" s="5" t="s">
        <v>51</v>
      </c>
      <c r="S173" s="5"/>
      <c r="T173" s="5" t="s">
        <v>662</v>
      </c>
      <c r="U173" s="5"/>
      <c r="V173" s="5"/>
      <c r="W173" s="5"/>
      <c r="X173" s="5"/>
      <c r="Y173" s="5" t="s">
        <v>74</v>
      </c>
    </row>
    <row r="174" spans="1:25" x14ac:dyDescent="0.25">
      <c r="A174" s="5" t="s">
        <v>663</v>
      </c>
      <c r="B174" s="5"/>
      <c r="C174" s="5" t="s">
        <v>43</v>
      </c>
      <c r="D174" s="5" t="s">
        <v>44</v>
      </c>
      <c r="E174" s="5" t="s">
        <v>45</v>
      </c>
      <c r="F174" s="5" t="s">
        <v>107</v>
      </c>
      <c r="G174" s="5"/>
      <c r="H174" s="5" t="s">
        <v>664</v>
      </c>
      <c r="I174" s="5" t="s">
        <v>78</v>
      </c>
      <c r="J174" s="5"/>
      <c r="K174" s="5" t="s">
        <v>78</v>
      </c>
      <c r="L174" s="5"/>
      <c r="M174" s="5"/>
      <c r="N174" s="5" t="s">
        <v>50</v>
      </c>
      <c r="O174" s="5"/>
      <c r="P174" s="6">
        <f t="shared" si="4"/>
        <v>5</v>
      </c>
      <c r="Q174" s="6" t="str">
        <f t="shared" si="5"/>
        <v>No</v>
      </c>
      <c r="R174" s="5" t="s">
        <v>51</v>
      </c>
      <c r="S174" s="5"/>
      <c r="T174" s="5" t="s">
        <v>665</v>
      </c>
      <c r="U174" s="5" t="s">
        <v>664</v>
      </c>
      <c r="V174" s="5"/>
      <c r="W174" s="5" t="s">
        <v>43</v>
      </c>
      <c r="X174" s="5" t="s">
        <v>452</v>
      </c>
      <c r="Y174" s="5" t="s">
        <v>55</v>
      </c>
    </row>
    <row r="175" spans="1:25" x14ac:dyDescent="0.25">
      <c r="A175" s="5" t="s">
        <v>666</v>
      </c>
      <c r="B175" s="5"/>
      <c r="C175" s="5"/>
      <c r="D175" s="5"/>
      <c r="E175" s="5" t="s">
        <v>45</v>
      </c>
      <c r="F175" s="5"/>
      <c r="G175" s="5"/>
      <c r="H175" s="5" t="s">
        <v>83</v>
      </c>
      <c r="I175" s="5" t="s">
        <v>192</v>
      </c>
      <c r="J175" s="5" t="s">
        <v>91</v>
      </c>
      <c r="K175" s="5" t="s">
        <v>667</v>
      </c>
      <c r="L175" s="5"/>
      <c r="M175" s="5"/>
      <c r="N175" s="5" t="s">
        <v>66</v>
      </c>
      <c r="O175" s="5" t="s">
        <v>103</v>
      </c>
      <c r="P175" s="6">
        <f t="shared" si="4"/>
        <v>3</v>
      </c>
      <c r="Q175" s="6" t="str">
        <f t="shared" si="5"/>
        <v>No</v>
      </c>
      <c r="R175" s="5" t="s">
        <v>51</v>
      </c>
      <c r="S175" s="5" t="s">
        <v>668</v>
      </c>
      <c r="T175" s="5" t="s">
        <v>669</v>
      </c>
      <c r="U175" s="5" t="s">
        <v>83</v>
      </c>
      <c r="V175" s="5"/>
      <c r="W175" s="5" t="s">
        <v>105</v>
      </c>
      <c r="X175" s="5"/>
      <c r="Y175" s="5" t="s">
        <v>337</v>
      </c>
    </row>
    <row r="176" spans="1:25" x14ac:dyDescent="0.25">
      <c r="A176" s="5" t="s">
        <v>670</v>
      </c>
      <c r="B176" s="5"/>
      <c r="C176" s="5" t="s">
        <v>43</v>
      </c>
      <c r="D176" s="5" t="s">
        <v>44</v>
      </c>
      <c r="E176" s="5" t="s">
        <v>45</v>
      </c>
      <c r="F176" s="5" t="s">
        <v>46</v>
      </c>
      <c r="G176" s="5"/>
      <c r="H176" s="5" t="s">
        <v>647</v>
      </c>
      <c r="I176" s="5" t="s">
        <v>192</v>
      </c>
      <c r="J176" s="5" t="s">
        <v>119</v>
      </c>
      <c r="K176" s="5" t="s">
        <v>671</v>
      </c>
      <c r="L176" s="5"/>
      <c r="M176" s="5"/>
      <c r="N176" s="5" t="s">
        <v>50</v>
      </c>
      <c r="O176" s="5"/>
      <c r="P176" s="6">
        <f t="shared" si="4"/>
        <v>5</v>
      </c>
      <c r="Q176" s="6" t="str">
        <f t="shared" si="5"/>
        <v>No</v>
      </c>
      <c r="R176" s="5" t="s">
        <v>51</v>
      </c>
      <c r="S176" s="5"/>
      <c r="T176" s="5" t="s">
        <v>672</v>
      </c>
      <c r="U176" s="5" t="s">
        <v>647</v>
      </c>
      <c r="V176" s="5"/>
      <c r="W176" s="5" t="s">
        <v>43</v>
      </c>
      <c r="X176" s="5"/>
      <c r="Y176" s="5" t="s">
        <v>55</v>
      </c>
    </row>
    <row r="177" spans="1:25" x14ac:dyDescent="0.25">
      <c r="A177" s="5" t="s">
        <v>673</v>
      </c>
      <c r="B177" s="5"/>
      <c r="C177" s="5" t="s">
        <v>43</v>
      </c>
      <c r="D177" s="5" t="s">
        <v>44</v>
      </c>
      <c r="E177" s="5" t="s">
        <v>45</v>
      </c>
      <c r="F177" s="5" t="s">
        <v>107</v>
      </c>
      <c r="G177" s="5" t="s">
        <v>47</v>
      </c>
      <c r="H177" s="5" t="s">
        <v>96</v>
      </c>
      <c r="I177" s="5" t="s">
        <v>59</v>
      </c>
      <c r="J177" s="5" t="s">
        <v>72</v>
      </c>
      <c r="K177" s="5" t="s">
        <v>674</v>
      </c>
      <c r="L177" s="5"/>
      <c r="M177" s="5"/>
      <c r="N177" s="5" t="s">
        <v>50</v>
      </c>
      <c r="O177" s="5"/>
      <c r="P177" s="6">
        <f t="shared" si="4"/>
        <v>6</v>
      </c>
      <c r="Q177" s="6" t="str">
        <f t="shared" si="5"/>
        <v>Yes</v>
      </c>
      <c r="R177" s="5" t="s">
        <v>51</v>
      </c>
      <c r="S177" s="5" t="s">
        <v>675</v>
      </c>
      <c r="T177" s="5" t="s">
        <v>676</v>
      </c>
      <c r="U177" s="5" t="s">
        <v>99</v>
      </c>
      <c r="V177" s="5" t="s">
        <v>67</v>
      </c>
      <c r="W177" s="5" t="s">
        <v>43</v>
      </c>
      <c r="X177" s="5" t="s">
        <v>677</v>
      </c>
      <c r="Y177" s="5" t="s">
        <v>348</v>
      </c>
    </row>
    <row r="178" spans="1:25" x14ac:dyDescent="0.25">
      <c r="A178" s="5" t="s">
        <v>678</v>
      </c>
      <c r="B178" s="5"/>
      <c r="C178" s="5" t="s">
        <v>43</v>
      </c>
      <c r="D178" s="5"/>
      <c r="E178" s="5"/>
      <c r="F178" s="5"/>
      <c r="G178" s="5" t="s">
        <v>47</v>
      </c>
      <c r="H178" s="5"/>
      <c r="I178" s="5"/>
      <c r="J178" s="5"/>
      <c r="K178" s="5"/>
      <c r="L178" s="5"/>
      <c r="M178" s="5"/>
      <c r="N178" s="5" t="s">
        <v>66</v>
      </c>
      <c r="O178" s="5"/>
      <c r="P178" s="6">
        <f t="shared" si="4"/>
        <v>1</v>
      </c>
      <c r="Q178" s="6" t="str">
        <f t="shared" si="5"/>
        <v>No</v>
      </c>
      <c r="R178" s="5" t="s">
        <v>51</v>
      </c>
      <c r="S178" s="5"/>
      <c r="T178" s="5"/>
      <c r="U178" s="5"/>
      <c r="V178" s="5" t="s">
        <v>67</v>
      </c>
      <c r="W178" s="5" t="s">
        <v>43</v>
      </c>
      <c r="X178" s="5" t="s">
        <v>68</v>
      </c>
      <c r="Y178" s="5"/>
    </row>
    <row r="179" spans="1:25" x14ac:dyDescent="0.25">
      <c r="A179" s="5" t="s">
        <v>679</v>
      </c>
      <c r="B179" s="5"/>
      <c r="C179" s="5" t="s">
        <v>128</v>
      </c>
      <c r="D179" s="5"/>
      <c r="E179" s="5"/>
      <c r="F179" s="5"/>
      <c r="G179" s="5" t="s">
        <v>57</v>
      </c>
      <c r="H179" s="5" t="s">
        <v>319</v>
      </c>
      <c r="I179" s="5"/>
      <c r="J179" s="5"/>
      <c r="K179" s="5"/>
      <c r="L179" s="5"/>
      <c r="M179" s="5"/>
      <c r="N179" s="5" t="s">
        <v>66</v>
      </c>
      <c r="O179" s="5"/>
      <c r="P179" s="6">
        <f t="shared" si="4"/>
        <v>2</v>
      </c>
      <c r="Q179" s="6" t="str">
        <f t="shared" si="5"/>
        <v>No</v>
      </c>
      <c r="R179" s="5" t="s">
        <v>51</v>
      </c>
      <c r="S179" s="5"/>
      <c r="T179" s="5"/>
      <c r="U179" s="5" t="s">
        <v>319</v>
      </c>
      <c r="V179" s="5" t="s">
        <v>57</v>
      </c>
      <c r="W179" s="5" t="s">
        <v>320</v>
      </c>
      <c r="X179" s="5" t="s">
        <v>321</v>
      </c>
      <c r="Y179" s="5"/>
    </row>
    <row r="180" spans="1:25" x14ac:dyDescent="0.25">
      <c r="A180" s="5" t="s">
        <v>680</v>
      </c>
      <c r="B180" s="5"/>
      <c r="C180" s="5" t="s">
        <v>43</v>
      </c>
      <c r="D180" s="5" t="s">
        <v>76</v>
      </c>
      <c r="E180" s="5"/>
      <c r="F180" s="5"/>
      <c r="G180" s="5"/>
      <c r="H180" s="5" t="s">
        <v>83</v>
      </c>
      <c r="I180" s="5"/>
      <c r="J180" s="5"/>
      <c r="K180" s="5"/>
      <c r="L180" s="5"/>
      <c r="M180" s="5"/>
      <c r="N180" s="5" t="s">
        <v>50</v>
      </c>
      <c r="O180" s="5"/>
      <c r="P180" s="6">
        <f t="shared" si="4"/>
        <v>2</v>
      </c>
      <c r="Q180" s="6" t="str">
        <f t="shared" si="5"/>
        <v>No</v>
      </c>
      <c r="R180" s="5" t="s">
        <v>51</v>
      </c>
      <c r="S180" s="5"/>
      <c r="T180" s="5"/>
      <c r="U180" s="5" t="s">
        <v>83</v>
      </c>
      <c r="V180" s="5"/>
      <c r="W180" s="5" t="s">
        <v>43</v>
      </c>
      <c r="X180" s="5"/>
      <c r="Y180" s="5" t="s">
        <v>136</v>
      </c>
    </row>
    <row r="181" spans="1:25" x14ac:dyDescent="0.25">
      <c r="A181" s="5" t="s">
        <v>681</v>
      </c>
      <c r="B181" s="5"/>
      <c r="C181" s="5"/>
      <c r="D181" s="5"/>
      <c r="E181" s="5"/>
      <c r="F181" s="5"/>
      <c r="G181" s="5"/>
      <c r="H181" s="5" t="s">
        <v>83</v>
      </c>
      <c r="I181" s="5"/>
      <c r="J181" s="5"/>
      <c r="K181" s="5"/>
      <c r="L181" s="5"/>
      <c r="M181" s="5"/>
      <c r="N181" s="5" t="s">
        <v>66</v>
      </c>
      <c r="O181" s="5" t="s">
        <v>103</v>
      </c>
      <c r="P181" s="6">
        <f t="shared" si="4"/>
        <v>1</v>
      </c>
      <c r="Q181" s="6" t="str">
        <f t="shared" si="5"/>
        <v>No</v>
      </c>
      <c r="R181" s="5" t="s">
        <v>51</v>
      </c>
      <c r="S181" s="5"/>
      <c r="T181" s="5"/>
      <c r="U181" s="5" t="s">
        <v>83</v>
      </c>
      <c r="V181" s="5"/>
      <c r="W181" s="5" t="s">
        <v>105</v>
      </c>
      <c r="X181" s="5"/>
      <c r="Y181" s="5"/>
    </row>
    <row r="182" spans="1:25" x14ac:dyDescent="0.25">
      <c r="A182" s="5" t="s">
        <v>682</v>
      </c>
      <c r="B182" s="5"/>
      <c r="C182" s="5" t="s">
        <v>43</v>
      </c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 t="s">
        <v>66</v>
      </c>
      <c r="O182" s="5"/>
      <c r="P182" s="6">
        <f t="shared" si="4"/>
        <v>0</v>
      </c>
      <c r="Q182" s="6" t="str">
        <f t="shared" si="5"/>
        <v>No</v>
      </c>
      <c r="R182" s="5" t="s">
        <v>51</v>
      </c>
      <c r="S182" s="5"/>
      <c r="T182" s="5"/>
      <c r="U182" s="5"/>
      <c r="V182" s="5"/>
      <c r="W182" s="5" t="s">
        <v>43</v>
      </c>
      <c r="X182" s="5"/>
      <c r="Y182" s="5"/>
    </row>
    <row r="183" spans="1:25" x14ac:dyDescent="0.25">
      <c r="A183" s="5" t="s">
        <v>683</v>
      </c>
      <c r="B183" s="5"/>
      <c r="C183" s="5" t="s">
        <v>43</v>
      </c>
      <c r="D183" s="5" t="s">
        <v>76</v>
      </c>
      <c r="E183" s="5" t="s">
        <v>45</v>
      </c>
      <c r="F183" s="5" t="s">
        <v>46</v>
      </c>
      <c r="G183" s="5"/>
      <c r="H183" s="5" t="s">
        <v>323</v>
      </c>
      <c r="I183" s="5" t="s">
        <v>119</v>
      </c>
      <c r="J183" s="5"/>
      <c r="K183" s="5" t="s">
        <v>119</v>
      </c>
      <c r="L183" s="5"/>
      <c r="M183" s="5"/>
      <c r="N183" s="5" t="s">
        <v>50</v>
      </c>
      <c r="O183" s="5"/>
      <c r="P183" s="6">
        <f t="shared" si="4"/>
        <v>5</v>
      </c>
      <c r="Q183" s="6" t="str">
        <f t="shared" si="5"/>
        <v>No</v>
      </c>
      <c r="R183" s="5" t="s">
        <v>51</v>
      </c>
      <c r="S183" s="5" t="s">
        <v>684</v>
      </c>
      <c r="T183" s="5" t="s">
        <v>685</v>
      </c>
      <c r="U183" s="5" t="s">
        <v>323</v>
      </c>
      <c r="V183" s="5"/>
      <c r="W183" s="5" t="s">
        <v>43</v>
      </c>
      <c r="X183" s="5" t="s">
        <v>686</v>
      </c>
      <c r="Y183" s="5" t="s">
        <v>348</v>
      </c>
    </row>
    <row r="184" spans="1:25" x14ac:dyDescent="0.25">
      <c r="A184" s="5" t="s">
        <v>687</v>
      </c>
      <c r="B184" s="5"/>
      <c r="C184" s="5"/>
      <c r="D184" s="5"/>
      <c r="E184" s="5"/>
      <c r="F184" s="5"/>
      <c r="G184" s="5"/>
      <c r="H184" s="5" t="s">
        <v>58</v>
      </c>
      <c r="I184" s="5"/>
      <c r="J184" s="5"/>
      <c r="K184" s="5"/>
      <c r="L184" s="5"/>
      <c r="M184" s="5"/>
      <c r="N184" s="5" t="s">
        <v>66</v>
      </c>
      <c r="O184" s="5" t="s">
        <v>103</v>
      </c>
      <c r="P184" s="6">
        <f t="shared" si="4"/>
        <v>1</v>
      </c>
      <c r="Q184" s="6" t="str">
        <f t="shared" si="5"/>
        <v>No</v>
      </c>
      <c r="R184" s="5" t="s">
        <v>51</v>
      </c>
      <c r="S184" s="5"/>
      <c r="T184" s="5" t="s">
        <v>688</v>
      </c>
      <c r="U184" s="5" t="s">
        <v>63</v>
      </c>
      <c r="V184" s="5"/>
      <c r="W184" s="5" t="s">
        <v>105</v>
      </c>
      <c r="X184" s="5"/>
      <c r="Y184" s="5"/>
    </row>
    <row r="185" spans="1:25" x14ac:dyDescent="0.25">
      <c r="A185" s="5" t="s">
        <v>689</v>
      </c>
      <c r="B185" s="5" t="s">
        <v>690</v>
      </c>
      <c r="C185" s="5" t="s">
        <v>43</v>
      </c>
      <c r="D185" s="5" t="s">
        <v>44</v>
      </c>
      <c r="E185" s="5" t="s">
        <v>45</v>
      </c>
      <c r="F185" s="5" t="s">
        <v>107</v>
      </c>
      <c r="G185" s="5" t="s">
        <v>57</v>
      </c>
      <c r="H185" s="5" t="s">
        <v>83</v>
      </c>
      <c r="I185" s="5" t="s">
        <v>78</v>
      </c>
      <c r="J185" s="5" t="s">
        <v>691</v>
      </c>
      <c r="K185" s="5" t="s">
        <v>692</v>
      </c>
      <c r="L185" s="5"/>
      <c r="M185" s="5"/>
      <c r="N185" s="5" t="s">
        <v>110</v>
      </c>
      <c r="O185" s="5" t="s">
        <v>225</v>
      </c>
      <c r="P185" s="6">
        <f t="shared" si="4"/>
        <v>6</v>
      </c>
      <c r="Q185" s="6" t="str">
        <f t="shared" si="5"/>
        <v>Yes</v>
      </c>
      <c r="R185" s="5" t="s">
        <v>112</v>
      </c>
      <c r="S185" s="5" t="s">
        <v>693</v>
      </c>
      <c r="T185" s="5" t="s">
        <v>694</v>
      </c>
      <c r="U185" s="5" t="s">
        <v>695</v>
      </c>
      <c r="V185" s="5"/>
      <c r="W185" s="5" t="s">
        <v>43</v>
      </c>
      <c r="X185" s="5" t="s">
        <v>696</v>
      </c>
      <c r="Y185" s="5" t="s">
        <v>697</v>
      </c>
    </row>
    <row r="186" spans="1:25" x14ac:dyDescent="0.25">
      <c r="A186" s="5" t="s">
        <v>698</v>
      </c>
      <c r="B186" s="5"/>
      <c r="C186" s="5" t="s">
        <v>70</v>
      </c>
      <c r="D186" s="5" t="s">
        <v>44</v>
      </c>
      <c r="E186" s="5"/>
      <c r="F186" s="5"/>
      <c r="G186" s="5"/>
      <c r="H186" s="5"/>
      <c r="I186" s="5"/>
      <c r="J186" s="5"/>
      <c r="K186" s="5"/>
      <c r="L186" s="5"/>
      <c r="M186" s="5"/>
      <c r="N186" s="5" t="s">
        <v>124</v>
      </c>
      <c r="O186" s="5"/>
      <c r="P186" s="6">
        <f t="shared" si="4"/>
        <v>1</v>
      </c>
      <c r="Q186" s="6" t="str">
        <f t="shared" si="5"/>
        <v>No</v>
      </c>
      <c r="R186" s="5" t="s">
        <v>125</v>
      </c>
      <c r="S186" s="5"/>
      <c r="T186" s="5"/>
      <c r="U186" s="5"/>
      <c r="V186" s="5"/>
      <c r="W186" s="5"/>
      <c r="X186" s="5"/>
      <c r="Y186" s="5" t="s">
        <v>555</v>
      </c>
    </row>
    <row r="187" spans="1:25" x14ac:dyDescent="0.25">
      <c r="A187" s="5" t="s">
        <v>699</v>
      </c>
      <c r="B187" s="5"/>
      <c r="C187" s="5" t="s">
        <v>43</v>
      </c>
      <c r="D187" s="5" t="s">
        <v>76</v>
      </c>
      <c r="E187" s="5"/>
      <c r="F187" s="5"/>
      <c r="G187" s="5" t="s">
        <v>47</v>
      </c>
      <c r="H187" s="5" t="s">
        <v>700</v>
      </c>
      <c r="I187" s="5" t="s">
        <v>91</v>
      </c>
      <c r="J187" s="5"/>
      <c r="K187" s="5" t="s">
        <v>91</v>
      </c>
      <c r="L187" s="5"/>
      <c r="M187" s="5"/>
      <c r="N187" s="5" t="s">
        <v>50</v>
      </c>
      <c r="O187" s="5"/>
      <c r="P187" s="6">
        <f t="shared" si="4"/>
        <v>4</v>
      </c>
      <c r="Q187" s="6" t="str">
        <f t="shared" si="5"/>
        <v>No</v>
      </c>
      <c r="R187" s="5" t="s">
        <v>51</v>
      </c>
      <c r="S187" s="5"/>
      <c r="T187" s="5"/>
      <c r="U187" s="5" t="s">
        <v>700</v>
      </c>
      <c r="V187" s="5" t="s">
        <v>47</v>
      </c>
      <c r="W187" s="5" t="s">
        <v>43</v>
      </c>
      <c r="X187" s="5" t="s">
        <v>686</v>
      </c>
      <c r="Y187" s="5" t="s">
        <v>136</v>
      </c>
    </row>
    <row r="188" spans="1:25" x14ac:dyDescent="0.25">
      <c r="A188" s="5" t="s">
        <v>701</v>
      </c>
      <c r="B188" s="5"/>
      <c r="C188" s="5" t="s">
        <v>70</v>
      </c>
      <c r="D188" s="5" t="s">
        <v>44</v>
      </c>
      <c r="E188" s="5"/>
      <c r="F188" s="5"/>
      <c r="G188" s="5" t="s">
        <v>57</v>
      </c>
      <c r="H188" s="5" t="s">
        <v>702</v>
      </c>
      <c r="I188" s="5" t="s">
        <v>192</v>
      </c>
      <c r="J188" s="5"/>
      <c r="K188" s="5" t="s">
        <v>192</v>
      </c>
      <c r="L188" s="5"/>
      <c r="M188" s="5"/>
      <c r="N188" s="5" t="s">
        <v>124</v>
      </c>
      <c r="O188" s="5"/>
      <c r="P188" s="6">
        <f t="shared" si="4"/>
        <v>4</v>
      </c>
      <c r="Q188" s="6" t="str">
        <f t="shared" si="5"/>
        <v>No</v>
      </c>
      <c r="R188" s="5" t="s">
        <v>125</v>
      </c>
      <c r="S188" s="5"/>
      <c r="T188" s="5"/>
      <c r="U188" s="5" t="s">
        <v>702</v>
      </c>
      <c r="V188" s="5" t="s">
        <v>57</v>
      </c>
      <c r="W188" s="5"/>
      <c r="X188" s="5"/>
      <c r="Y188" s="5" t="s">
        <v>286</v>
      </c>
    </row>
    <row r="189" spans="1:25" x14ac:dyDescent="0.25">
      <c r="A189" s="5" t="s">
        <v>703</v>
      </c>
      <c r="B189" s="5"/>
      <c r="C189" s="5" t="s">
        <v>70</v>
      </c>
      <c r="D189" s="5" t="s">
        <v>76</v>
      </c>
      <c r="E189" s="5"/>
      <c r="F189" s="5"/>
      <c r="G189" s="5"/>
      <c r="H189" s="5" t="s">
        <v>77</v>
      </c>
      <c r="I189" s="5" t="s">
        <v>49</v>
      </c>
      <c r="J189" s="5"/>
      <c r="K189" s="5" t="s">
        <v>49</v>
      </c>
      <c r="L189" s="5"/>
      <c r="M189" s="5"/>
      <c r="N189" s="5" t="s">
        <v>50</v>
      </c>
      <c r="O189" s="5"/>
      <c r="P189" s="6">
        <f t="shared" si="4"/>
        <v>3</v>
      </c>
      <c r="Q189" s="6" t="str">
        <f t="shared" si="5"/>
        <v>No</v>
      </c>
      <c r="R189" s="5" t="s">
        <v>51</v>
      </c>
      <c r="S189" s="5"/>
      <c r="T189" s="5" t="s">
        <v>704</v>
      </c>
      <c r="U189" s="5" t="s">
        <v>77</v>
      </c>
      <c r="V189" s="5"/>
      <c r="W189" s="5"/>
      <c r="X189" s="5"/>
      <c r="Y189" s="5" t="s">
        <v>430</v>
      </c>
    </row>
    <row r="190" spans="1:25" x14ac:dyDescent="0.25">
      <c r="A190" s="5" t="s">
        <v>705</v>
      </c>
      <c r="B190" s="5"/>
      <c r="C190" s="5" t="s">
        <v>43</v>
      </c>
      <c r="D190" s="5" t="s">
        <v>44</v>
      </c>
      <c r="E190" s="5" t="s">
        <v>45</v>
      </c>
      <c r="F190" s="5" t="s">
        <v>46</v>
      </c>
      <c r="G190" s="5" t="s">
        <v>47</v>
      </c>
      <c r="H190" s="5" t="s">
        <v>706</v>
      </c>
      <c r="I190" s="5" t="s">
        <v>178</v>
      </c>
      <c r="J190" s="5" t="s">
        <v>193</v>
      </c>
      <c r="K190" s="5" t="s">
        <v>707</v>
      </c>
      <c r="L190" s="5" t="s">
        <v>708</v>
      </c>
      <c r="M190" s="5"/>
      <c r="N190" s="5" t="s">
        <v>110</v>
      </c>
      <c r="O190" s="5" t="s">
        <v>709</v>
      </c>
      <c r="P190" s="6">
        <f t="shared" si="4"/>
        <v>6</v>
      </c>
      <c r="Q190" s="6" t="str">
        <f t="shared" si="5"/>
        <v>No</v>
      </c>
      <c r="R190" s="5" t="s">
        <v>112</v>
      </c>
      <c r="S190" s="5" t="s">
        <v>710</v>
      </c>
      <c r="T190" s="5" t="s">
        <v>711</v>
      </c>
      <c r="U190" s="5" t="s">
        <v>706</v>
      </c>
      <c r="V190" s="5"/>
      <c r="W190" s="5" t="s">
        <v>43</v>
      </c>
      <c r="X190" s="5" t="s">
        <v>677</v>
      </c>
      <c r="Y190" s="5" t="s">
        <v>219</v>
      </c>
    </row>
    <row r="191" spans="1:25" x14ac:dyDescent="0.25">
      <c r="A191" s="5" t="s">
        <v>712</v>
      </c>
      <c r="B191" s="5"/>
      <c r="C191" s="5" t="s">
        <v>43</v>
      </c>
      <c r="D191" s="5"/>
      <c r="E191" s="5"/>
      <c r="F191" s="5"/>
      <c r="G191" s="5" t="s">
        <v>47</v>
      </c>
      <c r="H191" s="5" t="s">
        <v>517</v>
      </c>
      <c r="I191" s="5"/>
      <c r="J191" s="5"/>
      <c r="K191" s="5"/>
      <c r="L191" s="5"/>
      <c r="M191" s="5"/>
      <c r="N191" s="5" t="s">
        <v>50</v>
      </c>
      <c r="O191" s="5"/>
      <c r="P191" s="6">
        <f t="shared" si="4"/>
        <v>2</v>
      </c>
      <c r="Q191" s="6" t="str">
        <f t="shared" si="5"/>
        <v>No</v>
      </c>
      <c r="R191" s="5" t="s">
        <v>51</v>
      </c>
      <c r="S191" s="5"/>
      <c r="T191" s="5"/>
      <c r="U191" s="5"/>
      <c r="V191" s="5" t="s">
        <v>67</v>
      </c>
      <c r="W191" s="5" t="s">
        <v>43</v>
      </c>
      <c r="X191" s="5"/>
      <c r="Y191" s="5" t="s">
        <v>713</v>
      </c>
    </row>
    <row r="192" spans="1:25" x14ac:dyDescent="0.25">
      <c r="A192" s="5" t="s">
        <v>714</v>
      </c>
      <c r="B192" s="5"/>
      <c r="C192" s="5"/>
      <c r="D192" s="5"/>
      <c r="E192" s="5" t="s">
        <v>45</v>
      </c>
      <c r="F192" s="5" t="s">
        <v>107</v>
      </c>
      <c r="G192" s="5"/>
      <c r="H192" s="5" t="s">
        <v>77</v>
      </c>
      <c r="I192" s="5" t="s">
        <v>119</v>
      </c>
      <c r="J192" s="5" t="s">
        <v>91</v>
      </c>
      <c r="K192" s="5" t="s">
        <v>715</v>
      </c>
      <c r="L192" s="5"/>
      <c r="M192" s="5"/>
      <c r="N192" s="5" t="s">
        <v>66</v>
      </c>
      <c r="O192" s="5" t="s">
        <v>103</v>
      </c>
      <c r="P192" s="6">
        <f t="shared" si="4"/>
        <v>4</v>
      </c>
      <c r="Q192" s="6" t="str">
        <f t="shared" si="5"/>
        <v>No</v>
      </c>
      <c r="R192" s="5" t="s">
        <v>51</v>
      </c>
      <c r="S192" s="5" t="s">
        <v>716</v>
      </c>
      <c r="T192" s="5" t="s">
        <v>717</v>
      </c>
      <c r="U192" s="5" t="s">
        <v>77</v>
      </c>
      <c r="V192" s="5"/>
      <c r="W192" s="5" t="s">
        <v>105</v>
      </c>
      <c r="X192" s="5"/>
      <c r="Y192" s="5" t="s">
        <v>167</v>
      </c>
    </row>
    <row r="193" spans="1:25" x14ac:dyDescent="0.25">
      <c r="A193" s="5" t="s">
        <v>718</v>
      </c>
      <c r="B193" s="5" t="s">
        <v>719</v>
      </c>
      <c r="C193" s="5" t="s">
        <v>128</v>
      </c>
      <c r="D193" s="5"/>
      <c r="E193" s="5"/>
      <c r="F193" s="5"/>
      <c r="G193" s="5" t="s">
        <v>57</v>
      </c>
      <c r="H193" s="5" t="s">
        <v>720</v>
      </c>
      <c r="I193" s="5"/>
      <c r="J193" s="5"/>
      <c r="K193" s="5"/>
      <c r="L193" s="5"/>
      <c r="M193" s="5"/>
      <c r="N193" s="5" t="s">
        <v>66</v>
      </c>
      <c r="O193" s="5"/>
      <c r="P193" s="6">
        <f t="shared" si="4"/>
        <v>2</v>
      </c>
      <c r="Q193" s="6" t="str">
        <f t="shared" si="5"/>
        <v>No</v>
      </c>
      <c r="R193" s="5" t="s">
        <v>51</v>
      </c>
      <c r="S193" s="5"/>
      <c r="T193" s="5" t="s">
        <v>721</v>
      </c>
      <c r="U193" s="5" t="s">
        <v>720</v>
      </c>
      <c r="V193" s="5" t="s">
        <v>57</v>
      </c>
      <c r="W193" s="5" t="s">
        <v>128</v>
      </c>
      <c r="X193" s="5" t="s">
        <v>269</v>
      </c>
      <c r="Y193" s="5"/>
    </row>
    <row r="194" spans="1:25" x14ac:dyDescent="0.25">
      <c r="A194" s="5" t="s">
        <v>722</v>
      </c>
      <c r="B194" s="5"/>
      <c r="C194" s="5" t="s">
        <v>128</v>
      </c>
      <c r="D194" s="5"/>
      <c r="E194" s="5"/>
      <c r="F194" s="5"/>
      <c r="G194" s="5" t="s">
        <v>47</v>
      </c>
      <c r="H194" s="5" t="s">
        <v>319</v>
      </c>
      <c r="I194" s="5"/>
      <c r="J194" s="5"/>
      <c r="K194" s="5"/>
      <c r="L194" s="5"/>
      <c r="M194" s="5"/>
      <c r="N194" s="5" t="s">
        <v>66</v>
      </c>
      <c r="O194" s="5"/>
      <c r="P194" s="6">
        <f t="shared" ref="P194:P257" si="6">IF(A194="","",COUNTA(D194:F194)+COUNTA(G194:G194)+COUNTA(H194:H194)+COUNTA(I194:I194))</f>
        <v>2</v>
      </c>
      <c r="Q194" s="6" t="str">
        <f t="shared" ref="Q194:Q257" si="7">IF(A194="","",IF(AND(P194=6,UPPER(L194)&lt;&gt;"Y",C194&lt;&gt;""),"Yes","No"))</f>
        <v>No</v>
      </c>
      <c r="R194" s="5" t="s">
        <v>51</v>
      </c>
      <c r="S194" s="5"/>
      <c r="T194" s="5"/>
      <c r="U194" s="5" t="s">
        <v>319</v>
      </c>
      <c r="V194" s="5" t="s">
        <v>47</v>
      </c>
      <c r="W194" s="5" t="s">
        <v>320</v>
      </c>
      <c r="X194" s="5" t="s">
        <v>321</v>
      </c>
      <c r="Y194" s="5"/>
    </row>
    <row r="195" spans="1:25" x14ac:dyDescent="0.25">
      <c r="A195" s="5" t="s">
        <v>723</v>
      </c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 t="s">
        <v>66</v>
      </c>
      <c r="O195" s="5"/>
      <c r="P195" s="6">
        <f t="shared" si="6"/>
        <v>0</v>
      </c>
      <c r="Q195" s="6" t="str">
        <f t="shared" si="7"/>
        <v>No</v>
      </c>
      <c r="R195" s="5" t="s">
        <v>51</v>
      </c>
      <c r="S195" s="5"/>
      <c r="T195" s="5"/>
      <c r="U195" s="5"/>
      <c r="V195" s="5"/>
      <c r="W195" s="5"/>
      <c r="X195" s="5"/>
      <c r="Y195" s="5"/>
    </row>
    <row r="196" spans="1:25" x14ac:dyDescent="0.25">
      <c r="A196" s="5" t="s">
        <v>724</v>
      </c>
      <c r="B196" s="5"/>
      <c r="C196" s="5" t="s">
        <v>43</v>
      </c>
      <c r="D196" s="5"/>
      <c r="E196" s="5"/>
      <c r="F196" s="5"/>
      <c r="G196" s="5" t="s">
        <v>47</v>
      </c>
      <c r="H196" s="5"/>
      <c r="I196" s="5"/>
      <c r="J196" s="5"/>
      <c r="K196" s="5"/>
      <c r="L196" s="5"/>
      <c r="M196" s="5"/>
      <c r="N196" s="5" t="s">
        <v>66</v>
      </c>
      <c r="O196" s="5"/>
      <c r="P196" s="6">
        <f t="shared" si="6"/>
        <v>1</v>
      </c>
      <c r="Q196" s="6" t="str">
        <f t="shared" si="7"/>
        <v>No</v>
      </c>
      <c r="R196" s="5" t="s">
        <v>51</v>
      </c>
      <c r="S196" s="5"/>
      <c r="T196" s="5"/>
      <c r="U196" s="5"/>
      <c r="V196" s="5" t="s">
        <v>67</v>
      </c>
      <c r="W196" s="5" t="s">
        <v>43</v>
      </c>
      <c r="X196" s="5" t="s">
        <v>68</v>
      </c>
      <c r="Y196" s="5"/>
    </row>
    <row r="197" spans="1:25" x14ac:dyDescent="0.25">
      <c r="A197" s="5" t="s">
        <v>725</v>
      </c>
      <c r="B197" s="5"/>
      <c r="C197" s="5" t="s">
        <v>43</v>
      </c>
      <c r="D197" s="5" t="s">
        <v>76</v>
      </c>
      <c r="E197" s="5" t="s">
        <v>45</v>
      </c>
      <c r="F197" s="5" t="s">
        <v>46</v>
      </c>
      <c r="G197" s="5" t="s">
        <v>47</v>
      </c>
      <c r="H197" s="5" t="s">
        <v>83</v>
      </c>
      <c r="I197" s="5" t="s">
        <v>119</v>
      </c>
      <c r="J197" s="5"/>
      <c r="K197" s="5" t="s">
        <v>119</v>
      </c>
      <c r="L197" s="5"/>
      <c r="M197" s="5"/>
      <c r="N197" s="5" t="s">
        <v>50</v>
      </c>
      <c r="O197" s="5"/>
      <c r="P197" s="6">
        <f t="shared" si="6"/>
        <v>6</v>
      </c>
      <c r="Q197" s="6" t="str">
        <f t="shared" si="7"/>
        <v>Yes</v>
      </c>
      <c r="R197" s="5" t="s">
        <v>51</v>
      </c>
      <c r="S197" s="5" t="s">
        <v>726</v>
      </c>
      <c r="T197" s="5" t="s">
        <v>727</v>
      </c>
      <c r="U197" s="5" t="s">
        <v>83</v>
      </c>
      <c r="V197" s="5" t="s">
        <v>67</v>
      </c>
      <c r="W197" s="5" t="s">
        <v>43</v>
      </c>
      <c r="X197" s="5" t="s">
        <v>728</v>
      </c>
      <c r="Y197" s="5" t="s">
        <v>348</v>
      </c>
    </row>
    <row r="198" spans="1:25" x14ac:dyDescent="0.25">
      <c r="A198" s="5" t="s">
        <v>729</v>
      </c>
      <c r="B198" s="5"/>
      <c r="C198" s="5" t="s">
        <v>43</v>
      </c>
      <c r="D198" s="5" t="s">
        <v>44</v>
      </c>
      <c r="E198" s="5"/>
      <c r="F198" s="5"/>
      <c r="G198" s="5"/>
      <c r="H198" s="5" t="s">
        <v>58</v>
      </c>
      <c r="I198" s="5" t="s">
        <v>133</v>
      </c>
      <c r="J198" s="5"/>
      <c r="K198" s="5" t="s">
        <v>133</v>
      </c>
      <c r="L198" s="5"/>
      <c r="M198" s="5"/>
      <c r="N198" s="5" t="s">
        <v>50</v>
      </c>
      <c r="O198" s="5"/>
      <c r="P198" s="6">
        <f t="shared" si="6"/>
        <v>3</v>
      </c>
      <c r="Q198" s="6" t="str">
        <f t="shared" si="7"/>
        <v>No</v>
      </c>
      <c r="R198" s="5" t="s">
        <v>51</v>
      </c>
      <c r="S198" s="5"/>
      <c r="T198" s="5" t="s">
        <v>730</v>
      </c>
      <c r="U198" s="5" t="s">
        <v>63</v>
      </c>
      <c r="V198" s="5"/>
      <c r="W198" s="5" t="s">
        <v>43</v>
      </c>
      <c r="X198" s="5"/>
      <c r="Y198" s="5" t="s">
        <v>353</v>
      </c>
    </row>
    <row r="199" spans="1:25" x14ac:dyDescent="0.25">
      <c r="A199" s="5" t="s">
        <v>731</v>
      </c>
      <c r="B199" s="5"/>
      <c r="C199" s="5"/>
      <c r="D199" s="5"/>
      <c r="E199" s="5"/>
      <c r="F199" s="5"/>
      <c r="G199" s="5"/>
      <c r="H199" s="5" t="s">
        <v>83</v>
      </c>
      <c r="I199" s="5"/>
      <c r="J199" s="5"/>
      <c r="K199" s="5"/>
      <c r="L199" s="5"/>
      <c r="M199" s="5"/>
      <c r="N199" s="5" t="s">
        <v>66</v>
      </c>
      <c r="O199" s="5"/>
      <c r="P199" s="6">
        <f t="shared" si="6"/>
        <v>1</v>
      </c>
      <c r="Q199" s="6" t="str">
        <f t="shared" si="7"/>
        <v>No</v>
      </c>
      <c r="R199" s="5" t="s">
        <v>51</v>
      </c>
      <c r="S199" s="5"/>
      <c r="T199" s="5"/>
      <c r="U199" s="5" t="s">
        <v>83</v>
      </c>
      <c r="V199" s="5"/>
      <c r="W199" s="5"/>
      <c r="X199" s="5"/>
      <c r="Y199" s="5"/>
    </row>
    <row r="200" spans="1:25" x14ac:dyDescent="0.25">
      <c r="A200" s="5" t="s">
        <v>732</v>
      </c>
      <c r="B200" s="5"/>
      <c r="C200" s="5" t="s">
        <v>43</v>
      </c>
      <c r="D200" s="5"/>
      <c r="E200" s="5" t="s">
        <v>332</v>
      </c>
      <c r="F200" s="5" t="s">
        <v>107</v>
      </c>
      <c r="G200" s="5"/>
      <c r="H200" s="5" t="s">
        <v>733</v>
      </c>
      <c r="I200" s="5"/>
      <c r="J200" s="5"/>
      <c r="K200" s="5"/>
      <c r="L200" s="5"/>
      <c r="M200" s="5"/>
      <c r="N200" s="5" t="s">
        <v>66</v>
      </c>
      <c r="O200" s="5" t="s">
        <v>225</v>
      </c>
      <c r="P200" s="6">
        <f t="shared" si="6"/>
        <v>3</v>
      </c>
      <c r="Q200" s="6" t="str">
        <f t="shared" si="7"/>
        <v>No</v>
      </c>
      <c r="R200" s="5" t="s">
        <v>51</v>
      </c>
      <c r="S200" s="5" t="s">
        <v>734</v>
      </c>
      <c r="T200" s="5" t="s">
        <v>735</v>
      </c>
      <c r="U200" s="5" t="s">
        <v>733</v>
      </c>
      <c r="V200" s="5"/>
      <c r="W200" s="5" t="s">
        <v>43</v>
      </c>
      <c r="X200" s="5"/>
      <c r="Y200" s="5" t="s">
        <v>736</v>
      </c>
    </row>
    <row r="201" spans="1:25" x14ac:dyDescent="0.25">
      <c r="A201" s="5" t="s">
        <v>737</v>
      </c>
      <c r="B201" s="5"/>
      <c r="C201" s="5"/>
      <c r="D201" s="5"/>
      <c r="E201" s="5" t="s">
        <v>45</v>
      </c>
      <c r="F201" s="5" t="s">
        <v>46</v>
      </c>
      <c r="G201" s="5"/>
      <c r="H201" s="5" t="s">
        <v>77</v>
      </c>
      <c r="I201" s="5" t="s">
        <v>59</v>
      </c>
      <c r="J201" s="5" t="s">
        <v>193</v>
      </c>
      <c r="K201" s="5" t="s">
        <v>738</v>
      </c>
      <c r="L201" s="5"/>
      <c r="M201" s="5"/>
      <c r="N201" s="5" t="s">
        <v>66</v>
      </c>
      <c r="O201" s="5" t="s">
        <v>103</v>
      </c>
      <c r="P201" s="6">
        <f t="shared" si="6"/>
        <v>4</v>
      </c>
      <c r="Q201" s="6" t="str">
        <f t="shared" si="7"/>
        <v>No</v>
      </c>
      <c r="R201" s="5" t="s">
        <v>51</v>
      </c>
      <c r="S201" s="5" t="s">
        <v>739</v>
      </c>
      <c r="T201" s="5" t="s">
        <v>740</v>
      </c>
      <c r="U201" s="5" t="s">
        <v>77</v>
      </c>
      <c r="V201" s="5"/>
      <c r="W201" s="5" t="s">
        <v>105</v>
      </c>
      <c r="X201" s="5"/>
      <c r="Y201" s="5" t="s">
        <v>203</v>
      </c>
    </row>
    <row r="202" spans="1:25" x14ac:dyDescent="0.25">
      <c r="A202" s="5" t="s">
        <v>741</v>
      </c>
      <c r="B202" s="5"/>
      <c r="C202" s="5" t="s">
        <v>70</v>
      </c>
      <c r="D202" s="5" t="s">
        <v>76</v>
      </c>
      <c r="E202" s="5"/>
      <c r="F202" s="5"/>
      <c r="G202" s="5"/>
      <c r="H202" s="5" t="s">
        <v>77</v>
      </c>
      <c r="I202" s="5"/>
      <c r="J202" s="5"/>
      <c r="K202" s="5"/>
      <c r="L202" s="5"/>
      <c r="M202" s="5"/>
      <c r="N202" s="5" t="s">
        <v>50</v>
      </c>
      <c r="O202" s="5"/>
      <c r="P202" s="6">
        <f t="shared" si="6"/>
        <v>2</v>
      </c>
      <c r="Q202" s="6" t="str">
        <f t="shared" si="7"/>
        <v>No</v>
      </c>
      <c r="R202" s="5" t="s">
        <v>51</v>
      </c>
      <c r="S202" s="5"/>
      <c r="T202" s="5"/>
      <c r="U202" s="5"/>
      <c r="V202" s="5"/>
      <c r="W202" s="5"/>
      <c r="X202" s="5"/>
      <c r="Y202" s="5" t="s">
        <v>328</v>
      </c>
    </row>
    <row r="203" spans="1:25" x14ac:dyDescent="0.25">
      <c r="A203" s="5" t="s">
        <v>742</v>
      </c>
      <c r="B203" s="5"/>
      <c r="C203" s="5" t="s">
        <v>43</v>
      </c>
      <c r="D203" s="5"/>
      <c r="E203" s="5"/>
      <c r="F203" s="5"/>
      <c r="G203" s="5" t="s">
        <v>47</v>
      </c>
      <c r="H203" s="5" t="s">
        <v>58</v>
      </c>
      <c r="I203" s="5" t="s">
        <v>72</v>
      </c>
      <c r="J203" s="5" t="s">
        <v>78</v>
      </c>
      <c r="K203" s="5" t="s">
        <v>743</v>
      </c>
      <c r="L203" s="5"/>
      <c r="M203" s="5"/>
      <c r="N203" s="5" t="s">
        <v>66</v>
      </c>
      <c r="O203" s="5"/>
      <c r="P203" s="6">
        <f t="shared" si="6"/>
        <v>3</v>
      </c>
      <c r="Q203" s="6" t="str">
        <f t="shared" si="7"/>
        <v>No</v>
      </c>
      <c r="R203" s="5" t="s">
        <v>51</v>
      </c>
      <c r="S203" s="5"/>
      <c r="T203" s="5" t="s">
        <v>744</v>
      </c>
      <c r="U203" s="5" t="s">
        <v>63</v>
      </c>
      <c r="V203" s="5" t="s">
        <v>181</v>
      </c>
      <c r="W203" s="5" t="s">
        <v>43</v>
      </c>
      <c r="X203" s="5"/>
      <c r="Y203" s="5"/>
    </row>
    <row r="204" spans="1:25" x14ac:dyDescent="0.25">
      <c r="A204" s="5" t="s">
        <v>745</v>
      </c>
      <c r="B204" s="5"/>
      <c r="C204" s="5" t="s">
        <v>43</v>
      </c>
      <c r="D204" s="5" t="s">
        <v>44</v>
      </c>
      <c r="E204" s="5" t="s">
        <v>45</v>
      </c>
      <c r="F204" s="5" t="s">
        <v>107</v>
      </c>
      <c r="G204" s="5" t="s">
        <v>57</v>
      </c>
      <c r="H204" s="5" t="s">
        <v>214</v>
      </c>
      <c r="I204" s="5" t="s">
        <v>178</v>
      </c>
      <c r="J204" s="5"/>
      <c r="K204" s="5" t="s">
        <v>746</v>
      </c>
      <c r="L204" s="5"/>
      <c r="M204" s="5"/>
      <c r="N204" s="5" t="s">
        <v>50</v>
      </c>
      <c r="O204" s="5"/>
      <c r="P204" s="6">
        <f t="shared" si="6"/>
        <v>6</v>
      </c>
      <c r="Q204" s="6" t="str">
        <f t="shared" si="7"/>
        <v>Yes</v>
      </c>
      <c r="R204" s="5" t="s">
        <v>51</v>
      </c>
      <c r="S204" s="5" t="s">
        <v>747</v>
      </c>
      <c r="T204" s="5" t="s">
        <v>748</v>
      </c>
      <c r="U204" s="5" t="s">
        <v>214</v>
      </c>
      <c r="V204" s="5"/>
      <c r="W204" s="5" t="s">
        <v>43</v>
      </c>
      <c r="X204" s="5" t="s">
        <v>218</v>
      </c>
      <c r="Y204" s="5" t="s">
        <v>489</v>
      </c>
    </row>
    <row r="205" spans="1:25" x14ac:dyDescent="0.25">
      <c r="A205" s="5" t="s">
        <v>749</v>
      </c>
      <c r="B205" s="5"/>
      <c r="C205" s="5" t="s">
        <v>43</v>
      </c>
      <c r="D205" s="5"/>
      <c r="E205" s="5"/>
      <c r="F205" s="5"/>
      <c r="G205" s="5" t="s">
        <v>47</v>
      </c>
      <c r="H205" s="5"/>
      <c r="I205" s="5"/>
      <c r="J205" s="5"/>
      <c r="K205" s="5"/>
      <c r="L205" s="5"/>
      <c r="M205" s="5"/>
      <c r="N205" s="5" t="s">
        <v>66</v>
      </c>
      <c r="O205" s="5"/>
      <c r="P205" s="6">
        <f t="shared" si="6"/>
        <v>1</v>
      </c>
      <c r="Q205" s="6" t="str">
        <f t="shared" si="7"/>
        <v>No</v>
      </c>
      <c r="R205" s="5" t="s">
        <v>51</v>
      </c>
      <c r="S205" s="5"/>
      <c r="T205" s="5" t="s">
        <v>750</v>
      </c>
      <c r="U205" s="5"/>
      <c r="V205" s="5" t="s">
        <v>47</v>
      </c>
      <c r="W205" s="5" t="s">
        <v>43</v>
      </c>
      <c r="X205" s="5"/>
      <c r="Y205" s="5"/>
    </row>
    <row r="206" spans="1:25" x14ac:dyDescent="0.25">
      <c r="A206" s="5" t="s">
        <v>751</v>
      </c>
      <c r="B206" s="5"/>
      <c r="C206" s="5" t="s">
        <v>70</v>
      </c>
      <c r="D206" s="5" t="s">
        <v>76</v>
      </c>
      <c r="E206" s="5"/>
      <c r="F206" s="5"/>
      <c r="G206" s="5"/>
      <c r="H206" s="5" t="s">
        <v>333</v>
      </c>
      <c r="I206" s="5" t="s">
        <v>72</v>
      </c>
      <c r="J206" s="5"/>
      <c r="K206" s="5" t="s">
        <v>72</v>
      </c>
      <c r="L206" s="5"/>
      <c r="M206" s="5"/>
      <c r="N206" s="5" t="s">
        <v>50</v>
      </c>
      <c r="O206" s="5" t="s">
        <v>225</v>
      </c>
      <c r="P206" s="6">
        <f t="shared" si="6"/>
        <v>3</v>
      </c>
      <c r="Q206" s="6" t="str">
        <f t="shared" si="7"/>
        <v>No</v>
      </c>
      <c r="R206" s="5" t="s">
        <v>51</v>
      </c>
      <c r="S206" s="5"/>
      <c r="T206" s="5"/>
      <c r="U206" s="5" t="s">
        <v>752</v>
      </c>
      <c r="V206" s="5"/>
      <c r="W206" s="5"/>
      <c r="X206" s="5"/>
      <c r="Y206" s="5" t="s">
        <v>753</v>
      </c>
    </row>
    <row r="207" spans="1:25" x14ac:dyDescent="0.25">
      <c r="A207" s="5" t="s">
        <v>754</v>
      </c>
      <c r="B207" s="5"/>
      <c r="C207" s="5"/>
      <c r="D207" s="5"/>
      <c r="E207" s="5"/>
      <c r="F207" s="5"/>
      <c r="G207" s="5"/>
      <c r="H207" s="5" t="s">
        <v>90</v>
      </c>
      <c r="I207" s="5"/>
      <c r="J207" s="5"/>
      <c r="K207" s="5"/>
      <c r="L207" s="5"/>
      <c r="M207" s="5"/>
      <c r="N207" s="5" t="s">
        <v>66</v>
      </c>
      <c r="O207" s="5" t="s">
        <v>103</v>
      </c>
      <c r="P207" s="6">
        <f t="shared" si="6"/>
        <v>1</v>
      </c>
      <c r="Q207" s="6" t="str">
        <f t="shared" si="7"/>
        <v>No</v>
      </c>
      <c r="R207" s="5" t="s">
        <v>51</v>
      </c>
      <c r="S207" s="5"/>
      <c r="T207" s="5"/>
      <c r="U207" s="5" t="s">
        <v>90</v>
      </c>
      <c r="V207" s="5"/>
      <c r="W207" s="5" t="s">
        <v>105</v>
      </c>
      <c r="X207" s="5"/>
      <c r="Y207" s="5"/>
    </row>
    <row r="208" spans="1:25" x14ac:dyDescent="0.25">
      <c r="A208" s="5" t="s">
        <v>755</v>
      </c>
      <c r="B208" s="5"/>
      <c r="C208" s="5" t="s">
        <v>43</v>
      </c>
      <c r="D208" s="5"/>
      <c r="E208" s="5" t="s">
        <v>45</v>
      </c>
      <c r="F208" s="5" t="s">
        <v>46</v>
      </c>
      <c r="G208" s="5" t="s">
        <v>47</v>
      </c>
      <c r="H208" s="5"/>
      <c r="I208" s="5"/>
      <c r="J208" s="5"/>
      <c r="K208" s="5"/>
      <c r="L208" s="5"/>
      <c r="M208" s="5"/>
      <c r="N208" s="5" t="s">
        <v>66</v>
      </c>
      <c r="O208" s="5"/>
      <c r="P208" s="6">
        <f t="shared" si="6"/>
        <v>3</v>
      </c>
      <c r="Q208" s="6" t="str">
        <f t="shared" si="7"/>
        <v>No</v>
      </c>
      <c r="R208" s="5" t="s">
        <v>51</v>
      </c>
      <c r="S208" s="5" t="s">
        <v>756</v>
      </c>
      <c r="T208" s="5" t="s">
        <v>757</v>
      </c>
      <c r="U208" s="5"/>
      <c r="V208" s="5" t="s">
        <v>67</v>
      </c>
      <c r="W208" s="5" t="s">
        <v>43</v>
      </c>
      <c r="X208" s="5" t="s">
        <v>68</v>
      </c>
      <c r="Y208" s="5" t="s">
        <v>394</v>
      </c>
    </row>
    <row r="209" spans="1:25" x14ac:dyDescent="0.25">
      <c r="A209" s="5" t="s">
        <v>758</v>
      </c>
      <c r="B209" s="5"/>
      <c r="C209" s="5" t="s">
        <v>43</v>
      </c>
      <c r="D209" s="5" t="s">
        <v>44</v>
      </c>
      <c r="E209" s="5"/>
      <c r="F209" s="5"/>
      <c r="G209" s="5"/>
      <c r="H209" s="5" t="s">
        <v>495</v>
      </c>
      <c r="I209" s="5" t="s">
        <v>71</v>
      </c>
      <c r="J209" s="5"/>
      <c r="K209" s="5" t="s">
        <v>71</v>
      </c>
      <c r="L209" s="5"/>
      <c r="M209" s="5"/>
      <c r="N209" s="5" t="s">
        <v>50</v>
      </c>
      <c r="O209" s="5"/>
      <c r="P209" s="6">
        <f t="shared" si="6"/>
        <v>3</v>
      </c>
      <c r="Q209" s="6" t="str">
        <f t="shared" si="7"/>
        <v>No</v>
      </c>
      <c r="R209" s="5" t="s">
        <v>51</v>
      </c>
      <c r="S209" s="5"/>
      <c r="T209" s="5"/>
      <c r="U209" s="5" t="s">
        <v>495</v>
      </c>
      <c r="V209" s="5"/>
      <c r="W209" s="5" t="s">
        <v>43</v>
      </c>
      <c r="X209" s="5"/>
      <c r="Y209" s="5" t="s">
        <v>353</v>
      </c>
    </row>
    <row r="210" spans="1:25" x14ac:dyDescent="0.25">
      <c r="A210" s="5" t="s">
        <v>759</v>
      </c>
      <c r="B210" s="5"/>
      <c r="C210" s="5" t="s">
        <v>70</v>
      </c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 t="s">
        <v>50</v>
      </c>
      <c r="O210" s="5"/>
      <c r="P210" s="6">
        <f t="shared" si="6"/>
        <v>0</v>
      </c>
      <c r="Q210" s="6" t="str">
        <f t="shared" si="7"/>
        <v>No</v>
      </c>
      <c r="R210" s="5" t="s">
        <v>51</v>
      </c>
      <c r="S210" s="5"/>
      <c r="T210" s="5"/>
      <c r="U210" s="5"/>
      <c r="V210" s="5"/>
      <c r="W210" s="5"/>
      <c r="X210" s="5"/>
      <c r="Y210" s="5" t="s">
        <v>74</v>
      </c>
    </row>
    <row r="211" spans="1:25" x14ac:dyDescent="0.25">
      <c r="A211" s="5" t="s">
        <v>760</v>
      </c>
      <c r="B211" s="5"/>
      <c r="C211" s="5" t="s">
        <v>43</v>
      </c>
      <c r="D211" s="5" t="s">
        <v>245</v>
      </c>
      <c r="E211" s="5"/>
      <c r="F211" s="5"/>
      <c r="G211" s="5" t="s">
        <v>47</v>
      </c>
      <c r="H211" s="5" t="s">
        <v>246</v>
      </c>
      <c r="I211" s="5" t="s">
        <v>123</v>
      </c>
      <c r="J211" s="5"/>
      <c r="K211" s="5" t="s">
        <v>123</v>
      </c>
      <c r="L211" s="5"/>
      <c r="M211" s="5"/>
      <c r="N211" s="5" t="s">
        <v>50</v>
      </c>
      <c r="O211" s="5"/>
      <c r="P211" s="6">
        <f t="shared" si="6"/>
        <v>4</v>
      </c>
      <c r="Q211" s="6" t="str">
        <f t="shared" si="7"/>
        <v>No</v>
      </c>
      <c r="R211" s="5" t="s">
        <v>51</v>
      </c>
      <c r="S211" s="5"/>
      <c r="T211" s="5" t="s">
        <v>761</v>
      </c>
      <c r="U211" s="5" t="s">
        <v>246</v>
      </c>
      <c r="V211" s="5"/>
      <c r="W211" s="5" t="s">
        <v>43</v>
      </c>
      <c r="X211" s="5"/>
      <c r="Y211" s="5" t="s">
        <v>64</v>
      </c>
    </row>
    <row r="212" spans="1:25" x14ac:dyDescent="0.25">
      <c r="A212" s="5" t="s">
        <v>762</v>
      </c>
      <c r="B212" s="5" t="s">
        <v>763</v>
      </c>
      <c r="C212" s="5" t="s">
        <v>43</v>
      </c>
      <c r="D212" s="5" t="s">
        <v>76</v>
      </c>
      <c r="E212" s="5" t="s">
        <v>45</v>
      </c>
      <c r="F212" s="5" t="s">
        <v>107</v>
      </c>
      <c r="G212" s="5" t="s">
        <v>57</v>
      </c>
      <c r="H212" s="5" t="s">
        <v>58</v>
      </c>
      <c r="I212" s="5" t="s">
        <v>192</v>
      </c>
      <c r="J212" s="5" t="s">
        <v>133</v>
      </c>
      <c r="K212" s="5" t="s">
        <v>764</v>
      </c>
      <c r="L212" s="5"/>
      <c r="M212" s="5"/>
      <c r="N212" s="5" t="s">
        <v>110</v>
      </c>
      <c r="O212" s="5" t="s">
        <v>225</v>
      </c>
      <c r="P212" s="6">
        <f t="shared" si="6"/>
        <v>6</v>
      </c>
      <c r="Q212" s="6" t="str">
        <f t="shared" si="7"/>
        <v>Yes</v>
      </c>
      <c r="R212" s="5" t="s">
        <v>112</v>
      </c>
      <c r="S212" s="5" t="s">
        <v>765</v>
      </c>
      <c r="T212" s="5" t="s">
        <v>766</v>
      </c>
      <c r="U212" s="5" t="s">
        <v>767</v>
      </c>
      <c r="V212" s="5" t="s">
        <v>57</v>
      </c>
      <c r="W212" s="5" t="s">
        <v>43</v>
      </c>
      <c r="X212" s="5" t="s">
        <v>390</v>
      </c>
      <c r="Y212" s="5" t="s">
        <v>435</v>
      </c>
    </row>
    <row r="213" spans="1:25" x14ac:dyDescent="0.25">
      <c r="A213" s="5" t="s">
        <v>768</v>
      </c>
      <c r="B213" s="5"/>
      <c r="C213" s="5" t="s">
        <v>70</v>
      </c>
      <c r="D213" s="5" t="s">
        <v>245</v>
      </c>
      <c r="E213" s="5"/>
      <c r="F213" s="5"/>
      <c r="G213" s="5"/>
      <c r="H213" s="5"/>
      <c r="I213" s="5" t="s">
        <v>49</v>
      </c>
      <c r="J213" s="5"/>
      <c r="K213" s="5" t="s">
        <v>49</v>
      </c>
      <c r="L213" s="5"/>
      <c r="M213" s="5"/>
      <c r="N213" s="5" t="s">
        <v>124</v>
      </c>
      <c r="O213" s="5"/>
      <c r="P213" s="6">
        <f t="shared" si="6"/>
        <v>2</v>
      </c>
      <c r="Q213" s="6" t="str">
        <f t="shared" si="7"/>
        <v>No</v>
      </c>
      <c r="R213" s="5" t="s">
        <v>125</v>
      </c>
      <c r="S213" s="5"/>
      <c r="T213" s="5"/>
      <c r="U213" s="5"/>
      <c r="V213" s="5"/>
      <c r="W213" s="5"/>
      <c r="X213" s="5"/>
      <c r="Y213" s="5" t="s">
        <v>555</v>
      </c>
    </row>
    <row r="214" spans="1:25" x14ac:dyDescent="0.25">
      <c r="A214" s="5" t="s">
        <v>769</v>
      </c>
      <c r="B214" s="5" t="s">
        <v>770</v>
      </c>
      <c r="C214" s="5" t="s">
        <v>43</v>
      </c>
      <c r="D214" s="5" t="s">
        <v>76</v>
      </c>
      <c r="E214" s="5" t="s">
        <v>45</v>
      </c>
      <c r="F214" s="5" t="s">
        <v>107</v>
      </c>
      <c r="G214" s="5" t="s">
        <v>57</v>
      </c>
      <c r="H214" s="5" t="s">
        <v>83</v>
      </c>
      <c r="I214" s="5" t="s">
        <v>72</v>
      </c>
      <c r="J214" s="5" t="s">
        <v>771</v>
      </c>
      <c r="K214" s="5" t="s">
        <v>772</v>
      </c>
      <c r="L214" s="5"/>
      <c r="M214" s="5"/>
      <c r="N214" s="5" t="s">
        <v>110</v>
      </c>
      <c r="O214" s="5" t="s">
        <v>225</v>
      </c>
      <c r="P214" s="6">
        <f t="shared" si="6"/>
        <v>6</v>
      </c>
      <c r="Q214" s="6" t="str">
        <f t="shared" si="7"/>
        <v>Yes</v>
      </c>
      <c r="R214" s="5" t="s">
        <v>112</v>
      </c>
      <c r="S214" s="5" t="s">
        <v>773</v>
      </c>
      <c r="T214" s="5" t="s">
        <v>774</v>
      </c>
      <c r="U214" s="5" t="s">
        <v>775</v>
      </c>
      <c r="V214" s="5" t="s">
        <v>57</v>
      </c>
      <c r="W214" s="5" t="s">
        <v>43</v>
      </c>
      <c r="X214" s="5" t="s">
        <v>87</v>
      </c>
      <c r="Y214" s="5" t="s">
        <v>117</v>
      </c>
    </row>
    <row r="215" spans="1:25" x14ac:dyDescent="0.25">
      <c r="A215" s="5" t="s">
        <v>776</v>
      </c>
      <c r="B215" s="5"/>
      <c r="C215" s="5" t="s">
        <v>70</v>
      </c>
      <c r="D215" s="5" t="s">
        <v>76</v>
      </c>
      <c r="E215" s="5"/>
      <c r="F215" s="5"/>
      <c r="G215" s="5" t="s">
        <v>57</v>
      </c>
      <c r="H215" s="5"/>
      <c r="I215" s="5"/>
      <c r="J215" s="5"/>
      <c r="K215" s="5"/>
      <c r="L215" s="5"/>
      <c r="M215" s="5"/>
      <c r="N215" s="5" t="s">
        <v>124</v>
      </c>
      <c r="O215" s="5"/>
      <c r="P215" s="6">
        <f t="shared" si="6"/>
        <v>2</v>
      </c>
      <c r="Q215" s="6" t="str">
        <f t="shared" si="7"/>
        <v>No</v>
      </c>
      <c r="R215" s="5" t="s">
        <v>125</v>
      </c>
      <c r="S215" s="5"/>
      <c r="T215" s="5"/>
      <c r="U215" s="5"/>
      <c r="V215" s="5" t="s">
        <v>57</v>
      </c>
      <c r="W215" s="5"/>
      <c r="X215" s="5"/>
      <c r="Y215" s="5" t="s">
        <v>126</v>
      </c>
    </row>
    <row r="216" spans="1:25" x14ac:dyDescent="0.25">
      <c r="A216" s="5" t="s">
        <v>777</v>
      </c>
      <c r="B216" s="5"/>
      <c r="C216" s="5" t="s">
        <v>70</v>
      </c>
      <c r="D216" s="5" t="s">
        <v>76</v>
      </c>
      <c r="E216" s="5"/>
      <c r="F216" s="5"/>
      <c r="G216" s="5"/>
      <c r="H216" s="5" t="s">
        <v>596</v>
      </c>
      <c r="I216" s="5"/>
      <c r="J216" s="5"/>
      <c r="K216" s="5"/>
      <c r="L216" s="5"/>
      <c r="M216" s="5"/>
      <c r="N216" s="5" t="s">
        <v>50</v>
      </c>
      <c r="O216" s="5"/>
      <c r="P216" s="6">
        <f t="shared" si="6"/>
        <v>2</v>
      </c>
      <c r="Q216" s="6" t="str">
        <f t="shared" si="7"/>
        <v>No</v>
      </c>
      <c r="R216" s="5" t="s">
        <v>51</v>
      </c>
      <c r="S216" s="5"/>
      <c r="T216" s="5"/>
      <c r="U216" s="5" t="s">
        <v>778</v>
      </c>
      <c r="V216" s="5"/>
      <c r="W216" s="5"/>
      <c r="X216" s="5"/>
      <c r="Y216" s="5" t="s">
        <v>189</v>
      </c>
    </row>
    <row r="217" spans="1:25" x14ac:dyDescent="0.25">
      <c r="A217" s="5" t="s">
        <v>779</v>
      </c>
      <c r="B217" s="5"/>
      <c r="C217" s="5" t="s">
        <v>43</v>
      </c>
      <c r="D217" s="5" t="s">
        <v>76</v>
      </c>
      <c r="E217" s="5" t="s">
        <v>45</v>
      </c>
      <c r="F217" s="5" t="s">
        <v>46</v>
      </c>
      <c r="G217" s="5"/>
      <c r="H217" s="5" t="s">
        <v>83</v>
      </c>
      <c r="I217" s="5" t="s">
        <v>91</v>
      </c>
      <c r="J217" s="5" t="s">
        <v>78</v>
      </c>
      <c r="K217" s="5" t="s">
        <v>780</v>
      </c>
      <c r="L217" s="5"/>
      <c r="M217" s="5"/>
      <c r="N217" s="5" t="s">
        <v>50</v>
      </c>
      <c r="O217" s="5"/>
      <c r="P217" s="6">
        <f t="shared" si="6"/>
        <v>5</v>
      </c>
      <c r="Q217" s="6" t="str">
        <f t="shared" si="7"/>
        <v>No</v>
      </c>
      <c r="R217" s="5" t="s">
        <v>51</v>
      </c>
      <c r="S217" s="5" t="s">
        <v>781</v>
      </c>
      <c r="T217" s="5" t="s">
        <v>782</v>
      </c>
      <c r="U217" s="5" t="s">
        <v>83</v>
      </c>
      <c r="V217" s="5"/>
      <c r="W217" s="5" t="s">
        <v>43</v>
      </c>
      <c r="X217" s="5"/>
      <c r="Y217" s="5" t="s">
        <v>783</v>
      </c>
    </row>
    <row r="218" spans="1:25" x14ac:dyDescent="0.25">
      <c r="A218" s="5" t="s">
        <v>784</v>
      </c>
      <c r="B218" s="5"/>
      <c r="C218" s="5" t="s">
        <v>43</v>
      </c>
      <c r="D218" s="5"/>
      <c r="E218" s="5" t="s">
        <v>45</v>
      </c>
      <c r="F218" s="5" t="s">
        <v>46</v>
      </c>
      <c r="G218" s="5" t="s">
        <v>47</v>
      </c>
      <c r="H218" s="5"/>
      <c r="I218" s="5"/>
      <c r="J218" s="5"/>
      <c r="K218" s="5"/>
      <c r="L218" s="5"/>
      <c r="M218" s="5"/>
      <c r="N218" s="5" t="s">
        <v>66</v>
      </c>
      <c r="O218" s="5"/>
      <c r="P218" s="6">
        <f t="shared" si="6"/>
        <v>3</v>
      </c>
      <c r="Q218" s="6" t="str">
        <f t="shared" si="7"/>
        <v>No</v>
      </c>
      <c r="R218" s="5" t="s">
        <v>51</v>
      </c>
      <c r="S218" s="5" t="s">
        <v>785</v>
      </c>
      <c r="T218" s="5"/>
      <c r="U218" s="5"/>
      <c r="V218" s="5" t="s">
        <v>67</v>
      </c>
      <c r="W218" s="5" t="s">
        <v>43</v>
      </c>
      <c r="X218" s="5" t="s">
        <v>68</v>
      </c>
      <c r="Y218" s="5" t="s">
        <v>394</v>
      </c>
    </row>
    <row r="219" spans="1:25" x14ac:dyDescent="0.25">
      <c r="A219" s="5" t="s">
        <v>786</v>
      </c>
      <c r="B219" s="5"/>
      <c r="C219" s="5" t="s">
        <v>128</v>
      </c>
      <c r="D219" s="5"/>
      <c r="E219" s="5"/>
      <c r="F219" s="5"/>
      <c r="G219" s="5" t="s">
        <v>57</v>
      </c>
      <c r="H219" s="5" t="s">
        <v>787</v>
      </c>
      <c r="I219" s="5"/>
      <c r="J219" s="5"/>
      <c r="K219" s="5"/>
      <c r="L219" s="5"/>
      <c r="M219" s="5"/>
      <c r="N219" s="5" t="s">
        <v>66</v>
      </c>
      <c r="O219" s="5"/>
      <c r="P219" s="6">
        <f t="shared" si="6"/>
        <v>2</v>
      </c>
      <c r="Q219" s="6" t="str">
        <f t="shared" si="7"/>
        <v>No</v>
      </c>
      <c r="R219" s="5" t="s">
        <v>51</v>
      </c>
      <c r="S219" s="5"/>
      <c r="T219" s="5"/>
      <c r="U219" s="5" t="s">
        <v>787</v>
      </c>
      <c r="V219" s="5" t="s">
        <v>57</v>
      </c>
      <c r="W219" s="5" t="s">
        <v>128</v>
      </c>
      <c r="X219" s="5" t="s">
        <v>250</v>
      </c>
      <c r="Y219" s="5"/>
    </row>
    <row r="220" spans="1:25" x14ac:dyDescent="0.25">
      <c r="A220" s="5" t="s">
        <v>788</v>
      </c>
      <c r="B220" s="5"/>
      <c r="C220" s="5" t="s">
        <v>43</v>
      </c>
      <c r="D220" s="5" t="s">
        <v>76</v>
      </c>
      <c r="E220" s="5" t="s">
        <v>45</v>
      </c>
      <c r="F220" s="5" t="s">
        <v>107</v>
      </c>
      <c r="G220" s="5"/>
      <c r="H220" s="5" t="s">
        <v>83</v>
      </c>
      <c r="I220" s="5" t="s">
        <v>78</v>
      </c>
      <c r="J220" s="5"/>
      <c r="K220" s="5" t="s">
        <v>78</v>
      </c>
      <c r="L220" s="5"/>
      <c r="M220" s="5"/>
      <c r="N220" s="5" t="s">
        <v>66</v>
      </c>
      <c r="O220" s="5"/>
      <c r="P220" s="6">
        <f t="shared" si="6"/>
        <v>5</v>
      </c>
      <c r="Q220" s="6" t="str">
        <f t="shared" si="7"/>
        <v>No</v>
      </c>
      <c r="R220" s="5" t="s">
        <v>51</v>
      </c>
      <c r="S220" s="5" t="s">
        <v>789</v>
      </c>
      <c r="T220" s="5" t="s">
        <v>790</v>
      </c>
      <c r="U220" s="5" t="s">
        <v>83</v>
      </c>
      <c r="V220" s="5"/>
      <c r="W220" s="5" t="s">
        <v>43</v>
      </c>
      <c r="X220" s="5"/>
      <c r="Y220" s="5" t="s">
        <v>88</v>
      </c>
    </row>
    <row r="221" spans="1:25" x14ac:dyDescent="0.25">
      <c r="A221" s="5" t="s">
        <v>791</v>
      </c>
      <c r="B221" s="5"/>
      <c r="C221" s="5"/>
      <c r="D221" s="5"/>
      <c r="E221" s="5"/>
      <c r="F221" s="5"/>
      <c r="G221" s="5"/>
      <c r="H221" s="5"/>
      <c r="I221" s="5" t="s">
        <v>71</v>
      </c>
      <c r="J221" s="5" t="s">
        <v>91</v>
      </c>
      <c r="K221" s="5" t="s">
        <v>537</v>
      </c>
      <c r="L221" s="5"/>
      <c r="M221" s="5"/>
      <c r="N221" s="5" t="s">
        <v>66</v>
      </c>
      <c r="O221" s="5"/>
      <c r="P221" s="6">
        <f t="shared" si="6"/>
        <v>1</v>
      </c>
      <c r="Q221" s="6" t="str">
        <f t="shared" si="7"/>
        <v>No</v>
      </c>
      <c r="R221" s="5" t="s">
        <v>51</v>
      </c>
      <c r="S221" s="5"/>
      <c r="T221" s="5" t="s">
        <v>792</v>
      </c>
      <c r="U221" s="5"/>
      <c r="V221" s="5"/>
      <c r="W221" s="5"/>
      <c r="X221" s="5"/>
      <c r="Y221" s="5"/>
    </row>
    <row r="222" spans="1:25" x14ac:dyDescent="0.25">
      <c r="A222" s="5" t="s">
        <v>793</v>
      </c>
      <c r="B222" s="5"/>
      <c r="C222" s="5" t="s">
        <v>70</v>
      </c>
      <c r="D222" s="5"/>
      <c r="E222" s="5"/>
      <c r="F222" s="5"/>
      <c r="G222" s="5" t="s">
        <v>47</v>
      </c>
      <c r="H222" s="5"/>
      <c r="I222" s="5"/>
      <c r="J222" s="5"/>
      <c r="K222" s="5"/>
      <c r="L222" s="5"/>
      <c r="M222" s="5"/>
      <c r="N222" s="5" t="s">
        <v>50</v>
      </c>
      <c r="O222" s="5"/>
      <c r="P222" s="6">
        <f t="shared" si="6"/>
        <v>1</v>
      </c>
      <c r="Q222" s="6" t="str">
        <f t="shared" si="7"/>
        <v>No</v>
      </c>
      <c r="R222" s="5" t="s">
        <v>51</v>
      </c>
      <c r="S222" s="5"/>
      <c r="T222" s="5"/>
      <c r="U222" s="5"/>
      <c r="V222" s="5"/>
      <c r="W222" s="5"/>
      <c r="X222" s="5"/>
      <c r="Y222" s="5" t="s">
        <v>257</v>
      </c>
    </row>
    <row r="223" spans="1:25" x14ac:dyDescent="0.25">
      <c r="A223" s="5" t="s">
        <v>794</v>
      </c>
      <c r="B223" s="5"/>
      <c r="C223" s="5" t="s">
        <v>43</v>
      </c>
      <c r="D223" s="5" t="s">
        <v>44</v>
      </c>
      <c r="E223" s="5" t="s">
        <v>45</v>
      </c>
      <c r="F223" s="5" t="s">
        <v>46</v>
      </c>
      <c r="G223" s="5" t="s">
        <v>47</v>
      </c>
      <c r="H223" s="5" t="s">
        <v>314</v>
      </c>
      <c r="I223" s="5" t="s">
        <v>91</v>
      </c>
      <c r="J223" s="5"/>
      <c r="K223" s="5" t="s">
        <v>91</v>
      </c>
      <c r="L223" s="5"/>
      <c r="M223" s="5"/>
      <c r="N223" s="5" t="s">
        <v>66</v>
      </c>
      <c r="O223" s="5"/>
      <c r="P223" s="6">
        <f t="shared" si="6"/>
        <v>6</v>
      </c>
      <c r="Q223" s="6" t="str">
        <f t="shared" si="7"/>
        <v>Yes</v>
      </c>
      <c r="R223" s="5" t="s">
        <v>51</v>
      </c>
      <c r="S223" s="5" t="s">
        <v>795</v>
      </c>
      <c r="T223" s="5" t="s">
        <v>796</v>
      </c>
      <c r="U223" s="5" t="s">
        <v>317</v>
      </c>
      <c r="V223" s="5" t="s">
        <v>588</v>
      </c>
      <c r="W223" s="5" t="s">
        <v>43</v>
      </c>
      <c r="X223" s="5"/>
      <c r="Y223" s="5" t="s">
        <v>243</v>
      </c>
    </row>
    <row r="224" spans="1:25" x14ac:dyDescent="0.25">
      <c r="A224" s="5" t="s">
        <v>797</v>
      </c>
      <c r="B224" s="5"/>
      <c r="C224" s="5" t="s">
        <v>70</v>
      </c>
      <c r="D224" s="5" t="s">
        <v>76</v>
      </c>
      <c r="E224" s="5"/>
      <c r="F224" s="5"/>
      <c r="G224" s="5"/>
      <c r="H224" s="5" t="s">
        <v>83</v>
      </c>
      <c r="I224" s="5"/>
      <c r="J224" s="5"/>
      <c r="K224" s="5"/>
      <c r="L224" s="5"/>
      <c r="M224" s="5"/>
      <c r="N224" s="5" t="s">
        <v>50</v>
      </c>
      <c r="O224" s="5"/>
      <c r="P224" s="6">
        <f t="shared" si="6"/>
        <v>2</v>
      </c>
      <c r="Q224" s="6" t="str">
        <f t="shared" si="7"/>
        <v>No</v>
      </c>
      <c r="R224" s="5" t="s">
        <v>51</v>
      </c>
      <c r="S224" s="5"/>
      <c r="T224" s="5"/>
      <c r="U224" s="5" t="s">
        <v>83</v>
      </c>
      <c r="V224" s="5"/>
      <c r="W224" s="5"/>
      <c r="X224" s="5"/>
      <c r="Y224" s="5" t="s">
        <v>189</v>
      </c>
    </row>
    <row r="225" spans="1:25" x14ac:dyDescent="0.25">
      <c r="A225" s="5" t="s">
        <v>798</v>
      </c>
      <c r="B225" s="5"/>
      <c r="C225" s="5" t="s">
        <v>43</v>
      </c>
      <c r="D225" s="5"/>
      <c r="E225" s="5" t="s">
        <v>332</v>
      </c>
      <c r="F225" s="5" t="s">
        <v>46</v>
      </c>
      <c r="G225" s="5"/>
      <c r="H225" s="5" t="s">
        <v>664</v>
      </c>
      <c r="I225" s="5" t="s">
        <v>119</v>
      </c>
      <c r="J225" s="5"/>
      <c r="K225" s="5" t="s">
        <v>119</v>
      </c>
      <c r="L225" s="5"/>
      <c r="M225" s="5"/>
      <c r="N225" s="5" t="s">
        <v>50</v>
      </c>
      <c r="O225" s="5"/>
      <c r="P225" s="6">
        <f t="shared" si="6"/>
        <v>4</v>
      </c>
      <c r="Q225" s="6" t="str">
        <f t="shared" si="7"/>
        <v>No</v>
      </c>
      <c r="R225" s="5" t="s">
        <v>51</v>
      </c>
      <c r="S225" s="5" t="s">
        <v>799</v>
      </c>
      <c r="T225" s="5" t="s">
        <v>800</v>
      </c>
      <c r="U225" s="5" t="s">
        <v>664</v>
      </c>
      <c r="V225" s="5"/>
      <c r="W225" s="5" t="s">
        <v>43</v>
      </c>
      <c r="X225" s="5" t="s">
        <v>677</v>
      </c>
      <c r="Y225" s="5" t="s">
        <v>801</v>
      </c>
    </row>
    <row r="226" spans="1:25" x14ac:dyDescent="0.25">
      <c r="A226" s="5" t="s">
        <v>802</v>
      </c>
      <c r="B226" s="5"/>
      <c r="C226" s="5" t="s">
        <v>43</v>
      </c>
      <c r="D226" s="5" t="s">
        <v>44</v>
      </c>
      <c r="E226" s="5" t="s">
        <v>45</v>
      </c>
      <c r="F226" s="5" t="s">
        <v>46</v>
      </c>
      <c r="G226" s="5" t="s">
        <v>47</v>
      </c>
      <c r="H226" s="5" t="s">
        <v>272</v>
      </c>
      <c r="I226" s="5" t="s">
        <v>91</v>
      </c>
      <c r="J226" s="5" t="s">
        <v>803</v>
      </c>
      <c r="K226" s="5" t="s">
        <v>804</v>
      </c>
      <c r="L226" s="5"/>
      <c r="M226" s="5"/>
      <c r="N226" s="5" t="s">
        <v>110</v>
      </c>
      <c r="O226" s="5" t="s">
        <v>805</v>
      </c>
      <c r="P226" s="6">
        <f t="shared" si="6"/>
        <v>6</v>
      </c>
      <c r="Q226" s="6" t="str">
        <f t="shared" si="7"/>
        <v>Yes</v>
      </c>
      <c r="R226" s="5" t="s">
        <v>112</v>
      </c>
      <c r="S226" s="5" t="s">
        <v>806</v>
      </c>
      <c r="T226" s="5" t="s">
        <v>807</v>
      </c>
      <c r="U226" s="5" t="s">
        <v>272</v>
      </c>
      <c r="V226" s="5" t="s">
        <v>808</v>
      </c>
      <c r="W226" s="5" t="s">
        <v>43</v>
      </c>
      <c r="X226" s="5" t="s">
        <v>276</v>
      </c>
      <c r="Y226" s="5" t="s">
        <v>55</v>
      </c>
    </row>
    <row r="227" spans="1:25" x14ac:dyDescent="0.25">
      <c r="A227" s="5" t="s">
        <v>809</v>
      </c>
      <c r="B227" s="5"/>
      <c r="C227" s="5"/>
      <c r="D227" s="5"/>
      <c r="E227" s="5" t="s">
        <v>45</v>
      </c>
      <c r="F227" s="5" t="s">
        <v>46</v>
      </c>
      <c r="G227" s="5"/>
      <c r="H227" s="5" t="s">
        <v>77</v>
      </c>
      <c r="I227" s="5" t="s">
        <v>71</v>
      </c>
      <c r="J227" s="5" t="s">
        <v>810</v>
      </c>
      <c r="K227" s="5" t="s">
        <v>811</v>
      </c>
      <c r="L227" s="5"/>
      <c r="M227" s="5"/>
      <c r="N227" s="5" t="s">
        <v>66</v>
      </c>
      <c r="O227" s="5" t="s">
        <v>103</v>
      </c>
      <c r="P227" s="6">
        <f t="shared" si="6"/>
        <v>4</v>
      </c>
      <c r="Q227" s="6" t="str">
        <f t="shared" si="7"/>
        <v>No</v>
      </c>
      <c r="R227" s="5" t="s">
        <v>51</v>
      </c>
      <c r="S227" s="5" t="s">
        <v>812</v>
      </c>
      <c r="T227" s="5" t="s">
        <v>813</v>
      </c>
      <c r="U227" s="5" t="s">
        <v>77</v>
      </c>
      <c r="V227" s="5"/>
      <c r="W227" s="5" t="s">
        <v>105</v>
      </c>
      <c r="X227" s="5"/>
      <c r="Y227" s="5" t="s">
        <v>167</v>
      </c>
    </row>
    <row r="228" spans="1:25" x14ac:dyDescent="0.25">
      <c r="A228" s="5" t="s">
        <v>814</v>
      </c>
      <c r="B228" s="5"/>
      <c r="C228" s="5" t="s">
        <v>43</v>
      </c>
      <c r="D228" s="5"/>
      <c r="E228" s="5" t="s">
        <v>332</v>
      </c>
      <c r="F228" s="5"/>
      <c r="G228" s="5"/>
      <c r="H228" s="5" t="s">
        <v>333</v>
      </c>
      <c r="I228" s="5" t="s">
        <v>91</v>
      </c>
      <c r="J228" s="5"/>
      <c r="K228" s="5" t="s">
        <v>91</v>
      </c>
      <c r="L228" s="5"/>
      <c r="M228" s="5"/>
      <c r="N228" s="5" t="s">
        <v>50</v>
      </c>
      <c r="O228" s="5" t="s">
        <v>225</v>
      </c>
      <c r="P228" s="6">
        <f t="shared" si="6"/>
        <v>3</v>
      </c>
      <c r="Q228" s="6" t="str">
        <f t="shared" si="7"/>
        <v>No</v>
      </c>
      <c r="R228" s="5" t="s">
        <v>51</v>
      </c>
      <c r="S228" s="5"/>
      <c r="T228" s="5" t="s">
        <v>815</v>
      </c>
      <c r="U228" s="5" t="s">
        <v>752</v>
      </c>
      <c r="V228" s="5"/>
      <c r="W228" s="5" t="s">
        <v>43</v>
      </c>
      <c r="X228" s="5"/>
      <c r="Y228" s="5" t="s">
        <v>816</v>
      </c>
    </row>
    <row r="229" spans="1:25" x14ac:dyDescent="0.25">
      <c r="A229" s="5" t="s">
        <v>817</v>
      </c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 t="s">
        <v>66</v>
      </c>
      <c r="O229" s="5"/>
      <c r="P229" s="6">
        <f t="shared" si="6"/>
        <v>0</v>
      </c>
      <c r="Q229" s="6" t="str">
        <f t="shared" si="7"/>
        <v>No</v>
      </c>
      <c r="R229" s="5" t="s">
        <v>51</v>
      </c>
      <c r="S229" s="5"/>
      <c r="T229" s="5" t="s">
        <v>818</v>
      </c>
      <c r="U229" s="5"/>
      <c r="V229" s="5"/>
      <c r="W229" s="5"/>
      <c r="X229" s="5"/>
      <c r="Y229" s="5"/>
    </row>
    <row r="230" spans="1:25" x14ac:dyDescent="0.25">
      <c r="A230" s="5" t="s">
        <v>819</v>
      </c>
      <c r="B230" s="5"/>
      <c r="C230" s="5" t="s">
        <v>70</v>
      </c>
      <c r="D230" s="5" t="s">
        <v>44</v>
      </c>
      <c r="E230" s="5"/>
      <c r="F230" s="5"/>
      <c r="G230" s="5" t="s">
        <v>47</v>
      </c>
      <c r="H230" s="5" t="s">
        <v>314</v>
      </c>
      <c r="I230" s="5" t="s">
        <v>72</v>
      </c>
      <c r="J230" s="5" t="s">
        <v>820</v>
      </c>
      <c r="K230" s="5" t="s">
        <v>821</v>
      </c>
      <c r="L230" s="5"/>
      <c r="M230" s="5"/>
      <c r="N230" s="5" t="s">
        <v>124</v>
      </c>
      <c r="O230" s="5"/>
      <c r="P230" s="6">
        <f t="shared" si="6"/>
        <v>4</v>
      </c>
      <c r="Q230" s="6" t="str">
        <f t="shared" si="7"/>
        <v>No</v>
      </c>
      <c r="R230" s="5" t="s">
        <v>125</v>
      </c>
      <c r="S230" s="5" t="s">
        <v>138</v>
      </c>
      <c r="T230" s="5"/>
      <c r="U230" s="5" t="s">
        <v>822</v>
      </c>
      <c r="V230" s="5" t="s">
        <v>47</v>
      </c>
      <c r="W230" s="5"/>
      <c r="X230" s="5"/>
      <c r="Y230" s="5" t="s">
        <v>286</v>
      </c>
    </row>
    <row r="231" spans="1:25" x14ac:dyDescent="0.25">
      <c r="A231" s="5" t="s">
        <v>823</v>
      </c>
      <c r="B231" s="5"/>
      <c r="C231" s="5" t="s">
        <v>43</v>
      </c>
      <c r="D231" s="5" t="s">
        <v>76</v>
      </c>
      <c r="E231" s="5"/>
      <c r="F231" s="5"/>
      <c r="G231" s="5" t="s">
        <v>47</v>
      </c>
      <c r="H231" s="5" t="s">
        <v>149</v>
      </c>
      <c r="I231" s="5"/>
      <c r="J231" s="5"/>
      <c r="K231" s="5"/>
      <c r="L231" s="5"/>
      <c r="M231" s="5"/>
      <c r="N231" s="5" t="s">
        <v>50</v>
      </c>
      <c r="O231" s="5"/>
      <c r="P231" s="6">
        <f t="shared" si="6"/>
        <v>3</v>
      </c>
      <c r="Q231" s="6" t="str">
        <f t="shared" si="7"/>
        <v>No</v>
      </c>
      <c r="R231" s="5" t="s">
        <v>51</v>
      </c>
      <c r="S231" s="5"/>
      <c r="T231" s="5"/>
      <c r="U231" s="5"/>
      <c r="V231" s="5" t="s">
        <v>67</v>
      </c>
      <c r="W231" s="5" t="s">
        <v>43</v>
      </c>
      <c r="X231" s="5" t="s">
        <v>68</v>
      </c>
      <c r="Y231" s="5" t="s">
        <v>150</v>
      </c>
    </row>
    <row r="232" spans="1:25" x14ac:dyDescent="0.25">
      <c r="A232" s="5" t="s">
        <v>824</v>
      </c>
      <c r="B232" s="5"/>
      <c r="C232" s="5" t="s">
        <v>43</v>
      </c>
      <c r="D232" s="5" t="s">
        <v>76</v>
      </c>
      <c r="E232" s="5" t="s">
        <v>45</v>
      </c>
      <c r="F232" s="5" t="s">
        <v>46</v>
      </c>
      <c r="G232" s="5"/>
      <c r="H232" s="5" t="s">
        <v>149</v>
      </c>
      <c r="I232" s="5"/>
      <c r="J232" s="5"/>
      <c r="K232" s="5"/>
      <c r="L232" s="5"/>
      <c r="M232" s="5"/>
      <c r="N232" s="5" t="s">
        <v>50</v>
      </c>
      <c r="O232" s="5"/>
      <c r="P232" s="6">
        <f t="shared" si="6"/>
        <v>4</v>
      </c>
      <c r="Q232" s="6" t="str">
        <f t="shared" si="7"/>
        <v>No</v>
      </c>
      <c r="R232" s="5" t="s">
        <v>51</v>
      </c>
      <c r="S232" s="5" t="s">
        <v>825</v>
      </c>
      <c r="T232" s="5" t="s">
        <v>826</v>
      </c>
      <c r="U232" s="5" t="s">
        <v>149</v>
      </c>
      <c r="V232" s="5"/>
      <c r="W232" s="5" t="s">
        <v>43</v>
      </c>
      <c r="X232" s="5" t="s">
        <v>68</v>
      </c>
      <c r="Y232" s="5" t="s">
        <v>827</v>
      </c>
    </row>
    <row r="233" spans="1:25" x14ac:dyDescent="0.25">
      <c r="A233" s="5" t="s">
        <v>828</v>
      </c>
      <c r="B233" s="5"/>
      <c r="C233" s="5" t="s">
        <v>43</v>
      </c>
      <c r="D233" s="5"/>
      <c r="E233" s="5"/>
      <c r="F233" s="5"/>
      <c r="G233" s="5" t="s">
        <v>47</v>
      </c>
      <c r="H233" s="5"/>
      <c r="I233" s="5"/>
      <c r="J233" s="5"/>
      <c r="K233" s="5"/>
      <c r="L233" s="5"/>
      <c r="M233" s="5"/>
      <c r="N233" s="5" t="s">
        <v>50</v>
      </c>
      <c r="O233" s="5"/>
      <c r="P233" s="6">
        <f t="shared" si="6"/>
        <v>1</v>
      </c>
      <c r="Q233" s="6" t="str">
        <f t="shared" si="7"/>
        <v>No</v>
      </c>
      <c r="R233" s="5" t="s">
        <v>51</v>
      </c>
      <c r="S233" s="5"/>
      <c r="T233" s="5"/>
      <c r="U233" s="5"/>
      <c r="V233" s="5"/>
      <c r="W233" s="5" t="s">
        <v>43</v>
      </c>
      <c r="X233" s="5" t="s">
        <v>68</v>
      </c>
      <c r="Y233" s="5" t="s">
        <v>549</v>
      </c>
    </row>
    <row r="234" spans="1:25" x14ac:dyDescent="0.25">
      <c r="A234" s="5" t="s">
        <v>829</v>
      </c>
      <c r="B234" s="5"/>
      <c r="C234" s="5" t="s">
        <v>43</v>
      </c>
      <c r="D234" s="5" t="s">
        <v>44</v>
      </c>
      <c r="E234" s="5" t="s">
        <v>45</v>
      </c>
      <c r="F234" s="5" t="s">
        <v>46</v>
      </c>
      <c r="G234" s="5" t="s">
        <v>47</v>
      </c>
      <c r="H234" s="5" t="s">
        <v>314</v>
      </c>
      <c r="I234" s="5" t="s">
        <v>72</v>
      </c>
      <c r="J234" s="5" t="s">
        <v>133</v>
      </c>
      <c r="K234" s="5" t="s">
        <v>830</v>
      </c>
      <c r="L234" s="5"/>
      <c r="M234" s="5"/>
      <c r="N234" s="5" t="s">
        <v>66</v>
      </c>
      <c r="O234" s="5"/>
      <c r="P234" s="6">
        <f t="shared" si="6"/>
        <v>6</v>
      </c>
      <c r="Q234" s="6" t="str">
        <f t="shared" si="7"/>
        <v>Yes</v>
      </c>
      <c r="R234" s="5" t="s">
        <v>51</v>
      </c>
      <c r="S234" s="5"/>
      <c r="T234" s="5" t="s">
        <v>831</v>
      </c>
      <c r="U234" s="5" t="s">
        <v>317</v>
      </c>
      <c r="V234" s="5" t="s">
        <v>374</v>
      </c>
      <c r="W234" s="5" t="s">
        <v>43</v>
      </c>
      <c r="X234" s="5"/>
      <c r="Y234" s="5" t="s">
        <v>88</v>
      </c>
    </row>
    <row r="235" spans="1:25" x14ac:dyDescent="0.25">
      <c r="A235" s="5" t="s">
        <v>832</v>
      </c>
      <c r="B235" s="5"/>
      <c r="C235" s="5" t="s">
        <v>43</v>
      </c>
      <c r="D235" s="5" t="s">
        <v>44</v>
      </c>
      <c r="E235" s="5" t="s">
        <v>45</v>
      </c>
      <c r="F235" s="5" t="s">
        <v>46</v>
      </c>
      <c r="G235" s="5" t="s">
        <v>47</v>
      </c>
      <c r="H235" s="5" t="s">
        <v>58</v>
      </c>
      <c r="I235" s="5" t="s">
        <v>192</v>
      </c>
      <c r="J235" s="5"/>
      <c r="K235" s="5" t="s">
        <v>192</v>
      </c>
      <c r="L235" s="5"/>
      <c r="M235" s="5"/>
      <c r="N235" s="5" t="s">
        <v>66</v>
      </c>
      <c r="O235" s="5"/>
      <c r="P235" s="6">
        <f t="shared" si="6"/>
        <v>6</v>
      </c>
      <c r="Q235" s="6" t="str">
        <f t="shared" si="7"/>
        <v>Yes</v>
      </c>
      <c r="R235" s="5" t="s">
        <v>51</v>
      </c>
      <c r="S235" s="5" t="s">
        <v>833</v>
      </c>
      <c r="T235" s="5" t="s">
        <v>834</v>
      </c>
      <c r="U235" s="5" t="s">
        <v>63</v>
      </c>
      <c r="V235" s="5" t="s">
        <v>835</v>
      </c>
      <c r="W235" s="5" t="s">
        <v>43</v>
      </c>
      <c r="X235" s="5" t="s">
        <v>836</v>
      </c>
      <c r="Y235" s="5" t="s">
        <v>88</v>
      </c>
    </row>
    <row r="236" spans="1:25" x14ac:dyDescent="0.25">
      <c r="A236" s="5" t="s">
        <v>837</v>
      </c>
      <c r="B236" s="5"/>
      <c r="C236" s="5"/>
      <c r="D236" s="5"/>
      <c r="E236" s="5"/>
      <c r="F236" s="5" t="s">
        <v>107</v>
      </c>
      <c r="G236" s="5"/>
      <c r="H236" s="5" t="s">
        <v>96</v>
      </c>
      <c r="I236" s="5"/>
      <c r="J236" s="5"/>
      <c r="K236" s="5"/>
      <c r="L236" s="5"/>
      <c r="M236" s="5"/>
      <c r="N236" s="5" t="s">
        <v>66</v>
      </c>
      <c r="O236" s="5"/>
      <c r="P236" s="6">
        <f t="shared" si="6"/>
        <v>2</v>
      </c>
      <c r="Q236" s="6" t="str">
        <f t="shared" si="7"/>
        <v>No</v>
      </c>
      <c r="R236" s="5" t="s">
        <v>51</v>
      </c>
      <c r="S236" s="5"/>
      <c r="T236" s="5" t="s">
        <v>838</v>
      </c>
      <c r="U236" s="5" t="s">
        <v>99</v>
      </c>
      <c r="V236" s="5"/>
      <c r="W236" s="5"/>
      <c r="X236" s="5"/>
      <c r="Y236" s="5" t="s">
        <v>839</v>
      </c>
    </row>
    <row r="237" spans="1:25" x14ac:dyDescent="0.25">
      <c r="A237" s="5" t="s">
        <v>840</v>
      </c>
      <c r="B237" s="5"/>
      <c r="C237" s="5" t="s">
        <v>70</v>
      </c>
      <c r="D237" s="5" t="s">
        <v>44</v>
      </c>
      <c r="E237" s="5"/>
      <c r="F237" s="5" t="s">
        <v>107</v>
      </c>
      <c r="G237" s="5" t="s">
        <v>47</v>
      </c>
      <c r="H237" s="5" t="s">
        <v>96</v>
      </c>
      <c r="I237" s="5" t="s">
        <v>59</v>
      </c>
      <c r="J237" s="5"/>
      <c r="K237" s="5" t="s">
        <v>59</v>
      </c>
      <c r="L237" s="5"/>
      <c r="M237" s="5"/>
      <c r="N237" s="5" t="s">
        <v>124</v>
      </c>
      <c r="O237" s="5"/>
      <c r="P237" s="6">
        <f t="shared" si="6"/>
        <v>5</v>
      </c>
      <c r="Q237" s="6" t="str">
        <f t="shared" si="7"/>
        <v>No</v>
      </c>
      <c r="R237" s="5" t="s">
        <v>125</v>
      </c>
      <c r="S237" s="5"/>
      <c r="T237" s="5"/>
      <c r="U237" s="5" t="s">
        <v>96</v>
      </c>
      <c r="V237" s="5" t="s">
        <v>47</v>
      </c>
      <c r="W237" s="5"/>
      <c r="X237" s="5"/>
      <c r="Y237" s="5" t="s">
        <v>577</v>
      </c>
    </row>
    <row r="238" spans="1:25" x14ac:dyDescent="0.25">
      <c r="A238" s="5" t="s">
        <v>841</v>
      </c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 t="s">
        <v>66</v>
      </c>
      <c r="O238" s="5"/>
      <c r="P238" s="6">
        <f t="shared" si="6"/>
        <v>0</v>
      </c>
      <c r="Q238" s="6" t="str">
        <f t="shared" si="7"/>
        <v>No</v>
      </c>
      <c r="R238" s="5" t="s">
        <v>51</v>
      </c>
      <c r="S238" s="5"/>
      <c r="T238" s="5"/>
      <c r="U238" s="5"/>
      <c r="V238" s="5"/>
      <c r="W238" s="5"/>
      <c r="X238" s="5"/>
      <c r="Y238" s="5"/>
    </row>
    <row r="239" spans="1:25" x14ac:dyDescent="0.25">
      <c r="A239" s="5" t="s">
        <v>842</v>
      </c>
      <c r="B239" s="5"/>
      <c r="C239" s="5" t="s">
        <v>43</v>
      </c>
      <c r="D239" s="5" t="s">
        <v>44</v>
      </c>
      <c r="E239" s="5"/>
      <c r="F239" s="5"/>
      <c r="G239" s="5"/>
      <c r="H239" s="5" t="s">
        <v>132</v>
      </c>
      <c r="I239" s="5"/>
      <c r="J239" s="5"/>
      <c r="K239" s="5"/>
      <c r="L239" s="5"/>
      <c r="M239" s="5"/>
      <c r="N239" s="5" t="s">
        <v>50</v>
      </c>
      <c r="O239" s="5"/>
      <c r="P239" s="6">
        <f t="shared" si="6"/>
        <v>2</v>
      </c>
      <c r="Q239" s="6" t="str">
        <f t="shared" si="7"/>
        <v>No</v>
      </c>
      <c r="R239" s="5" t="s">
        <v>51</v>
      </c>
      <c r="S239" s="5"/>
      <c r="T239" s="5" t="s">
        <v>843</v>
      </c>
      <c r="U239" s="5" t="s">
        <v>132</v>
      </c>
      <c r="V239" s="5"/>
      <c r="W239" s="5" t="s">
        <v>43</v>
      </c>
      <c r="X239" s="5"/>
      <c r="Y239" s="5" t="s">
        <v>136</v>
      </c>
    </row>
    <row r="240" spans="1:25" x14ac:dyDescent="0.25">
      <c r="A240" s="5" t="s">
        <v>844</v>
      </c>
      <c r="B240" s="5"/>
      <c r="C240" s="5" t="s">
        <v>43</v>
      </c>
      <c r="D240" s="5"/>
      <c r="E240" s="5" t="s">
        <v>45</v>
      </c>
      <c r="F240" s="5" t="s">
        <v>46</v>
      </c>
      <c r="G240" s="5" t="s">
        <v>47</v>
      </c>
      <c r="H240" s="5"/>
      <c r="I240" s="5"/>
      <c r="J240" s="5"/>
      <c r="K240" s="5"/>
      <c r="L240" s="5"/>
      <c r="M240" s="5"/>
      <c r="N240" s="5" t="s">
        <v>66</v>
      </c>
      <c r="O240" s="5"/>
      <c r="P240" s="6">
        <f t="shared" si="6"/>
        <v>3</v>
      </c>
      <c r="Q240" s="6" t="str">
        <f t="shared" si="7"/>
        <v>No</v>
      </c>
      <c r="R240" s="5" t="s">
        <v>51</v>
      </c>
      <c r="S240" s="5" t="s">
        <v>845</v>
      </c>
      <c r="T240" s="5"/>
      <c r="U240" s="5"/>
      <c r="V240" s="5" t="s">
        <v>67</v>
      </c>
      <c r="W240" s="5" t="s">
        <v>43</v>
      </c>
      <c r="X240" s="5" t="s">
        <v>68</v>
      </c>
      <c r="Y240" s="5" t="s">
        <v>394</v>
      </c>
    </row>
    <row r="241" spans="1:25" x14ac:dyDescent="0.25">
      <c r="A241" s="5" t="s">
        <v>76</v>
      </c>
      <c r="B241" s="5"/>
      <c r="C241" s="5" t="s">
        <v>43</v>
      </c>
      <c r="D241" s="5" t="s">
        <v>76</v>
      </c>
      <c r="E241" s="5"/>
      <c r="F241" s="5"/>
      <c r="G241" s="5" t="s">
        <v>47</v>
      </c>
      <c r="H241" s="5" t="s">
        <v>77</v>
      </c>
      <c r="I241" s="5" t="s">
        <v>123</v>
      </c>
      <c r="J241" s="5"/>
      <c r="K241" s="5" t="s">
        <v>123</v>
      </c>
      <c r="L241" s="5"/>
      <c r="M241" s="5"/>
      <c r="N241" s="5" t="s">
        <v>50</v>
      </c>
      <c r="O241" s="5"/>
      <c r="P241" s="6">
        <f t="shared" si="6"/>
        <v>4</v>
      </c>
      <c r="Q241" s="6" t="str">
        <f t="shared" si="7"/>
        <v>No</v>
      </c>
      <c r="R241" s="5" t="s">
        <v>51</v>
      </c>
      <c r="S241" s="5"/>
      <c r="T241" s="5" t="s">
        <v>846</v>
      </c>
      <c r="U241" s="5" t="s">
        <v>77</v>
      </c>
      <c r="V241" s="5" t="s">
        <v>847</v>
      </c>
      <c r="W241" s="5" t="s">
        <v>43</v>
      </c>
      <c r="X241" s="5"/>
      <c r="Y241" s="5" t="s">
        <v>136</v>
      </c>
    </row>
    <row r="242" spans="1:25" x14ac:dyDescent="0.25">
      <c r="A242" s="5" t="s">
        <v>848</v>
      </c>
      <c r="B242" s="5"/>
      <c r="C242" s="5" t="s">
        <v>43</v>
      </c>
      <c r="D242" s="5"/>
      <c r="E242" s="5"/>
      <c r="F242" s="5"/>
      <c r="G242" s="5" t="s">
        <v>47</v>
      </c>
      <c r="H242" s="5"/>
      <c r="I242" s="5"/>
      <c r="J242" s="5"/>
      <c r="K242" s="5"/>
      <c r="L242" s="5"/>
      <c r="M242" s="5"/>
      <c r="N242" s="5" t="s">
        <v>50</v>
      </c>
      <c r="O242" s="5"/>
      <c r="P242" s="6">
        <f t="shared" si="6"/>
        <v>1</v>
      </c>
      <c r="Q242" s="6" t="str">
        <f t="shared" si="7"/>
        <v>No</v>
      </c>
      <c r="R242" s="5" t="s">
        <v>51</v>
      </c>
      <c r="S242" s="5"/>
      <c r="T242" s="5"/>
      <c r="U242" s="5"/>
      <c r="V242" s="5"/>
      <c r="W242" s="5" t="s">
        <v>43</v>
      </c>
      <c r="X242" s="5" t="s">
        <v>68</v>
      </c>
      <c r="Y242" s="5" t="s">
        <v>549</v>
      </c>
    </row>
    <row r="243" spans="1:25" x14ac:dyDescent="0.25">
      <c r="A243" s="5" t="s">
        <v>849</v>
      </c>
      <c r="B243" s="5"/>
      <c r="C243" s="5" t="s">
        <v>70</v>
      </c>
      <c r="D243" s="5" t="s">
        <v>44</v>
      </c>
      <c r="E243" s="5"/>
      <c r="F243" s="5"/>
      <c r="G243" s="5"/>
      <c r="H243" s="5" t="s">
        <v>58</v>
      </c>
      <c r="I243" s="5"/>
      <c r="J243" s="5"/>
      <c r="K243" s="5"/>
      <c r="L243" s="5"/>
      <c r="M243" s="5"/>
      <c r="N243" s="5" t="s">
        <v>50</v>
      </c>
      <c r="O243" s="5"/>
      <c r="P243" s="6">
        <f t="shared" si="6"/>
        <v>2</v>
      </c>
      <c r="Q243" s="6" t="str">
        <f t="shared" si="7"/>
        <v>No</v>
      </c>
      <c r="R243" s="5" t="s">
        <v>51</v>
      </c>
      <c r="S243" s="5"/>
      <c r="T243" s="5"/>
      <c r="U243" s="5" t="s">
        <v>63</v>
      </c>
      <c r="V243" s="5"/>
      <c r="W243" s="5"/>
      <c r="X243" s="5"/>
      <c r="Y243" s="5" t="s">
        <v>189</v>
      </c>
    </row>
    <row r="244" spans="1:25" x14ac:dyDescent="0.25">
      <c r="A244" s="5" t="s">
        <v>850</v>
      </c>
      <c r="B244" s="5"/>
      <c r="C244" s="5" t="s">
        <v>128</v>
      </c>
      <c r="D244" s="5"/>
      <c r="E244" s="5"/>
      <c r="F244" s="5"/>
      <c r="G244" s="5" t="s">
        <v>57</v>
      </c>
      <c r="H244" s="5"/>
      <c r="I244" s="5"/>
      <c r="J244" s="5"/>
      <c r="K244" s="5"/>
      <c r="L244" s="5"/>
      <c r="M244" s="5"/>
      <c r="N244" s="5" t="s">
        <v>66</v>
      </c>
      <c r="O244" s="5"/>
      <c r="P244" s="6">
        <f t="shared" si="6"/>
        <v>1</v>
      </c>
      <c r="Q244" s="6" t="str">
        <f t="shared" si="7"/>
        <v>No</v>
      </c>
      <c r="R244" s="5" t="s">
        <v>51</v>
      </c>
      <c r="S244" s="5"/>
      <c r="T244" s="5"/>
      <c r="U244" s="5"/>
      <c r="V244" s="5" t="s">
        <v>57</v>
      </c>
      <c r="W244" s="5" t="s">
        <v>128</v>
      </c>
      <c r="X244" s="5" t="s">
        <v>250</v>
      </c>
      <c r="Y244" s="5"/>
    </row>
    <row r="245" spans="1:25" x14ac:dyDescent="0.25">
      <c r="A245" s="5" t="s">
        <v>851</v>
      </c>
      <c r="B245" s="5"/>
      <c r="C245" s="5" t="s">
        <v>43</v>
      </c>
      <c r="D245" s="5" t="s">
        <v>44</v>
      </c>
      <c r="E245" s="5" t="s">
        <v>45</v>
      </c>
      <c r="F245" s="5" t="s">
        <v>46</v>
      </c>
      <c r="G245" s="5" t="s">
        <v>47</v>
      </c>
      <c r="H245" s="5" t="s">
        <v>314</v>
      </c>
      <c r="I245" s="5" t="s">
        <v>178</v>
      </c>
      <c r="J245" s="5" t="s">
        <v>72</v>
      </c>
      <c r="K245" s="5" t="s">
        <v>852</v>
      </c>
      <c r="L245" s="5"/>
      <c r="M245" s="5"/>
      <c r="N245" s="5" t="s">
        <v>110</v>
      </c>
      <c r="O245" s="5" t="s">
        <v>225</v>
      </c>
      <c r="P245" s="6">
        <f t="shared" si="6"/>
        <v>6</v>
      </c>
      <c r="Q245" s="6" t="str">
        <f t="shared" si="7"/>
        <v>Yes</v>
      </c>
      <c r="R245" s="5" t="s">
        <v>112</v>
      </c>
      <c r="S245" s="5" t="s">
        <v>853</v>
      </c>
      <c r="T245" s="5" t="s">
        <v>854</v>
      </c>
      <c r="U245" s="5" t="s">
        <v>855</v>
      </c>
      <c r="V245" s="5" t="s">
        <v>856</v>
      </c>
      <c r="W245" s="5" t="s">
        <v>43</v>
      </c>
      <c r="X245" s="5" t="s">
        <v>677</v>
      </c>
      <c r="Y245" s="5" t="s">
        <v>117</v>
      </c>
    </row>
    <row r="246" spans="1:25" x14ac:dyDescent="0.25">
      <c r="A246" s="5" t="s">
        <v>857</v>
      </c>
      <c r="B246" s="5"/>
      <c r="C246" s="5" t="s">
        <v>43</v>
      </c>
      <c r="D246" s="5" t="s">
        <v>44</v>
      </c>
      <c r="E246" s="5"/>
      <c r="F246" s="5"/>
      <c r="G246" s="5" t="s">
        <v>57</v>
      </c>
      <c r="H246" s="5" t="s">
        <v>858</v>
      </c>
      <c r="I246" s="5"/>
      <c r="J246" s="5"/>
      <c r="K246" s="5"/>
      <c r="L246" s="5"/>
      <c r="M246" s="5"/>
      <c r="N246" s="5" t="s">
        <v>50</v>
      </c>
      <c r="O246" s="5"/>
      <c r="P246" s="6">
        <f t="shared" si="6"/>
        <v>3</v>
      </c>
      <c r="Q246" s="6" t="str">
        <f t="shared" si="7"/>
        <v>No</v>
      </c>
      <c r="R246" s="5" t="s">
        <v>51</v>
      </c>
      <c r="S246" s="5"/>
      <c r="T246" s="5" t="s">
        <v>859</v>
      </c>
      <c r="U246" s="5" t="s">
        <v>858</v>
      </c>
      <c r="V246" s="5"/>
      <c r="W246" s="5" t="s">
        <v>43</v>
      </c>
      <c r="X246" s="5"/>
      <c r="Y246" s="5" t="s">
        <v>64</v>
      </c>
    </row>
    <row r="247" spans="1:25" x14ac:dyDescent="0.25">
      <c r="A247" s="5" t="s">
        <v>860</v>
      </c>
      <c r="B247" s="5"/>
      <c r="C247" s="5"/>
      <c r="D247" s="5"/>
      <c r="E247" s="5" t="s">
        <v>45</v>
      </c>
      <c r="F247" s="5" t="s">
        <v>107</v>
      </c>
      <c r="G247" s="5"/>
      <c r="H247" s="5" t="s">
        <v>77</v>
      </c>
      <c r="I247" s="5" t="s">
        <v>49</v>
      </c>
      <c r="J247" s="5" t="s">
        <v>78</v>
      </c>
      <c r="K247" s="5" t="s">
        <v>861</v>
      </c>
      <c r="L247" s="5"/>
      <c r="M247" s="5"/>
      <c r="N247" s="5" t="s">
        <v>66</v>
      </c>
      <c r="O247" s="5" t="s">
        <v>103</v>
      </c>
      <c r="P247" s="6">
        <f t="shared" si="6"/>
        <v>4</v>
      </c>
      <c r="Q247" s="6" t="str">
        <f t="shared" si="7"/>
        <v>No</v>
      </c>
      <c r="R247" s="5" t="s">
        <v>51</v>
      </c>
      <c r="S247" s="5" t="s">
        <v>862</v>
      </c>
      <c r="T247" s="5" t="s">
        <v>863</v>
      </c>
      <c r="U247" s="5" t="s">
        <v>77</v>
      </c>
      <c r="V247" s="5"/>
      <c r="W247" s="5" t="s">
        <v>105</v>
      </c>
      <c r="X247" s="5"/>
      <c r="Y247" s="5" t="s">
        <v>167</v>
      </c>
    </row>
    <row r="248" spans="1:25" x14ac:dyDescent="0.25">
      <c r="A248" s="5" t="s">
        <v>864</v>
      </c>
      <c r="B248" s="5"/>
      <c r="C248" s="5" t="s">
        <v>43</v>
      </c>
      <c r="D248" s="5" t="s">
        <v>76</v>
      </c>
      <c r="E248" s="5"/>
      <c r="F248" s="5"/>
      <c r="G248" s="5"/>
      <c r="H248" s="5" t="s">
        <v>77</v>
      </c>
      <c r="I248" s="5" t="s">
        <v>78</v>
      </c>
      <c r="J248" s="5" t="s">
        <v>72</v>
      </c>
      <c r="K248" s="5" t="s">
        <v>865</v>
      </c>
      <c r="L248" s="5"/>
      <c r="M248" s="5"/>
      <c r="N248" s="5" t="s">
        <v>50</v>
      </c>
      <c r="O248" s="5"/>
      <c r="P248" s="6">
        <f t="shared" si="6"/>
        <v>3</v>
      </c>
      <c r="Q248" s="6" t="str">
        <f t="shared" si="7"/>
        <v>No</v>
      </c>
      <c r="R248" s="5" t="s">
        <v>51</v>
      </c>
      <c r="S248" s="5"/>
      <c r="T248" s="5" t="s">
        <v>866</v>
      </c>
      <c r="U248" s="5" t="s">
        <v>77</v>
      </c>
      <c r="V248" s="5"/>
      <c r="W248" s="5" t="s">
        <v>43</v>
      </c>
      <c r="X248" s="5"/>
      <c r="Y248" s="5" t="s">
        <v>136</v>
      </c>
    </row>
    <row r="249" spans="1:25" x14ac:dyDescent="0.25">
      <c r="A249" s="5" t="s">
        <v>867</v>
      </c>
      <c r="B249" s="5"/>
      <c r="C249" s="5" t="s">
        <v>43</v>
      </c>
      <c r="D249" s="5"/>
      <c r="E249" s="5"/>
      <c r="F249" s="5"/>
      <c r="G249" s="5" t="s">
        <v>47</v>
      </c>
      <c r="H249" s="5"/>
      <c r="I249" s="5"/>
      <c r="J249" s="5"/>
      <c r="K249" s="5"/>
      <c r="L249" s="5"/>
      <c r="M249" s="5"/>
      <c r="N249" s="5" t="s">
        <v>66</v>
      </c>
      <c r="O249" s="5"/>
      <c r="P249" s="6">
        <f t="shared" si="6"/>
        <v>1</v>
      </c>
      <c r="Q249" s="6" t="str">
        <f t="shared" si="7"/>
        <v>No</v>
      </c>
      <c r="R249" s="5" t="s">
        <v>51</v>
      </c>
      <c r="S249" s="5"/>
      <c r="T249" s="5"/>
      <c r="U249" s="5"/>
      <c r="V249" s="5" t="s">
        <v>67</v>
      </c>
      <c r="W249" s="5" t="s">
        <v>43</v>
      </c>
      <c r="X249" s="5" t="s">
        <v>68</v>
      </c>
      <c r="Y249" s="5"/>
    </row>
    <row r="250" spans="1:25" x14ac:dyDescent="0.25">
      <c r="A250" s="5" t="s">
        <v>868</v>
      </c>
      <c r="B250" s="5"/>
      <c r="C250" s="5" t="s">
        <v>43</v>
      </c>
      <c r="D250" s="5" t="s">
        <v>76</v>
      </c>
      <c r="E250" s="5" t="s">
        <v>332</v>
      </c>
      <c r="F250" s="5"/>
      <c r="G250" s="5"/>
      <c r="H250" s="5" t="s">
        <v>83</v>
      </c>
      <c r="I250" s="5" t="s">
        <v>49</v>
      </c>
      <c r="J250" s="5"/>
      <c r="K250" s="5" t="s">
        <v>49</v>
      </c>
      <c r="L250" s="5"/>
      <c r="M250" s="5"/>
      <c r="N250" s="5" t="s">
        <v>50</v>
      </c>
      <c r="O250" s="5"/>
      <c r="P250" s="6">
        <f t="shared" si="6"/>
        <v>4</v>
      </c>
      <c r="Q250" s="6" t="str">
        <f t="shared" si="7"/>
        <v>No</v>
      </c>
      <c r="R250" s="5" t="s">
        <v>51</v>
      </c>
      <c r="S250" s="5"/>
      <c r="T250" s="5" t="s">
        <v>869</v>
      </c>
      <c r="U250" s="5" t="s">
        <v>83</v>
      </c>
      <c r="V250" s="5"/>
      <c r="W250" s="5" t="s">
        <v>43</v>
      </c>
      <c r="X250" s="5"/>
      <c r="Y250" s="5" t="s">
        <v>870</v>
      </c>
    </row>
    <row r="251" spans="1:25" x14ac:dyDescent="0.25">
      <c r="A251" s="5" t="s">
        <v>871</v>
      </c>
      <c r="B251" s="5"/>
      <c r="C251" s="5"/>
      <c r="D251" s="5"/>
      <c r="E251" s="5"/>
      <c r="F251" s="5"/>
      <c r="G251" s="5" t="s">
        <v>47</v>
      </c>
      <c r="H251" s="5" t="s">
        <v>77</v>
      </c>
      <c r="I251" s="5" t="s">
        <v>72</v>
      </c>
      <c r="J251" s="5" t="s">
        <v>71</v>
      </c>
      <c r="K251" s="5" t="s">
        <v>872</v>
      </c>
      <c r="L251" s="5"/>
      <c r="M251" s="5"/>
      <c r="N251" s="5" t="s">
        <v>66</v>
      </c>
      <c r="O251" s="5" t="s">
        <v>103</v>
      </c>
      <c r="P251" s="6">
        <f t="shared" si="6"/>
        <v>3</v>
      </c>
      <c r="Q251" s="6" t="str">
        <f t="shared" si="7"/>
        <v>No</v>
      </c>
      <c r="R251" s="5" t="s">
        <v>51</v>
      </c>
      <c r="S251" s="5"/>
      <c r="T251" s="5" t="s">
        <v>873</v>
      </c>
      <c r="U251" s="5" t="s">
        <v>77</v>
      </c>
      <c r="V251" s="5" t="s">
        <v>563</v>
      </c>
      <c r="W251" s="5" t="s">
        <v>105</v>
      </c>
      <c r="X251" s="5"/>
      <c r="Y251" s="5"/>
    </row>
    <row r="252" spans="1:25" x14ac:dyDescent="0.25">
      <c r="A252" s="5" t="s">
        <v>874</v>
      </c>
      <c r="B252" s="5"/>
      <c r="C252" s="5"/>
      <c r="D252" s="5"/>
      <c r="E252" s="5"/>
      <c r="F252" s="5" t="s">
        <v>46</v>
      </c>
      <c r="G252" s="5"/>
      <c r="H252" s="5" t="s">
        <v>83</v>
      </c>
      <c r="I252" s="5"/>
      <c r="J252" s="5"/>
      <c r="K252" s="5"/>
      <c r="L252" s="5"/>
      <c r="M252" s="5"/>
      <c r="N252" s="5" t="s">
        <v>66</v>
      </c>
      <c r="O252" s="5" t="s">
        <v>103</v>
      </c>
      <c r="P252" s="6">
        <f t="shared" si="6"/>
        <v>2</v>
      </c>
      <c r="Q252" s="6" t="str">
        <f t="shared" si="7"/>
        <v>No</v>
      </c>
      <c r="R252" s="5" t="s">
        <v>51</v>
      </c>
      <c r="S252" s="5"/>
      <c r="T252" s="5" t="s">
        <v>875</v>
      </c>
      <c r="U252" s="5" t="s">
        <v>83</v>
      </c>
      <c r="V252" s="5"/>
      <c r="W252" s="5" t="s">
        <v>105</v>
      </c>
      <c r="X252" s="5"/>
      <c r="Y252" s="5" t="s">
        <v>585</v>
      </c>
    </row>
    <row r="253" spans="1:25" x14ac:dyDescent="0.25">
      <c r="A253" s="5" t="s">
        <v>876</v>
      </c>
      <c r="B253" s="5"/>
      <c r="C253" s="5" t="s">
        <v>43</v>
      </c>
      <c r="D253" s="5" t="s">
        <v>44</v>
      </c>
      <c r="E253" s="5" t="s">
        <v>45</v>
      </c>
      <c r="F253" s="5" t="s">
        <v>107</v>
      </c>
      <c r="G253" s="5" t="s">
        <v>57</v>
      </c>
      <c r="H253" s="5" t="s">
        <v>272</v>
      </c>
      <c r="I253" s="5" t="s">
        <v>193</v>
      </c>
      <c r="J253" s="5"/>
      <c r="K253" s="5" t="s">
        <v>877</v>
      </c>
      <c r="L253" s="5"/>
      <c r="M253" s="5"/>
      <c r="N253" s="5" t="s">
        <v>110</v>
      </c>
      <c r="O253" s="5" t="s">
        <v>878</v>
      </c>
      <c r="P253" s="6">
        <f t="shared" si="6"/>
        <v>6</v>
      </c>
      <c r="Q253" s="6" t="str">
        <f t="shared" si="7"/>
        <v>Yes</v>
      </c>
      <c r="R253" s="5" t="s">
        <v>112</v>
      </c>
      <c r="S253" s="5" t="s">
        <v>879</v>
      </c>
      <c r="T253" s="5" t="s">
        <v>880</v>
      </c>
      <c r="U253" s="5" t="s">
        <v>881</v>
      </c>
      <c r="V253" s="5" t="s">
        <v>882</v>
      </c>
      <c r="W253" s="5" t="s">
        <v>43</v>
      </c>
      <c r="X253" s="5"/>
      <c r="Y253" s="5" t="s">
        <v>883</v>
      </c>
    </row>
    <row r="254" spans="1:25" x14ac:dyDescent="0.25">
      <c r="A254" s="5" t="s">
        <v>884</v>
      </c>
      <c r="B254" s="5"/>
      <c r="C254" s="5" t="s">
        <v>43</v>
      </c>
      <c r="D254" s="5"/>
      <c r="E254" s="5" t="s">
        <v>45</v>
      </c>
      <c r="F254" s="5" t="s">
        <v>46</v>
      </c>
      <c r="G254" s="5" t="s">
        <v>47</v>
      </c>
      <c r="H254" s="5"/>
      <c r="I254" s="5"/>
      <c r="J254" s="5"/>
      <c r="K254" s="5"/>
      <c r="L254" s="5"/>
      <c r="M254" s="5"/>
      <c r="N254" s="5" t="s">
        <v>66</v>
      </c>
      <c r="O254" s="5"/>
      <c r="P254" s="6">
        <f t="shared" si="6"/>
        <v>3</v>
      </c>
      <c r="Q254" s="6" t="str">
        <f t="shared" si="7"/>
        <v>No</v>
      </c>
      <c r="R254" s="5" t="s">
        <v>51</v>
      </c>
      <c r="S254" s="5" t="s">
        <v>885</v>
      </c>
      <c r="T254" s="5"/>
      <c r="U254" s="5"/>
      <c r="V254" s="5" t="s">
        <v>67</v>
      </c>
      <c r="W254" s="5" t="s">
        <v>43</v>
      </c>
      <c r="X254" s="5"/>
      <c r="Y254" s="5" t="s">
        <v>394</v>
      </c>
    </row>
    <row r="255" spans="1:25" x14ac:dyDescent="0.25">
      <c r="A255" s="5" t="s">
        <v>886</v>
      </c>
      <c r="B255" s="5"/>
      <c r="C255" s="5" t="s">
        <v>43</v>
      </c>
      <c r="D255" s="5" t="s">
        <v>44</v>
      </c>
      <c r="E255" s="5"/>
      <c r="F255" s="5"/>
      <c r="G255" s="5" t="s">
        <v>57</v>
      </c>
      <c r="H255" s="5" t="s">
        <v>58</v>
      </c>
      <c r="I255" s="5" t="s">
        <v>133</v>
      </c>
      <c r="J255" s="5"/>
      <c r="K255" s="5" t="s">
        <v>133</v>
      </c>
      <c r="L255" s="5"/>
      <c r="M255" s="5"/>
      <c r="N255" s="5" t="s">
        <v>50</v>
      </c>
      <c r="O255" s="5"/>
      <c r="P255" s="6">
        <f t="shared" si="6"/>
        <v>4</v>
      </c>
      <c r="Q255" s="6" t="str">
        <f t="shared" si="7"/>
        <v>No</v>
      </c>
      <c r="R255" s="5" t="s">
        <v>51</v>
      </c>
      <c r="S255" s="5"/>
      <c r="T255" s="5" t="s">
        <v>887</v>
      </c>
      <c r="U255" s="5" t="s">
        <v>63</v>
      </c>
      <c r="V255" s="5"/>
      <c r="W255" s="5" t="s">
        <v>43</v>
      </c>
      <c r="X255" s="5"/>
      <c r="Y255" s="5" t="s">
        <v>64</v>
      </c>
    </row>
    <row r="256" spans="1:25" x14ac:dyDescent="0.25">
      <c r="A256" s="5" t="s">
        <v>888</v>
      </c>
      <c r="B256" s="5"/>
      <c r="C256" s="5" t="s">
        <v>43</v>
      </c>
      <c r="D256" s="5" t="s">
        <v>76</v>
      </c>
      <c r="E256" s="5"/>
      <c r="F256" s="5"/>
      <c r="G256" s="5"/>
      <c r="H256" s="5" t="s">
        <v>83</v>
      </c>
      <c r="I256" s="5"/>
      <c r="J256" s="5"/>
      <c r="K256" s="5"/>
      <c r="L256" s="5"/>
      <c r="M256" s="5"/>
      <c r="N256" s="5" t="s">
        <v>50</v>
      </c>
      <c r="O256" s="5"/>
      <c r="P256" s="6">
        <f t="shared" si="6"/>
        <v>2</v>
      </c>
      <c r="Q256" s="6" t="str">
        <f t="shared" si="7"/>
        <v>No</v>
      </c>
      <c r="R256" s="5" t="s">
        <v>51</v>
      </c>
      <c r="S256" s="5"/>
      <c r="T256" s="5" t="s">
        <v>889</v>
      </c>
      <c r="U256" s="5" t="s">
        <v>83</v>
      </c>
      <c r="V256" s="5"/>
      <c r="W256" s="5" t="s">
        <v>43</v>
      </c>
      <c r="X256" s="5" t="s">
        <v>68</v>
      </c>
      <c r="Y256" s="5" t="s">
        <v>136</v>
      </c>
    </row>
    <row r="257" spans="1:25" x14ac:dyDescent="0.25">
      <c r="A257" s="5" t="s">
        <v>890</v>
      </c>
      <c r="B257" s="5"/>
      <c r="C257" s="5" t="s">
        <v>43</v>
      </c>
      <c r="D257" s="5"/>
      <c r="E257" s="5" t="s">
        <v>45</v>
      </c>
      <c r="F257" s="5" t="s">
        <v>46</v>
      </c>
      <c r="G257" s="5" t="s">
        <v>47</v>
      </c>
      <c r="H257" s="5"/>
      <c r="I257" s="5"/>
      <c r="J257" s="5"/>
      <c r="K257" s="5"/>
      <c r="L257" s="5"/>
      <c r="M257" s="5"/>
      <c r="N257" s="5" t="s">
        <v>66</v>
      </c>
      <c r="O257" s="5"/>
      <c r="P257" s="6">
        <f t="shared" si="6"/>
        <v>3</v>
      </c>
      <c r="Q257" s="6" t="str">
        <f t="shared" si="7"/>
        <v>No</v>
      </c>
      <c r="R257" s="5" t="s">
        <v>51</v>
      </c>
      <c r="S257" s="5" t="s">
        <v>891</v>
      </c>
      <c r="T257" s="5"/>
      <c r="U257" s="5"/>
      <c r="V257" s="5" t="s">
        <v>67</v>
      </c>
      <c r="W257" s="5" t="s">
        <v>43</v>
      </c>
      <c r="X257" s="5" t="s">
        <v>68</v>
      </c>
      <c r="Y257" s="5" t="s">
        <v>394</v>
      </c>
    </row>
    <row r="258" spans="1:25" x14ac:dyDescent="0.25">
      <c r="A258" s="5" t="s">
        <v>892</v>
      </c>
      <c r="B258" s="5"/>
      <c r="C258" s="5" t="s">
        <v>43</v>
      </c>
      <c r="D258" s="5"/>
      <c r="E258" s="5"/>
      <c r="F258" s="5"/>
      <c r="G258" s="5" t="s">
        <v>47</v>
      </c>
      <c r="H258" s="5" t="s">
        <v>96</v>
      </c>
      <c r="I258" s="5"/>
      <c r="J258" s="5"/>
      <c r="K258" s="5"/>
      <c r="L258" s="5"/>
      <c r="M258" s="5"/>
      <c r="N258" s="5" t="s">
        <v>66</v>
      </c>
      <c r="O258" s="5"/>
      <c r="P258" s="6">
        <f t="shared" ref="P258:P321" si="8">IF(A258="","",COUNTA(D258:F258)+COUNTA(G258:G258)+COUNTA(H258:H258)+COUNTA(I258:I258))</f>
        <v>2</v>
      </c>
      <c r="Q258" s="6" t="str">
        <f t="shared" ref="Q258:Q321" si="9">IF(A258="","",IF(AND(P258=6,UPPER(L258)&lt;&gt;"Y",C258&lt;&gt;""),"Yes","No"))</f>
        <v>No</v>
      </c>
      <c r="R258" s="5" t="s">
        <v>51</v>
      </c>
      <c r="S258" s="5"/>
      <c r="T258" s="5"/>
      <c r="U258" s="5" t="s">
        <v>99</v>
      </c>
      <c r="V258" s="5" t="s">
        <v>47</v>
      </c>
      <c r="W258" s="5" t="s">
        <v>43</v>
      </c>
      <c r="X258" s="5"/>
      <c r="Y258" s="5"/>
    </row>
    <row r="259" spans="1:25" x14ac:dyDescent="0.25">
      <c r="A259" s="5" t="s">
        <v>893</v>
      </c>
      <c r="B259" s="5"/>
      <c r="C259" s="5" t="s">
        <v>70</v>
      </c>
      <c r="D259" s="5" t="s">
        <v>76</v>
      </c>
      <c r="E259" s="5"/>
      <c r="F259" s="5"/>
      <c r="G259" s="5" t="s">
        <v>57</v>
      </c>
      <c r="H259" s="5"/>
      <c r="I259" s="5"/>
      <c r="J259" s="5"/>
      <c r="K259" s="5"/>
      <c r="L259" s="5"/>
      <c r="M259" s="5"/>
      <c r="N259" s="5" t="s">
        <v>50</v>
      </c>
      <c r="O259" s="5"/>
      <c r="P259" s="6">
        <f t="shared" si="8"/>
        <v>2</v>
      </c>
      <c r="Q259" s="6" t="str">
        <f t="shared" si="9"/>
        <v>No</v>
      </c>
      <c r="R259" s="5" t="s">
        <v>51</v>
      </c>
      <c r="S259" s="5"/>
      <c r="T259" s="5"/>
      <c r="U259" s="5"/>
      <c r="V259" s="5"/>
      <c r="W259" s="5"/>
      <c r="X259" s="5"/>
      <c r="Y259" s="5" t="s">
        <v>894</v>
      </c>
    </row>
    <row r="260" spans="1:25" x14ac:dyDescent="0.25">
      <c r="A260" s="5" t="s">
        <v>895</v>
      </c>
      <c r="B260" s="5"/>
      <c r="C260" s="5" t="s">
        <v>43</v>
      </c>
      <c r="D260" s="5" t="s">
        <v>44</v>
      </c>
      <c r="E260" s="5" t="s">
        <v>45</v>
      </c>
      <c r="F260" s="5" t="s">
        <v>46</v>
      </c>
      <c r="G260" s="5" t="s">
        <v>47</v>
      </c>
      <c r="H260" s="5" t="s">
        <v>314</v>
      </c>
      <c r="I260" s="5" t="s">
        <v>49</v>
      </c>
      <c r="J260" s="5" t="s">
        <v>78</v>
      </c>
      <c r="K260" s="5" t="s">
        <v>896</v>
      </c>
      <c r="L260" s="5"/>
      <c r="M260" s="5"/>
      <c r="N260" s="5" t="s">
        <v>50</v>
      </c>
      <c r="O260" s="5" t="s">
        <v>897</v>
      </c>
      <c r="P260" s="6">
        <f t="shared" si="8"/>
        <v>6</v>
      </c>
      <c r="Q260" s="6" t="str">
        <f t="shared" si="9"/>
        <v>Yes</v>
      </c>
      <c r="R260" s="5" t="s">
        <v>51</v>
      </c>
      <c r="S260" s="5" t="s">
        <v>898</v>
      </c>
      <c r="T260" s="5" t="s">
        <v>899</v>
      </c>
      <c r="U260" s="5" t="s">
        <v>317</v>
      </c>
      <c r="V260" s="5" t="s">
        <v>900</v>
      </c>
      <c r="W260" s="5" t="s">
        <v>43</v>
      </c>
      <c r="X260" s="5"/>
      <c r="Y260" s="5" t="s">
        <v>101</v>
      </c>
    </row>
    <row r="261" spans="1:25" x14ac:dyDescent="0.25">
      <c r="A261" s="5" t="s">
        <v>901</v>
      </c>
      <c r="B261" s="5"/>
      <c r="C261" s="5" t="s">
        <v>43</v>
      </c>
      <c r="D261" s="5" t="s">
        <v>44</v>
      </c>
      <c r="E261" s="5"/>
      <c r="F261" s="5"/>
      <c r="G261" s="5"/>
      <c r="H261" s="5" t="s">
        <v>48</v>
      </c>
      <c r="I261" s="5" t="s">
        <v>119</v>
      </c>
      <c r="J261" s="5"/>
      <c r="K261" s="5" t="s">
        <v>119</v>
      </c>
      <c r="L261" s="5"/>
      <c r="M261" s="5"/>
      <c r="N261" s="5" t="s">
        <v>50</v>
      </c>
      <c r="O261" s="5"/>
      <c r="P261" s="6">
        <f t="shared" si="8"/>
        <v>3</v>
      </c>
      <c r="Q261" s="6" t="str">
        <f t="shared" si="9"/>
        <v>No</v>
      </c>
      <c r="R261" s="5" t="s">
        <v>51</v>
      </c>
      <c r="S261" s="5"/>
      <c r="T261" s="5" t="s">
        <v>902</v>
      </c>
      <c r="U261" s="5" t="s">
        <v>53</v>
      </c>
      <c r="V261" s="5"/>
      <c r="W261" s="5" t="s">
        <v>43</v>
      </c>
      <c r="X261" s="5"/>
      <c r="Y261" s="5" t="s">
        <v>353</v>
      </c>
    </row>
    <row r="262" spans="1:25" x14ac:dyDescent="0.25">
      <c r="A262" s="5" t="s">
        <v>903</v>
      </c>
      <c r="B262" s="5"/>
      <c r="C262" s="5" t="s">
        <v>70</v>
      </c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 t="s">
        <v>50</v>
      </c>
      <c r="O262" s="5"/>
      <c r="P262" s="6">
        <f t="shared" si="8"/>
        <v>0</v>
      </c>
      <c r="Q262" s="6" t="str">
        <f t="shared" si="9"/>
        <v>No</v>
      </c>
      <c r="R262" s="5" t="s">
        <v>51</v>
      </c>
      <c r="S262" s="5"/>
      <c r="T262" s="5"/>
      <c r="U262" s="5"/>
      <c r="V262" s="5"/>
      <c r="W262" s="5"/>
      <c r="X262" s="5"/>
      <c r="Y262" s="5" t="s">
        <v>74</v>
      </c>
    </row>
    <row r="263" spans="1:25" x14ac:dyDescent="0.25">
      <c r="A263" s="5" t="s">
        <v>904</v>
      </c>
      <c r="B263" s="5"/>
      <c r="C263" s="5" t="s">
        <v>70</v>
      </c>
      <c r="D263" s="5"/>
      <c r="E263" s="5"/>
      <c r="F263" s="5" t="s">
        <v>46</v>
      </c>
      <c r="G263" s="5" t="s">
        <v>47</v>
      </c>
      <c r="H263" s="5" t="s">
        <v>639</v>
      </c>
      <c r="I263" s="5"/>
      <c r="J263" s="5"/>
      <c r="K263" s="5" t="s">
        <v>139</v>
      </c>
      <c r="L263" s="5"/>
      <c r="M263" s="5"/>
      <c r="N263" s="5" t="s">
        <v>124</v>
      </c>
      <c r="O263" s="5"/>
      <c r="P263" s="6">
        <f t="shared" si="8"/>
        <v>3</v>
      </c>
      <c r="Q263" s="6" t="str">
        <f t="shared" si="9"/>
        <v>No</v>
      </c>
      <c r="R263" s="5" t="s">
        <v>125</v>
      </c>
      <c r="S263" s="5"/>
      <c r="T263" s="5"/>
      <c r="U263" s="5" t="s">
        <v>639</v>
      </c>
      <c r="V263" s="5" t="s">
        <v>47</v>
      </c>
      <c r="W263" s="5"/>
      <c r="X263" s="5"/>
      <c r="Y263" s="5" t="s">
        <v>141</v>
      </c>
    </row>
    <row r="264" spans="1:25" x14ac:dyDescent="0.25">
      <c r="A264" s="5" t="s">
        <v>905</v>
      </c>
      <c r="B264" s="5"/>
      <c r="C264" s="5" t="s">
        <v>43</v>
      </c>
      <c r="D264" s="5"/>
      <c r="E264" s="5"/>
      <c r="F264" s="5" t="s">
        <v>46</v>
      </c>
      <c r="G264" s="5"/>
      <c r="H264" s="5"/>
      <c r="I264" s="5" t="s">
        <v>123</v>
      </c>
      <c r="J264" s="5"/>
      <c r="K264" s="5" t="s">
        <v>123</v>
      </c>
      <c r="L264" s="5"/>
      <c r="M264" s="5"/>
      <c r="N264" s="5" t="s">
        <v>50</v>
      </c>
      <c r="O264" s="5"/>
      <c r="P264" s="6">
        <f t="shared" si="8"/>
        <v>2</v>
      </c>
      <c r="Q264" s="6" t="str">
        <f t="shared" si="9"/>
        <v>No</v>
      </c>
      <c r="R264" s="5" t="s">
        <v>51</v>
      </c>
      <c r="S264" s="5"/>
      <c r="T264" s="5" t="s">
        <v>906</v>
      </c>
      <c r="U264" s="5"/>
      <c r="V264" s="5"/>
      <c r="W264" s="5" t="s">
        <v>43</v>
      </c>
      <c r="X264" s="5"/>
      <c r="Y264" s="5" t="s">
        <v>907</v>
      </c>
    </row>
    <row r="265" spans="1:25" x14ac:dyDescent="0.25">
      <c r="A265" s="5" t="s">
        <v>908</v>
      </c>
      <c r="B265" s="5"/>
      <c r="C265" s="5" t="s">
        <v>70</v>
      </c>
      <c r="D265" s="5" t="s">
        <v>76</v>
      </c>
      <c r="E265" s="5"/>
      <c r="F265" s="5"/>
      <c r="G265" s="5"/>
      <c r="H265" s="5" t="s">
        <v>154</v>
      </c>
      <c r="I265" s="5"/>
      <c r="J265" s="5"/>
      <c r="K265" s="5"/>
      <c r="L265" s="5"/>
      <c r="M265" s="5"/>
      <c r="N265" s="5" t="s">
        <v>124</v>
      </c>
      <c r="O265" s="5"/>
      <c r="P265" s="6">
        <f t="shared" si="8"/>
        <v>2</v>
      </c>
      <c r="Q265" s="6" t="str">
        <f t="shared" si="9"/>
        <v>No</v>
      </c>
      <c r="R265" s="5" t="s">
        <v>125</v>
      </c>
      <c r="S265" s="5"/>
      <c r="T265" s="5"/>
      <c r="U265" s="5" t="s">
        <v>154</v>
      </c>
      <c r="V265" s="5"/>
      <c r="W265" s="5"/>
      <c r="X265" s="5"/>
      <c r="Y265" s="5" t="s">
        <v>155</v>
      </c>
    </row>
    <row r="266" spans="1:25" x14ac:dyDescent="0.25">
      <c r="A266" s="5" t="s">
        <v>909</v>
      </c>
      <c r="B266" s="5"/>
      <c r="C266" s="5"/>
      <c r="D266" s="5"/>
      <c r="E266" s="5"/>
      <c r="F266" s="5"/>
      <c r="G266" s="5"/>
      <c r="H266" s="5" t="s">
        <v>910</v>
      </c>
      <c r="I266" s="5" t="s">
        <v>123</v>
      </c>
      <c r="J266" s="5"/>
      <c r="K266" s="5" t="s">
        <v>123</v>
      </c>
      <c r="L266" s="5"/>
      <c r="M266" s="5"/>
      <c r="N266" s="5" t="s">
        <v>66</v>
      </c>
      <c r="O266" s="5"/>
      <c r="P266" s="6">
        <f t="shared" si="8"/>
        <v>2</v>
      </c>
      <c r="Q266" s="6" t="str">
        <f t="shared" si="9"/>
        <v>No</v>
      </c>
      <c r="R266" s="5" t="s">
        <v>51</v>
      </c>
      <c r="S266" s="5"/>
      <c r="T266" s="5"/>
      <c r="U266" s="5" t="s">
        <v>911</v>
      </c>
      <c r="V266" s="5"/>
      <c r="W266" s="5"/>
      <c r="X266" s="5"/>
      <c r="Y266" s="5"/>
    </row>
    <row r="267" spans="1:25" x14ac:dyDescent="0.25">
      <c r="A267" s="5" t="s">
        <v>912</v>
      </c>
      <c r="B267" s="5"/>
      <c r="C267" s="5"/>
      <c r="D267" s="5"/>
      <c r="E267" s="5"/>
      <c r="F267" s="5"/>
      <c r="G267" s="5"/>
      <c r="H267" s="5" t="s">
        <v>910</v>
      </c>
      <c r="I267" s="5" t="s">
        <v>123</v>
      </c>
      <c r="J267" s="5"/>
      <c r="K267" s="5" t="s">
        <v>123</v>
      </c>
      <c r="L267" s="5"/>
      <c r="M267" s="5"/>
      <c r="N267" s="5" t="s">
        <v>66</v>
      </c>
      <c r="O267" s="5"/>
      <c r="P267" s="6">
        <f t="shared" si="8"/>
        <v>2</v>
      </c>
      <c r="Q267" s="6" t="str">
        <f t="shared" si="9"/>
        <v>No</v>
      </c>
      <c r="R267" s="5" t="s">
        <v>51</v>
      </c>
      <c r="S267" s="5"/>
      <c r="T267" s="5" t="s">
        <v>913</v>
      </c>
      <c r="U267" s="5" t="s">
        <v>911</v>
      </c>
      <c r="V267" s="5"/>
      <c r="W267" s="5"/>
      <c r="X267" s="5"/>
      <c r="Y267" s="5"/>
    </row>
    <row r="268" spans="1:25" x14ac:dyDescent="0.25">
      <c r="A268" s="5" t="s">
        <v>914</v>
      </c>
      <c r="B268" s="5"/>
      <c r="C268" s="5" t="s">
        <v>70</v>
      </c>
      <c r="D268" s="5"/>
      <c r="E268" s="5"/>
      <c r="F268" s="5"/>
      <c r="G268" s="5"/>
      <c r="H268" s="5" t="s">
        <v>910</v>
      </c>
      <c r="I268" s="5" t="s">
        <v>123</v>
      </c>
      <c r="J268" s="5"/>
      <c r="K268" s="5" t="s">
        <v>123</v>
      </c>
      <c r="L268" s="5"/>
      <c r="M268" s="5"/>
      <c r="N268" s="5" t="s">
        <v>124</v>
      </c>
      <c r="O268" s="5"/>
      <c r="P268" s="6">
        <f t="shared" si="8"/>
        <v>2</v>
      </c>
      <c r="Q268" s="6" t="str">
        <f t="shared" si="9"/>
        <v>No</v>
      </c>
      <c r="R268" s="5" t="s">
        <v>125</v>
      </c>
      <c r="S268" s="5"/>
      <c r="T268" s="5"/>
      <c r="U268" s="5" t="s">
        <v>910</v>
      </c>
      <c r="V268" s="5"/>
      <c r="W268" s="5"/>
      <c r="X268" s="5"/>
      <c r="Y268" s="5" t="s">
        <v>915</v>
      </c>
    </row>
    <row r="269" spans="1:25" x14ac:dyDescent="0.25">
      <c r="A269" s="5" t="s">
        <v>916</v>
      </c>
      <c r="B269" s="5"/>
      <c r="C269" s="5" t="s">
        <v>43</v>
      </c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 t="s">
        <v>66</v>
      </c>
      <c r="O269" s="5" t="s">
        <v>97</v>
      </c>
      <c r="P269" s="6">
        <f t="shared" si="8"/>
        <v>0</v>
      </c>
      <c r="Q269" s="6" t="str">
        <f t="shared" si="9"/>
        <v>No</v>
      </c>
      <c r="R269" s="5" t="s">
        <v>51</v>
      </c>
      <c r="S269" s="5"/>
      <c r="T269" s="5"/>
      <c r="U269" s="5"/>
      <c r="V269" s="5" t="s">
        <v>100</v>
      </c>
      <c r="W269" s="5" t="s">
        <v>43</v>
      </c>
      <c r="X269" s="5" t="s">
        <v>68</v>
      </c>
      <c r="Y269" s="5"/>
    </row>
    <row r="270" spans="1:25" x14ac:dyDescent="0.25">
      <c r="A270" s="5" t="s">
        <v>917</v>
      </c>
      <c r="B270" s="5"/>
      <c r="C270" s="5" t="s">
        <v>70</v>
      </c>
      <c r="D270" s="5" t="s">
        <v>76</v>
      </c>
      <c r="E270" s="5" t="s">
        <v>45</v>
      </c>
      <c r="F270" s="5" t="s">
        <v>46</v>
      </c>
      <c r="G270" s="5"/>
      <c r="H270" s="5" t="s">
        <v>77</v>
      </c>
      <c r="I270" s="5" t="s">
        <v>119</v>
      </c>
      <c r="J270" s="5" t="s">
        <v>78</v>
      </c>
      <c r="K270" s="5" t="s">
        <v>918</v>
      </c>
      <c r="L270" s="5"/>
      <c r="M270" s="5"/>
      <c r="N270" s="5" t="s">
        <v>50</v>
      </c>
      <c r="O270" s="5"/>
      <c r="P270" s="6">
        <f t="shared" si="8"/>
        <v>5</v>
      </c>
      <c r="Q270" s="6" t="str">
        <f t="shared" si="9"/>
        <v>No</v>
      </c>
      <c r="R270" s="5" t="s">
        <v>51</v>
      </c>
      <c r="S270" s="5"/>
      <c r="T270" s="5" t="s">
        <v>919</v>
      </c>
      <c r="U270" s="5" t="s">
        <v>77</v>
      </c>
      <c r="V270" s="5"/>
      <c r="W270" s="5"/>
      <c r="X270" s="5"/>
      <c r="Y270" s="5" t="s">
        <v>515</v>
      </c>
    </row>
    <row r="271" spans="1:25" x14ac:dyDescent="0.25">
      <c r="A271" s="5" t="s">
        <v>920</v>
      </c>
      <c r="B271" s="5"/>
      <c r="C271" s="5" t="s">
        <v>70</v>
      </c>
      <c r="D271" s="5" t="s">
        <v>44</v>
      </c>
      <c r="E271" s="5"/>
      <c r="F271" s="5"/>
      <c r="G271" s="5" t="s">
        <v>57</v>
      </c>
      <c r="H271" s="5" t="s">
        <v>702</v>
      </c>
      <c r="I271" s="5"/>
      <c r="J271" s="5"/>
      <c r="K271" s="5"/>
      <c r="L271" s="5"/>
      <c r="M271" s="5"/>
      <c r="N271" s="5" t="s">
        <v>124</v>
      </c>
      <c r="O271" s="5"/>
      <c r="P271" s="6">
        <f t="shared" si="8"/>
        <v>3</v>
      </c>
      <c r="Q271" s="6" t="str">
        <f t="shared" si="9"/>
        <v>No</v>
      </c>
      <c r="R271" s="5" t="s">
        <v>125</v>
      </c>
      <c r="S271" s="5"/>
      <c r="T271" s="5"/>
      <c r="U271" s="5" t="s">
        <v>702</v>
      </c>
      <c r="V271" s="5" t="s">
        <v>57</v>
      </c>
      <c r="W271" s="5"/>
      <c r="X271" s="5"/>
      <c r="Y271" s="5" t="s">
        <v>286</v>
      </c>
    </row>
    <row r="272" spans="1:25" x14ac:dyDescent="0.25">
      <c r="A272" s="5" t="s">
        <v>921</v>
      </c>
      <c r="B272" s="5" t="s">
        <v>922</v>
      </c>
      <c r="C272" s="5"/>
      <c r="D272" s="5"/>
      <c r="E272" s="5"/>
      <c r="F272" s="5"/>
      <c r="G272" s="5"/>
      <c r="H272" s="5" t="s">
        <v>923</v>
      </c>
      <c r="I272" s="5"/>
      <c r="J272" s="5"/>
      <c r="K272" s="5"/>
      <c r="L272" s="5"/>
      <c r="M272" s="5"/>
      <c r="N272" s="5" t="s">
        <v>66</v>
      </c>
      <c r="O272" s="5" t="s">
        <v>103</v>
      </c>
      <c r="P272" s="6">
        <f t="shared" si="8"/>
        <v>1</v>
      </c>
      <c r="Q272" s="6" t="str">
        <f t="shared" si="9"/>
        <v>No</v>
      </c>
      <c r="R272" s="5" t="s">
        <v>51</v>
      </c>
      <c r="S272" s="5"/>
      <c r="T272" s="5" t="s">
        <v>924</v>
      </c>
      <c r="U272" s="5" t="s">
        <v>923</v>
      </c>
      <c r="V272" s="5"/>
      <c r="W272" s="5" t="s">
        <v>105</v>
      </c>
      <c r="X272" s="5"/>
      <c r="Y272" s="5"/>
    </row>
    <row r="273" spans="1:25" x14ac:dyDescent="0.25">
      <c r="A273" s="5" t="s">
        <v>925</v>
      </c>
      <c r="B273" s="5"/>
      <c r="C273" s="5" t="s">
        <v>43</v>
      </c>
      <c r="D273" s="5" t="s">
        <v>44</v>
      </c>
      <c r="E273" s="5" t="s">
        <v>45</v>
      </c>
      <c r="F273" s="5" t="s">
        <v>46</v>
      </c>
      <c r="G273" s="5" t="s">
        <v>47</v>
      </c>
      <c r="H273" s="5" t="s">
        <v>96</v>
      </c>
      <c r="I273" s="5" t="s">
        <v>91</v>
      </c>
      <c r="J273" s="5"/>
      <c r="K273" s="5" t="s">
        <v>91</v>
      </c>
      <c r="L273" s="5"/>
      <c r="M273" s="5"/>
      <c r="N273" s="5" t="s">
        <v>50</v>
      </c>
      <c r="O273" s="5"/>
      <c r="P273" s="6">
        <f t="shared" si="8"/>
        <v>6</v>
      </c>
      <c r="Q273" s="6" t="str">
        <f t="shared" si="9"/>
        <v>Yes</v>
      </c>
      <c r="R273" s="5" t="s">
        <v>51</v>
      </c>
      <c r="S273" s="5" t="s">
        <v>926</v>
      </c>
      <c r="T273" s="5" t="s">
        <v>927</v>
      </c>
      <c r="U273" s="5" t="s">
        <v>99</v>
      </c>
      <c r="V273" s="5" t="s">
        <v>67</v>
      </c>
      <c r="W273" s="5" t="s">
        <v>43</v>
      </c>
      <c r="X273" s="5" t="s">
        <v>87</v>
      </c>
      <c r="Y273" s="5" t="s">
        <v>348</v>
      </c>
    </row>
    <row r="274" spans="1:25" x14ac:dyDescent="0.25">
      <c r="A274" s="5" t="s">
        <v>928</v>
      </c>
      <c r="B274" s="5"/>
      <c r="C274" s="5" t="s">
        <v>70</v>
      </c>
      <c r="D274" s="5" t="s">
        <v>76</v>
      </c>
      <c r="E274" s="5"/>
      <c r="F274" s="5"/>
      <c r="G274" s="5" t="s">
        <v>47</v>
      </c>
      <c r="H274" s="5" t="s">
        <v>154</v>
      </c>
      <c r="I274" s="5"/>
      <c r="J274" s="5"/>
      <c r="K274" s="5"/>
      <c r="L274" s="5"/>
      <c r="M274" s="5"/>
      <c r="N274" s="5" t="s">
        <v>124</v>
      </c>
      <c r="O274" s="5"/>
      <c r="P274" s="6">
        <f t="shared" si="8"/>
        <v>3</v>
      </c>
      <c r="Q274" s="6" t="str">
        <f t="shared" si="9"/>
        <v>No</v>
      </c>
      <c r="R274" s="5" t="s">
        <v>125</v>
      </c>
      <c r="S274" s="5"/>
      <c r="T274" s="5"/>
      <c r="U274" s="5" t="s">
        <v>154</v>
      </c>
      <c r="V274" s="5" t="s">
        <v>47</v>
      </c>
      <c r="W274" s="5"/>
      <c r="X274" s="5"/>
      <c r="Y274" s="5" t="s">
        <v>286</v>
      </c>
    </row>
    <row r="275" spans="1:25" x14ac:dyDescent="0.25">
      <c r="A275" s="5" t="s">
        <v>929</v>
      </c>
      <c r="B275" s="5"/>
      <c r="C275" s="5" t="s">
        <v>43</v>
      </c>
      <c r="D275" s="5"/>
      <c r="E275" s="5"/>
      <c r="F275" s="5"/>
      <c r="G275" s="5" t="s">
        <v>47</v>
      </c>
      <c r="H275" s="5"/>
      <c r="I275" s="5" t="s">
        <v>91</v>
      </c>
      <c r="J275" s="5"/>
      <c r="K275" s="5" t="s">
        <v>91</v>
      </c>
      <c r="L275" s="5"/>
      <c r="M275" s="5"/>
      <c r="N275" s="5" t="s">
        <v>50</v>
      </c>
      <c r="O275" s="5"/>
      <c r="P275" s="6">
        <f t="shared" si="8"/>
        <v>2</v>
      </c>
      <c r="Q275" s="6" t="str">
        <f t="shared" si="9"/>
        <v>No</v>
      </c>
      <c r="R275" s="5" t="s">
        <v>51</v>
      </c>
      <c r="S275" s="5"/>
      <c r="T275" s="5" t="s">
        <v>930</v>
      </c>
      <c r="U275" s="5"/>
      <c r="V275" s="5"/>
      <c r="W275" s="5" t="s">
        <v>43</v>
      </c>
      <c r="X275" s="5"/>
      <c r="Y275" s="5" t="s">
        <v>931</v>
      </c>
    </row>
    <row r="276" spans="1:25" x14ac:dyDescent="0.25">
      <c r="A276" s="5" t="s">
        <v>932</v>
      </c>
      <c r="B276" s="5"/>
      <c r="C276" s="5" t="s">
        <v>70</v>
      </c>
      <c r="D276" s="5"/>
      <c r="E276" s="5"/>
      <c r="F276" s="5" t="s">
        <v>46</v>
      </c>
      <c r="G276" s="5" t="s">
        <v>47</v>
      </c>
      <c r="H276" s="5" t="s">
        <v>138</v>
      </c>
      <c r="I276" s="5"/>
      <c r="J276" s="5"/>
      <c r="K276" s="5" t="s">
        <v>139</v>
      </c>
      <c r="L276" s="5"/>
      <c r="M276" s="5"/>
      <c r="N276" s="5" t="s">
        <v>124</v>
      </c>
      <c r="O276" s="5" t="s">
        <v>933</v>
      </c>
      <c r="P276" s="6">
        <f t="shared" si="8"/>
        <v>3</v>
      </c>
      <c r="Q276" s="6" t="str">
        <f t="shared" si="9"/>
        <v>No</v>
      </c>
      <c r="R276" s="5" t="s">
        <v>125</v>
      </c>
      <c r="S276" s="5"/>
      <c r="T276" s="5"/>
      <c r="U276" s="5" t="s">
        <v>138</v>
      </c>
      <c r="V276" s="5" t="s">
        <v>47</v>
      </c>
      <c r="W276" s="5"/>
      <c r="X276" s="5"/>
      <c r="Y276" s="5" t="s">
        <v>141</v>
      </c>
    </row>
    <row r="277" spans="1:25" x14ac:dyDescent="0.25">
      <c r="A277" s="5" t="s">
        <v>934</v>
      </c>
      <c r="B277" s="5"/>
      <c r="C277" s="5" t="s">
        <v>43</v>
      </c>
      <c r="D277" s="5" t="s">
        <v>76</v>
      </c>
      <c r="E277" s="5" t="s">
        <v>45</v>
      </c>
      <c r="F277" s="5" t="s">
        <v>107</v>
      </c>
      <c r="G277" s="5" t="s">
        <v>57</v>
      </c>
      <c r="H277" s="5" t="s">
        <v>58</v>
      </c>
      <c r="I277" s="5" t="s">
        <v>192</v>
      </c>
      <c r="J277" s="5"/>
      <c r="K277" s="5" t="s">
        <v>935</v>
      </c>
      <c r="L277" s="5"/>
      <c r="M277" s="5"/>
      <c r="N277" s="5" t="s">
        <v>50</v>
      </c>
      <c r="O277" s="5" t="s">
        <v>936</v>
      </c>
      <c r="P277" s="6">
        <f t="shared" si="8"/>
        <v>6</v>
      </c>
      <c r="Q277" s="6" t="str">
        <f t="shared" si="9"/>
        <v>Yes</v>
      </c>
      <c r="R277" s="5" t="s">
        <v>51</v>
      </c>
      <c r="S277" s="5" t="s">
        <v>937</v>
      </c>
      <c r="T277" s="5" t="s">
        <v>938</v>
      </c>
      <c r="U277" s="5" t="s">
        <v>63</v>
      </c>
      <c r="V277" s="5" t="s">
        <v>939</v>
      </c>
      <c r="W277" s="5" t="s">
        <v>43</v>
      </c>
      <c r="X277" s="5"/>
      <c r="Y277" s="5" t="s">
        <v>219</v>
      </c>
    </row>
    <row r="278" spans="1:25" x14ac:dyDescent="0.25">
      <c r="A278" s="5" t="s">
        <v>940</v>
      </c>
      <c r="B278" s="5"/>
      <c r="C278" s="5" t="s">
        <v>70</v>
      </c>
      <c r="D278" s="5"/>
      <c r="E278" s="5" t="s">
        <v>253</v>
      </c>
      <c r="F278" s="5"/>
      <c r="G278" s="5" t="s">
        <v>57</v>
      </c>
      <c r="H278" s="5"/>
      <c r="I278" s="5"/>
      <c r="J278" s="5"/>
      <c r="K278" s="5" t="s">
        <v>941</v>
      </c>
      <c r="L278" s="5"/>
      <c r="M278" s="5"/>
      <c r="N278" s="5" t="s">
        <v>124</v>
      </c>
      <c r="O278" s="5" t="s">
        <v>942</v>
      </c>
      <c r="P278" s="6">
        <f t="shared" si="8"/>
        <v>2</v>
      </c>
      <c r="Q278" s="6" t="str">
        <f t="shared" si="9"/>
        <v>No</v>
      </c>
      <c r="R278" s="5" t="s">
        <v>125</v>
      </c>
      <c r="S278" s="5" t="s">
        <v>138</v>
      </c>
      <c r="T278" s="5"/>
      <c r="U278" s="5" t="s">
        <v>310</v>
      </c>
      <c r="V278" s="5" t="s">
        <v>311</v>
      </c>
      <c r="W278" s="5"/>
      <c r="X278" s="5"/>
      <c r="Y278" s="5" t="s">
        <v>312</v>
      </c>
    </row>
    <row r="279" spans="1:25" x14ac:dyDescent="0.25">
      <c r="A279" s="5" t="s">
        <v>943</v>
      </c>
      <c r="B279" s="5" t="s">
        <v>944</v>
      </c>
      <c r="C279" s="5"/>
      <c r="D279" s="5"/>
      <c r="E279" s="5"/>
      <c r="F279" s="5"/>
      <c r="G279" s="5"/>
      <c r="H279" s="5" t="s">
        <v>923</v>
      </c>
      <c r="I279" s="5"/>
      <c r="J279" s="5"/>
      <c r="K279" s="5"/>
      <c r="L279" s="5"/>
      <c r="M279" s="5"/>
      <c r="N279" s="5" t="s">
        <v>66</v>
      </c>
      <c r="O279" s="5" t="s">
        <v>103</v>
      </c>
      <c r="P279" s="6">
        <f t="shared" si="8"/>
        <v>1</v>
      </c>
      <c r="Q279" s="6" t="str">
        <f t="shared" si="9"/>
        <v>No</v>
      </c>
      <c r="R279" s="5" t="s">
        <v>51</v>
      </c>
      <c r="S279" s="5"/>
      <c r="T279" s="5" t="s">
        <v>945</v>
      </c>
      <c r="U279" s="5" t="s">
        <v>923</v>
      </c>
      <c r="V279" s="5"/>
      <c r="W279" s="5" t="s">
        <v>105</v>
      </c>
      <c r="X279" s="5"/>
      <c r="Y279" s="5"/>
    </row>
    <row r="280" spans="1:25" x14ac:dyDescent="0.25">
      <c r="A280" s="5" t="s">
        <v>946</v>
      </c>
      <c r="B280" s="5"/>
      <c r="C280" s="5" t="s">
        <v>43</v>
      </c>
      <c r="D280" s="5" t="s">
        <v>76</v>
      </c>
      <c r="E280" s="5" t="s">
        <v>45</v>
      </c>
      <c r="F280" s="5" t="s">
        <v>46</v>
      </c>
      <c r="G280" s="5" t="s">
        <v>47</v>
      </c>
      <c r="H280" s="5" t="s">
        <v>83</v>
      </c>
      <c r="I280" s="5" t="s">
        <v>123</v>
      </c>
      <c r="J280" s="5"/>
      <c r="K280" s="5" t="s">
        <v>947</v>
      </c>
      <c r="L280" s="5"/>
      <c r="M280" s="5"/>
      <c r="N280" s="5" t="s">
        <v>209</v>
      </c>
      <c r="O280" s="5"/>
      <c r="P280" s="6">
        <f t="shared" si="8"/>
        <v>6</v>
      </c>
      <c r="Q280" s="6" t="str">
        <f t="shared" si="9"/>
        <v>Yes</v>
      </c>
      <c r="R280" s="5" t="s">
        <v>112</v>
      </c>
      <c r="S280" s="5" t="s">
        <v>948</v>
      </c>
      <c r="T280" s="5" t="s">
        <v>949</v>
      </c>
      <c r="U280" s="5" t="s">
        <v>83</v>
      </c>
      <c r="V280" s="5" t="s">
        <v>181</v>
      </c>
      <c r="W280" s="5" t="s">
        <v>43</v>
      </c>
      <c r="X280" s="5" t="s">
        <v>473</v>
      </c>
      <c r="Y280" s="5" t="s">
        <v>88</v>
      </c>
    </row>
    <row r="281" spans="1:25" x14ac:dyDescent="0.25">
      <c r="A281" s="5" t="s">
        <v>950</v>
      </c>
      <c r="B281" s="5"/>
      <c r="C281" s="5" t="s">
        <v>43</v>
      </c>
      <c r="D281" s="5" t="s">
        <v>44</v>
      </c>
      <c r="E281" s="5" t="s">
        <v>45</v>
      </c>
      <c r="F281" s="5" t="s">
        <v>46</v>
      </c>
      <c r="G281" s="5" t="s">
        <v>47</v>
      </c>
      <c r="H281" s="5" t="s">
        <v>314</v>
      </c>
      <c r="I281" s="5" t="s">
        <v>72</v>
      </c>
      <c r="J281" s="5"/>
      <c r="K281" s="5" t="s">
        <v>951</v>
      </c>
      <c r="L281" s="5"/>
      <c r="M281" s="5"/>
      <c r="N281" s="5" t="s">
        <v>66</v>
      </c>
      <c r="O281" s="5"/>
      <c r="P281" s="6">
        <f t="shared" si="8"/>
        <v>6</v>
      </c>
      <c r="Q281" s="6" t="str">
        <f t="shared" si="9"/>
        <v>Yes</v>
      </c>
      <c r="R281" s="5" t="s">
        <v>51</v>
      </c>
      <c r="S281" s="5" t="s">
        <v>952</v>
      </c>
      <c r="T281" s="5" t="s">
        <v>953</v>
      </c>
      <c r="U281" s="5" t="s">
        <v>317</v>
      </c>
      <c r="V281" s="5" t="s">
        <v>954</v>
      </c>
      <c r="W281" s="5" t="s">
        <v>43</v>
      </c>
      <c r="X281" s="5"/>
      <c r="Y281" s="5" t="s">
        <v>243</v>
      </c>
    </row>
    <row r="282" spans="1:25" x14ac:dyDescent="0.25">
      <c r="A282" s="5" t="s">
        <v>955</v>
      </c>
      <c r="B282" s="5"/>
      <c r="C282" s="5" t="s">
        <v>128</v>
      </c>
      <c r="D282" s="5"/>
      <c r="E282" s="5"/>
      <c r="F282" s="5"/>
      <c r="G282" s="5"/>
      <c r="H282" s="5" t="s">
        <v>58</v>
      </c>
      <c r="I282" s="5"/>
      <c r="J282" s="5"/>
      <c r="K282" s="5"/>
      <c r="L282" s="5"/>
      <c r="M282" s="5"/>
      <c r="N282" s="5" t="s">
        <v>66</v>
      </c>
      <c r="O282" s="5"/>
      <c r="P282" s="6">
        <f t="shared" si="8"/>
        <v>1</v>
      </c>
      <c r="Q282" s="6" t="str">
        <f t="shared" si="9"/>
        <v>No</v>
      </c>
      <c r="R282" s="5" t="s">
        <v>51</v>
      </c>
      <c r="S282" s="5"/>
      <c r="T282" s="5"/>
      <c r="U282" s="5" t="s">
        <v>63</v>
      </c>
      <c r="V282" s="5"/>
      <c r="W282" s="5" t="s">
        <v>128</v>
      </c>
      <c r="X282" s="5" t="s">
        <v>269</v>
      </c>
      <c r="Y282" s="5"/>
    </row>
    <row r="283" spans="1:25" x14ac:dyDescent="0.25">
      <c r="A283" s="5" t="s">
        <v>956</v>
      </c>
      <c r="B283" s="5"/>
      <c r="C283" s="5" t="s">
        <v>43</v>
      </c>
      <c r="D283" s="5" t="s">
        <v>76</v>
      </c>
      <c r="E283" s="5"/>
      <c r="F283" s="5"/>
      <c r="G283" s="5" t="s">
        <v>47</v>
      </c>
      <c r="H283" s="5" t="s">
        <v>260</v>
      </c>
      <c r="I283" s="5" t="s">
        <v>192</v>
      </c>
      <c r="J283" s="5"/>
      <c r="K283" s="5" t="s">
        <v>192</v>
      </c>
      <c r="L283" s="5"/>
      <c r="M283" s="5"/>
      <c r="N283" s="5" t="s">
        <v>50</v>
      </c>
      <c r="O283" s="5"/>
      <c r="P283" s="6">
        <f t="shared" si="8"/>
        <v>4</v>
      </c>
      <c r="Q283" s="6" t="str">
        <f t="shared" si="9"/>
        <v>No</v>
      </c>
      <c r="R283" s="5" t="s">
        <v>51</v>
      </c>
      <c r="S283" s="5"/>
      <c r="T283" s="5" t="s">
        <v>957</v>
      </c>
      <c r="U283" s="5" t="s">
        <v>262</v>
      </c>
      <c r="V283" s="5" t="s">
        <v>472</v>
      </c>
      <c r="W283" s="5" t="s">
        <v>43</v>
      </c>
      <c r="X283" s="5"/>
      <c r="Y283" s="5" t="s">
        <v>353</v>
      </c>
    </row>
    <row r="284" spans="1:25" x14ac:dyDescent="0.25">
      <c r="A284" s="5" t="s">
        <v>958</v>
      </c>
      <c r="B284" s="5"/>
      <c r="C284" s="5" t="s">
        <v>43</v>
      </c>
      <c r="D284" s="5"/>
      <c r="E284" s="5"/>
      <c r="F284" s="5"/>
      <c r="G284" s="5"/>
      <c r="H284" s="5" t="s">
        <v>260</v>
      </c>
      <c r="I284" s="5"/>
      <c r="J284" s="5"/>
      <c r="K284" s="5"/>
      <c r="L284" s="5"/>
      <c r="M284" s="5"/>
      <c r="N284" s="5" t="s">
        <v>66</v>
      </c>
      <c r="O284" s="5"/>
      <c r="P284" s="6">
        <f t="shared" si="8"/>
        <v>1</v>
      </c>
      <c r="Q284" s="6" t="str">
        <f t="shared" si="9"/>
        <v>No</v>
      </c>
      <c r="R284" s="5" t="s">
        <v>51</v>
      </c>
      <c r="S284" s="5"/>
      <c r="T284" s="5"/>
      <c r="U284" s="5" t="s">
        <v>262</v>
      </c>
      <c r="V284" s="5"/>
      <c r="W284" s="5" t="s">
        <v>43</v>
      </c>
      <c r="X284" s="5"/>
      <c r="Y284" s="5"/>
    </row>
    <row r="285" spans="1:25" x14ac:dyDescent="0.25">
      <c r="A285" s="5" t="s">
        <v>959</v>
      </c>
      <c r="B285" s="5"/>
      <c r="C285" s="5" t="s">
        <v>43</v>
      </c>
      <c r="D285" s="5"/>
      <c r="E285" s="5"/>
      <c r="F285" s="5"/>
      <c r="G285" s="5"/>
      <c r="H285" s="5" t="s">
        <v>260</v>
      </c>
      <c r="I285" s="5"/>
      <c r="J285" s="5"/>
      <c r="K285" s="5"/>
      <c r="L285" s="5"/>
      <c r="M285" s="5"/>
      <c r="N285" s="5" t="s">
        <v>66</v>
      </c>
      <c r="O285" s="5"/>
      <c r="P285" s="6">
        <f t="shared" si="8"/>
        <v>1</v>
      </c>
      <c r="Q285" s="6" t="str">
        <f t="shared" si="9"/>
        <v>No</v>
      </c>
      <c r="R285" s="5" t="s">
        <v>51</v>
      </c>
      <c r="S285" s="5"/>
      <c r="T285" s="5"/>
      <c r="U285" s="5" t="s">
        <v>262</v>
      </c>
      <c r="V285" s="5"/>
      <c r="W285" s="5" t="s">
        <v>43</v>
      </c>
      <c r="X285" s="5"/>
      <c r="Y285" s="5"/>
    </row>
    <row r="286" spans="1:25" x14ac:dyDescent="0.25">
      <c r="A286" s="5" t="s">
        <v>960</v>
      </c>
      <c r="B286" s="5"/>
      <c r="C286" s="5" t="s">
        <v>70</v>
      </c>
      <c r="D286" s="5" t="s">
        <v>76</v>
      </c>
      <c r="E286" s="5"/>
      <c r="F286" s="5"/>
      <c r="G286" s="5"/>
      <c r="H286" s="5" t="s">
        <v>260</v>
      </c>
      <c r="I286" s="5"/>
      <c r="J286" s="5"/>
      <c r="K286" s="5"/>
      <c r="L286" s="5"/>
      <c r="M286" s="5"/>
      <c r="N286" s="5" t="s">
        <v>124</v>
      </c>
      <c r="O286" s="5"/>
      <c r="P286" s="6">
        <f t="shared" si="8"/>
        <v>2</v>
      </c>
      <c r="Q286" s="6" t="str">
        <f t="shared" si="9"/>
        <v>No</v>
      </c>
      <c r="R286" s="5" t="s">
        <v>125</v>
      </c>
      <c r="S286" s="5"/>
      <c r="T286" s="5"/>
      <c r="U286" s="5" t="s">
        <v>260</v>
      </c>
      <c r="V286" s="5"/>
      <c r="W286" s="5"/>
      <c r="X286" s="5"/>
      <c r="Y286" s="5" t="s">
        <v>155</v>
      </c>
    </row>
    <row r="287" spans="1:25" x14ac:dyDescent="0.25">
      <c r="A287" s="5" t="s">
        <v>961</v>
      </c>
      <c r="B287" s="5"/>
      <c r="C287" s="5" t="s">
        <v>43</v>
      </c>
      <c r="D287" s="5"/>
      <c r="E287" s="5"/>
      <c r="F287" s="5"/>
      <c r="G287" s="5"/>
      <c r="H287" s="5" t="s">
        <v>260</v>
      </c>
      <c r="I287" s="5"/>
      <c r="J287" s="5"/>
      <c r="K287" s="5"/>
      <c r="L287" s="5"/>
      <c r="M287" s="5"/>
      <c r="N287" s="5" t="s">
        <v>66</v>
      </c>
      <c r="O287" s="5"/>
      <c r="P287" s="6">
        <f t="shared" si="8"/>
        <v>1</v>
      </c>
      <c r="Q287" s="6" t="str">
        <f t="shared" si="9"/>
        <v>No</v>
      </c>
      <c r="R287" s="5" t="s">
        <v>51</v>
      </c>
      <c r="S287" s="5"/>
      <c r="T287" s="5"/>
      <c r="U287" s="5" t="s">
        <v>262</v>
      </c>
      <c r="V287" s="5"/>
      <c r="W287" s="5" t="s">
        <v>43</v>
      </c>
      <c r="X287" s="5"/>
      <c r="Y287" s="5"/>
    </row>
    <row r="288" spans="1:25" x14ac:dyDescent="0.25">
      <c r="A288" s="5" t="s">
        <v>962</v>
      </c>
      <c r="B288" s="5"/>
      <c r="C288" s="5" t="s">
        <v>128</v>
      </c>
      <c r="D288" s="5"/>
      <c r="E288" s="5"/>
      <c r="F288" s="5"/>
      <c r="G288" s="5" t="s">
        <v>57</v>
      </c>
      <c r="H288" s="5"/>
      <c r="I288" s="5" t="s">
        <v>59</v>
      </c>
      <c r="J288" s="5" t="s">
        <v>192</v>
      </c>
      <c r="K288" s="5" t="s">
        <v>963</v>
      </c>
      <c r="L288" s="5"/>
      <c r="M288" s="5"/>
      <c r="N288" s="5" t="s">
        <v>66</v>
      </c>
      <c r="O288" s="5"/>
      <c r="P288" s="6">
        <f t="shared" si="8"/>
        <v>2</v>
      </c>
      <c r="Q288" s="6" t="str">
        <f t="shared" si="9"/>
        <v>No</v>
      </c>
      <c r="R288" s="5" t="s">
        <v>51</v>
      </c>
      <c r="S288" s="5"/>
      <c r="T288" s="5" t="s">
        <v>964</v>
      </c>
      <c r="U288" s="5"/>
      <c r="V288" s="5" t="s">
        <v>57</v>
      </c>
      <c r="W288" s="5" t="s">
        <v>128</v>
      </c>
      <c r="X288" s="5" t="s">
        <v>294</v>
      </c>
      <c r="Y288" s="5"/>
    </row>
    <row r="289" spans="1:25" x14ac:dyDescent="0.25">
      <c r="A289" s="5" t="s">
        <v>965</v>
      </c>
      <c r="B289" s="5"/>
      <c r="C289" s="5" t="s">
        <v>70</v>
      </c>
      <c r="D289" s="5"/>
      <c r="E289" s="5" t="s">
        <v>45</v>
      </c>
      <c r="F289" s="5" t="s">
        <v>46</v>
      </c>
      <c r="G289" s="5" t="s">
        <v>47</v>
      </c>
      <c r="H289" s="5"/>
      <c r="I289" s="5" t="s">
        <v>49</v>
      </c>
      <c r="J289" s="5"/>
      <c r="K289" s="5" t="s">
        <v>49</v>
      </c>
      <c r="L289" s="5"/>
      <c r="M289" s="5"/>
      <c r="N289" s="5" t="s">
        <v>50</v>
      </c>
      <c r="O289" s="5"/>
      <c r="P289" s="6">
        <f t="shared" si="8"/>
        <v>4</v>
      </c>
      <c r="Q289" s="6" t="str">
        <f t="shared" si="9"/>
        <v>No</v>
      </c>
      <c r="R289" s="5" t="s">
        <v>51</v>
      </c>
      <c r="S289" s="5"/>
      <c r="T289" s="5"/>
      <c r="U289" s="5"/>
      <c r="V289" s="5"/>
      <c r="W289" s="5"/>
      <c r="X289" s="5"/>
      <c r="Y289" s="5" t="s">
        <v>966</v>
      </c>
    </row>
    <row r="290" spans="1:25" x14ac:dyDescent="0.25">
      <c r="A290" s="5" t="s">
        <v>967</v>
      </c>
      <c r="B290" s="5"/>
      <c r="C290" s="5" t="s">
        <v>128</v>
      </c>
      <c r="D290" s="5"/>
      <c r="E290" s="5"/>
      <c r="F290" s="5"/>
      <c r="G290" s="5" t="s">
        <v>57</v>
      </c>
      <c r="H290" s="5"/>
      <c r="I290" s="5"/>
      <c r="J290" s="5"/>
      <c r="K290" s="5"/>
      <c r="L290" s="5"/>
      <c r="M290" s="5"/>
      <c r="N290" s="5" t="s">
        <v>66</v>
      </c>
      <c r="O290" s="5"/>
      <c r="P290" s="6">
        <f t="shared" si="8"/>
        <v>1</v>
      </c>
      <c r="Q290" s="6" t="str">
        <f t="shared" si="9"/>
        <v>No</v>
      </c>
      <c r="R290" s="5" t="s">
        <v>51</v>
      </c>
      <c r="S290" s="5"/>
      <c r="T290" s="5"/>
      <c r="U290" s="5"/>
      <c r="V290" s="5" t="s">
        <v>57</v>
      </c>
      <c r="W290" s="5" t="s">
        <v>128</v>
      </c>
      <c r="X290" s="5" t="s">
        <v>250</v>
      </c>
      <c r="Y290" s="5"/>
    </row>
    <row r="291" spans="1:25" x14ac:dyDescent="0.25">
      <c r="A291" s="5" t="s">
        <v>968</v>
      </c>
      <c r="B291" s="5"/>
      <c r="C291" s="5" t="s">
        <v>43</v>
      </c>
      <c r="D291" s="5" t="s">
        <v>76</v>
      </c>
      <c r="E291" s="5"/>
      <c r="F291" s="5"/>
      <c r="G291" s="5"/>
      <c r="H291" s="5" t="s">
        <v>260</v>
      </c>
      <c r="I291" s="5"/>
      <c r="J291" s="5"/>
      <c r="K291" s="5"/>
      <c r="L291" s="5"/>
      <c r="M291" s="5"/>
      <c r="N291" s="5" t="s">
        <v>50</v>
      </c>
      <c r="O291" s="5"/>
      <c r="P291" s="6">
        <f t="shared" si="8"/>
        <v>2</v>
      </c>
      <c r="Q291" s="6" t="str">
        <f t="shared" si="9"/>
        <v>No</v>
      </c>
      <c r="R291" s="5" t="s">
        <v>51</v>
      </c>
      <c r="S291" s="5"/>
      <c r="T291" s="5"/>
      <c r="U291" s="5" t="s">
        <v>262</v>
      </c>
      <c r="V291" s="5"/>
      <c r="W291" s="5" t="s">
        <v>43</v>
      </c>
      <c r="X291" s="5"/>
      <c r="Y291" s="5" t="s">
        <v>136</v>
      </c>
    </row>
    <row r="292" spans="1:25" x14ac:dyDescent="0.25">
      <c r="A292" s="5" t="s">
        <v>969</v>
      </c>
      <c r="B292" s="5"/>
      <c r="C292" s="5" t="s">
        <v>43</v>
      </c>
      <c r="D292" s="5" t="s">
        <v>76</v>
      </c>
      <c r="E292" s="5"/>
      <c r="F292" s="5"/>
      <c r="G292" s="5"/>
      <c r="H292" s="5" t="s">
        <v>260</v>
      </c>
      <c r="I292" s="5"/>
      <c r="J292" s="5"/>
      <c r="K292" s="5"/>
      <c r="L292" s="5"/>
      <c r="M292" s="5"/>
      <c r="N292" s="5" t="s">
        <v>50</v>
      </c>
      <c r="O292" s="5"/>
      <c r="P292" s="6">
        <f t="shared" si="8"/>
        <v>2</v>
      </c>
      <c r="Q292" s="6" t="str">
        <f t="shared" si="9"/>
        <v>No</v>
      </c>
      <c r="R292" s="5" t="s">
        <v>51</v>
      </c>
      <c r="S292" s="5"/>
      <c r="T292" s="5"/>
      <c r="U292" s="5" t="s">
        <v>262</v>
      </c>
      <c r="V292" s="5"/>
      <c r="W292" s="5" t="s">
        <v>43</v>
      </c>
      <c r="X292" s="5"/>
      <c r="Y292" s="5" t="s">
        <v>136</v>
      </c>
    </row>
    <row r="293" spans="1:25" x14ac:dyDescent="0.25">
      <c r="A293" s="5" t="s">
        <v>970</v>
      </c>
      <c r="B293" s="5"/>
      <c r="C293" s="5"/>
      <c r="D293" s="5"/>
      <c r="E293" s="5"/>
      <c r="F293" s="5"/>
      <c r="G293" s="5"/>
      <c r="H293" s="5" t="s">
        <v>260</v>
      </c>
      <c r="I293" s="5"/>
      <c r="J293" s="5"/>
      <c r="K293" s="5"/>
      <c r="L293" s="5"/>
      <c r="M293" s="5"/>
      <c r="N293" s="5" t="s">
        <v>66</v>
      </c>
      <c r="O293" s="5" t="s">
        <v>103</v>
      </c>
      <c r="P293" s="6">
        <f t="shared" si="8"/>
        <v>1</v>
      </c>
      <c r="Q293" s="6" t="str">
        <f t="shared" si="9"/>
        <v>No</v>
      </c>
      <c r="R293" s="5" t="s">
        <v>51</v>
      </c>
      <c r="S293" s="5"/>
      <c r="T293" s="5"/>
      <c r="U293" s="5" t="s">
        <v>262</v>
      </c>
      <c r="V293" s="5"/>
      <c r="W293" s="5" t="s">
        <v>105</v>
      </c>
      <c r="X293" s="5"/>
      <c r="Y293" s="5"/>
    </row>
    <row r="294" spans="1:25" x14ac:dyDescent="0.25">
      <c r="A294" s="5" t="s">
        <v>971</v>
      </c>
      <c r="B294" s="5"/>
      <c r="C294" s="5"/>
      <c r="D294" s="5"/>
      <c r="E294" s="5"/>
      <c r="F294" s="5"/>
      <c r="G294" s="5"/>
      <c r="H294" s="5" t="s">
        <v>77</v>
      </c>
      <c r="I294" s="5" t="s">
        <v>78</v>
      </c>
      <c r="J294" s="5" t="s">
        <v>59</v>
      </c>
      <c r="K294" s="5" t="s">
        <v>972</v>
      </c>
      <c r="L294" s="5"/>
      <c r="M294" s="5"/>
      <c r="N294" s="5" t="s">
        <v>66</v>
      </c>
      <c r="O294" s="5"/>
      <c r="P294" s="6">
        <f t="shared" si="8"/>
        <v>2</v>
      </c>
      <c r="Q294" s="6" t="str">
        <f t="shared" si="9"/>
        <v>No</v>
      </c>
      <c r="R294" s="5" t="s">
        <v>51</v>
      </c>
      <c r="S294" s="5"/>
      <c r="T294" s="5" t="s">
        <v>973</v>
      </c>
      <c r="U294" s="5" t="s">
        <v>77</v>
      </c>
      <c r="V294" s="5"/>
      <c r="W294" s="5"/>
      <c r="X294" s="5"/>
      <c r="Y294" s="5"/>
    </row>
    <row r="295" spans="1:25" x14ac:dyDescent="0.25">
      <c r="A295" s="5" t="s">
        <v>974</v>
      </c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 t="s">
        <v>66</v>
      </c>
      <c r="O295" s="5"/>
      <c r="P295" s="6">
        <f t="shared" si="8"/>
        <v>0</v>
      </c>
      <c r="Q295" s="6" t="str">
        <f t="shared" si="9"/>
        <v>No</v>
      </c>
      <c r="R295" s="5" t="s">
        <v>51</v>
      </c>
      <c r="S295" s="5"/>
      <c r="T295" s="5"/>
      <c r="U295" s="5"/>
      <c r="V295" s="5"/>
      <c r="W295" s="5"/>
      <c r="X295" s="5"/>
      <c r="Y295" s="5"/>
    </row>
    <row r="296" spans="1:25" x14ac:dyDescent="0.25">
      <c r="A296" s="5" t="s">
        <v>975</v>
      </c>
      <c r="B296" s="5"/>
      <c r="C296" s="5"/>
      <c r="D296" s="5"/>
      <c r="E296" s="5"/>
      <c r="F296" s="5"/>
      <c r="G296" s="5"/>
      <c r="H296" s="5" t="s">
        <v>559</v>
      </c>
      <c r="I296" s="5" t="s">
        <v>72</v>
      </c>
      <c r="J296" s="5"/>
      <c r="K296" s="5" t="s">
        <v>72</v>
      </c>
      <c r="L296" s="5"/>
      <c r="M296" s="5"/>
      <c r="N296" s="5" t="s">
        <v>66</v>
      </c>
      <c r="O296" s="5" t="s">
        <v>103</v>
      </c>
      <c r="P296" s="6">
        <f t="shared" si="8"/>
        <v>2</v>
      </c>
      <c r="Q296" s="6" t="str">
        <f t="shared" si="9"/>
        <v>No</v>
      </c>
      <c r="R296" s="5" t="s">
        <v>51</v>
      </c>
      <c r="S296" s="5"/>
      <c r="T296" s="5" t="s">
        <v>976</v>
      </c>
      <c r="U296" s="5" t="s">
        <v>559</v>
      </c>
      <c r="V296" s="5"/>
      <c r="W296" s="5" t="s">
        <v>105</v>
      </c>
      <c r="X296" s="5"/>
      <c r="Y296" s="5"/>
    </row>
    <row r="297" spans="1:25" x14ac:dyDescent="0.25">
      <c r="A297" s="5" t="s">
        <v>977</v>
      </c>
      <c r="B297" s="5"/>
      <c r="C297" s="5" t="s">
        <v>43</v>
      </c>
      <c r="D297" s="5" t="s">
        <v>44</v>
      </c>
      <c r="E297" s="5" t="s">
        <v>45</v>
      </c>
      <c r="F297" s="5" t="s">
        <v>46</v>
      </c>
      <c r="G297" s="5"/>
      <c r="H297" s="5" t="s">
        <v>96</v>
      </c>
      <c r="I297" s="5" t="s">
        <v>91</v>
      </c>
      <c r="J297" s="5" t="s">
        <v>72</v>
      </c>
      <c r="K297" s="5" t="s">
        <v>978</v>
      </c>
      <c r="L297" s="5"/>
      <c r="M297" s="5"/>
      <c r="N297" s="5" t="s">
        <v>50</v>
      </c>
      <c r="O297" s="5"/>
      <c r="P297" s="6">
        <f t="shared" si="8"/>
        <v>5</v>
      </c>
      <c r="Q297" s="6" t="str">
        <f t="shared" si="9"/>
        <v>No</v>
      </c>
      <c r="R297" s="5" t="s">
        <v>51</v>
      </c>
      <c r="S297" s="5" t="s">
        <v>979</v>
      </c>
      <c r="T297" s="5" t="s">
        <v>980</v>
      </c>
      <c r="U297" s="5" t="s">
        <v>99</v>
      </c>
      <c r="V297" s="5"/>
      <c r="W297" s="5" t="s">
        <v>43</v>
      </c>
      <c r="X297" s="5" t="s">
        <v>677</v>
      </c>
      <c r="Y297" s="5" t="s">
        <v>348</v>
      </c>
    </row>
    <row r="298" spans="1:25" x14ac:dyDescent="0.25">
      <c r="A298" s="5" t="s">
        <v>981</v>
      </c>
      <c r="B298" s="5"/>
      <c r="C298" s="5" t="s">
        <v>43</v>
      </c>
      <c r="D298" s="5"/>
      <c r="E298" s="5"/>
      <c r="F298" s="5"/>
      <c r="G298" s="5"/>
      <c r="H298" s="5"/>
      <c r="I298" s="5" t="s">
        <v>192</v>
      </c>
      <c r="J298" s="5"/>
      <c r="K298" s="5" t="s">
        <v>192</v>
      </c>
      <c r="L298" s="5"/>
      <c r="M298" s="5"/>
      <c r="N298" s="5" t="s">
        <v>50</v>
      </c>
      <c r="O298" s="5"/>
      <c r="P298" s="6">
        <f t="shared" si="8"/>
        <v>1</v>
      </c>
      <c r="Q298" s="6" t="str">
        <f t="shared" si="9"/>
        <v>No</v>
      </c>
      <c r="R298" s="5" t="s">
        <v>51</v>
      </c>
      <c r="S298" s="5"/>
      <c r="T298" s="5" t="s">
        <v>982</v>
      </c>
      <c r="U298" s="5"/>
      <c r="V298" s="5"/>
      <c r="W298" s="5" t="s">
        <v>43</v>
      </c>
      <c r="X298" s="5"/>
      <c r="Y298" s="5" t="s">
        <v>589</v>
      </c>
    </row>
    <row r="299" spans="1:25" x14ac:dyDescent="0.25">
      <c r="A299" s="5" t="s">
        <v>983</v>
      </c>
      <c r="B299" s="5"/>
      <c r="C299" s="5" t="s">
        <v>43</v>
      </c>
      <c r="D299" s="5" t="s">
        <v>44</v>
      </c>
      <c r="E299" s="5"/>
      <c r="F299" s="5"/>
      <c r="G299" s="5" t="s">
        <v>47</v>
      </c>
      <c r="H299" s="5" t="s">
        <v>58</v>
      </c>
      <c r="I299" s="5" t="s">
        <v>123</v>
      </c>
      <c r="J299" s="5"/>
      <c r="K299" s="5" t="s">
        <v>123</v>
      </c>
      <c r="L299" s="5"/>
      <c r="M299" s="5"/>
      <c r="N299" s="5" t="s">
        <v>50</v>
      </c>
      <c r="O299" s="5"/>
      <c r="P299" s="6">
        <f t="shared" si="8"/>
        <v>4</v>
      </c>
      <c r="Q299" s="6" t="str">
        <f t="shared" si="9"/>
        <v>No</v>
      </c>
      <c r="R299" s="5" t="s">
        <v>51</v>
      </c>
      <c r="S299" s="5"/>
      <c r="T299" s="5" t="s">
        <v>984</v>
      </c>
      <c r="U299" s="5" t="s">
        <v>63</v>
      </c>
      <c r="V299" s="5"/>
      <c r="W299" s="5" t="s">
        <v>43</v>
      </c>
      <c r="X299" s="5"/>
      <c r="Y299" s="5" t="s">
        <v>64</v>
      </c>
    </row>
    <row r="300" spans="1:25" x14ac:dyDescent="0.25">
      <c r="A300" s="5" t="s">
        <v>985</v>
      </c>
      <c r="B300" s="5"/>
      <c r="C300" s="5" t="s">
        <v>43</v>
      </c>
      <c r="D300" s="5" t="s">
        <v>44</v>
      </c>
      <c r="E300" s="5" t="s">
        <v>45</v>
      </c>
      <c r="F300" s="5" t="s">
        <v>107</v>
      </c>
      <c r="G300" s="5" t="s">
        <v>57</v>
      </c>
      <c r="H300" s="5" t="s">
        <v>664</v>
      </c>
      <c r="I300" s="5" t="s">
        <v>91</v>
      </c>
      <c r="J300" s="5"/>
      <c r="K300" s="5" t="s">
        <v>986</v>
      </c>
      <c r="L300" s="5"/>
      <c r="M300" s="5"/>
      <c r="N300" s="5" t="s">
        <v>110</v>
      </c>
      <c r="O300" s="5"/>
      <c r="P300" s="6">
        <f t="shared" si="8"/>
        <v>6</v>
      </c>
      <c r="Q300" s="6" t="str">
        <f t="shared" si="9"/>
        <v>Yes</v>
      </c>
      <c r="R300" s="5" t="s">
        <v>112</v>
      </c>
      <c r="S300" s="5" t="s">
        <v>987</v>
      </c>
      <c r="T300" s="5" t="s">
        <v>988</v>
      </c>
      <c r="U300" s="5" t="s">
        <v>664</v>
      </c>
      <c r="V300" s="5"/>
      <c r="W300" s="5" t="s">
        <v>43</v>
      </c>
      <c r="X300" s="5" t="s">
        <v>677</v>
      </c>
      <c r="Y300" s="5" t="s">
        <v>489</v>
      </c>
    </row>
    <row r="301" spans="1:25" x14ac:dyDescent="0.25">
      <c r="A301" s="5" t="s">
        <v>989</v>
      </c>
      <c r="B301" s="5"/>
      <c r="C301" s="5" t="s">
        <v>43</v>
      </c>
      <c r="D301" s="5" t="s">
        <v>76</v>
      </c>
      <c r="E301" s="5" t="s">
        <v>45</v>
      </c>
      <c r="F301" s="5" t="s">
        <v>107</v>
      </c>
      <c r="G301" s="5" t="s">
        <v>47</v>
      </c>
      <c r="H301" s="5" t="s">
        <v>323</v>
      </c>
      <c r="I301" s="5" t="s">
        <v>119</v>
      </c>
      <c r="J301" s="5" t="s">
        <v>771</v>
      </c>
      <c r="K301" s="5" t="s">
        <v>990</v>
      </c>
      <c r="L301" s="5"/>
      <c r="M301" s="5"/>
      <c r="N301" s="5" t="s">
        <v>66</v>
      </c>
      <c r="O301" s="5"/>
      <c r="P301" s="6">
        <f t="shared" si="8"/>
        <v>6</v>
      </c>
      <c r="Q301" s="6" t="str">
        <f t="shared" si="9"/>
        <v>Yes</v>
      </c>
      <c r="R301" s="5" t="s">
        <v>51</v>
      </c>
      <c r="S301" s="5" t="s">
        <v>991</v>
      </c>
      <c r="T301" s="5" t="s">
        <v>992</v>
      </c>
      <c r="U301" s="5" t="s">
        <v>323</v>
      </c>
      <c r="V301" s="5" t="s">
        <v>181</v>
      </c>
      <c r="W301" s="5" t="s">
        <v>43</v>
      </c>
      <c r="X301" s="5" t="s">
        <v>686</v>
      </c>
      <c r="Y301" s="5" t="s">
        <v>88</v>
      </c>
    </row>
    <row r="302" spans="1:25" x14ac:dyDescent="0.25">
      <c r="A302" s="5" t="s">
        <v>993</v>
      </c>
      <c r="B302" s="5"/>
      <c r="C302" s="5" t="s">
        <v>128</v>
      </c>
      <c r="D302" s="5"/>
      <c r="E302" s="5"/>
      <c r="F302" s="5"/>
      <c r="G302" s="5" t="s">
        <v>57</v>
      </c>
      <c r="H302" s="5" t="s">
        <v>565</v>
      </c>
      <c r="I302" s="5"/>
      <c r="J302" s="5"/>
      <c r="K302" s="5"/>
      <c r="L302" s="5"/>
      <c r="M302" s="5"/>
      <c r="N302" s="5" t="s">
        <v>66</v>
      </c>
      <c r="O302" s="5"/>
      <c r="P302" s="6">
        <f t="shared" si="8"/>
        <v>2</v>
      </c>
      <c r="Q302" s="6" t="str">
        <f t="shared" si="9"/>
        <v>No</v>
      </c>
      <c r="R302" s="5" t="s">
        <v>51</v>
      </c>
      <c r="S302" s="5"/>
      <c r="T302" s="5"/>
      <c r="U302" s="5" t="s">
        <v>565</v>
      </c>
      <c r="V302" s="5" t="s">
        <v>57</v>
      </c>
      <c r="W302" s="5" t="s">
        <v>128</v>
      </c>
      <c r="X302" s="5" t="s">
        <v>130</v>
      </c>
      <c r="Y302" s="5"/>
    </row>
    <row r="303" spans="1:25" x14ac:dyDescent="0.25">
      <c r="A303" s="5" t="s">
        <v>994</v>
      </c>
      <c r="B303" s="5"/>
      <c r="C303" s="5" t="s">
        <v>43</v>
      </c>
      <c r="D303" s="5" t="s">
        <v>76</v>
      </c>
      <c r="E303" s="5" t="s">
        <v>45</v>
      </c>
      <c r="F303" s="5" t="s">
        <v>107</v>
      </c>
      <c r="G303" s="5" t="s">
        <v>57</v>
      </c>
      <c r="H303" s="5" t="s">
        <v>323</v>
      </c>
      <c r="I303" s="5" t="s">
        <v>71</v>
      </c>
      <c r="J303" s="5" t="s">
        <v>157</v>
      </c>
      <c r="K303" s="5" t="s">
        <v>995</v>
      </c>
      <c r="L303" s="5"/>
      <c r="M303" s="5"/>
      <c r="N303" s="5" t="s">
        <v>50</v>
      </c>
      <c r="O303" s="5" t="s">
        <v>225</v>
      </c>
      <c r="P303" s="6">
        <f t="shared" si="8"/>
        <v>6</v>
      </c>
      <c r="Q303" s="6" t="str">
        <f t="shared" si="9"/>
        <v>Yes</v>
      </c>
      <c r="R303" s="5" t="s">
        <v>51</v>
      </c>
      <c r="S303" s="5" t="s">
        <v>996</v>
      </c>
      <c r="T303" s="5" t="s">
        <v>997</v>
      </c>
      <c r="U303" s="5" t="s">
        <v>998</v>
      </c>
      <c r="V303" s="5" t="s">
        <v>57</v>
      </c>
      <c r="W303" s="5" t="s">
        <v>43</v>
      </c>
      <c r="X303" s="5" t="s">
        <v>222</v>
      </c>
      <c r="Y303" s="5" t="s">
        <v>999</v>
      </c>
    </row>
    <row r="304" spans="1:25" x14ac:dyDescent="0.25">
      <c r="A304" s="5" t="s">
        <v>1000</v>
      </c>
      <c r="B304" s="5"/>
      <c r="C304" s="5" t="s">
        <v>43</v>
      </c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 t="s">
        <v>66</v>
      </c>
      <c r="O304" s="5"/>
      <c r="P304" s="6">
        <f t="shared" si="8"/>
        <v>0</v>
      </c>
      <c r="Q304" s="6" t="str">
        <f t="shared" si="9"/>
        <v>No</v>
      </c>
      <c r="R304" s="5" t="s">
        <v>51</v>
      </c>
      <c r="S304" s="5"/>
      <c r="T304" s="5"/>
      <c r="U304" s="5"/>
      <c r="V304" s="5"/>
      <c r="W304" s="5" t="s">
        <v>43</v>
      </c>
      <c r="X304" s="5"/>
      <c r="Y304" s="5"/>
    </row>
    <row r="305" spans="1:25" x14ac:dyDescent="0.25">
      <c r="A305" s="5" t="s">
        <v>1001</v>
      </c>
      <c r="B305" s="5"/>
      <c r="C305" s="5" t="s">
        <v>70</v>
      </c>
      <c r="D305" s="5" t="s">
        <v>44</v>
      </c>
      <c r="E305" s="5"/>
      <c r="F305" s="5"/>
      <c r="G305" s="5"/>
      <c r="H305" s="5" t="s">
        <v>314</v>
      </c>
      <c r="I305" s="5"/>
      <c r="J305" s="5"/>
      <c r="K305" s="5"/>
      <c r="L305" s="5"/>
      <c r="M305" s="5"/>
      <c r="N305" s="5" t="s">
        <v>124</v>
      </c>
      <c r="O305" s="5"/>
      <c r="P305" s="6">
        <f t="shared" si="8"/>
        <v>2</v>
      </c>
      <c r="Q305" s="6" t="str">
        <f t="shared" si="9"/>
        <v>No</v>
      </c>
      <c r="R305" s="5" t="s">
        <v>125</v>
      </c>
      <c r="S305" s="5" t="s">
        <v>138</v>
      </c>
      <c r="T305" s="5"/>
      <c r="U305" s="5" t="s">
        <v>314</v>
      </c>
      <c r="V305" s="5"/>
      <c r="W305" s="5"/>
      <c r="X305" s="5"/>
      <c r="Y305" s="5" t="s">
        <v>155</v>
      </c>
    </row>
    <row r="306" spans="1:25" x14ac:dyDescent="0.25">
      <c r="A306" s="5" t="s">
        <v>1002</v>
      </c>
      <c r="B306" s="5"/>
      <c r="C306" s="5" t="s">
        <v>43</v>
      </c>
      <c r="D306" s="5" t="s">
        <v>44</v>
      </c>
      <c r="E306" s="5"/>
      <c r="F306" s="5" t="s">
        <v>46</v>
      </c>
      <c r="G306" s="5" t="s">
        <v>47</v>
      </c>
      <c r="H306" s="5" t="s">
        <v>58</v>
      </c>
      <c r="I306" s="5" t="s">
        <v>123</v>
      </c>
      <c r="J306" s="5"/>
      <c r="K306" s="5" t="s">
        <v>123</v>
      </c>
      <c r="L306" s="5"/>
      <c r="M306" s="5"/>
      <c r="N306" s="5" t="s">
        <v>50</v>
      </c>
      <c r="O306" s="5"/>
      <c r="P306" s="6">
        <f t="shared" si="8"/>
        <v>5</v>
      </c>
      <c r="Q306" s="6" t="str">
        <f t="shared" si="9"/>
        <v>No</v>
      </c>
      <c r="R306" s="5" t="s">
        <v>51</v>
      </c>
      <c r="S306" s="5"/>
      <c r="T306" s="5" t="s">
        <v>1003</v>
      </c>
      <c r="U306" s="5" t="s">
        <v>63</v>
      </c>
      <c r="V306" s="5" t="s">
        <v>47</v>
      </c>
      <c r="W306" s="5" t="s">
        <v>43</v>
      </c>
      <c r="X306" s="5" t="s">
        <v>130</v>
      </c>
      <c r="Y306" s="5" t="s">
        <v>593</v>
      </c>
    </row>
    <row r="307" spans="1:25" x14ac:dyDescent="0.25">
      <c r="A307" s="5" t="s">
        <v>1004</v>
      </c>
      <c r="B307" s="5"/>
      <c r="C307" s="5" t="s">
        <v>43</v>
      </c>
      <c r="D307" s="5" t="s">
        <v>76</v>
      </c>
      <c r="E307" s="5" t="s">
        <v>45</v>
      </c>
      <c r="F307" s="5" t="s">
        <v>46</v>
      </c>
      <c r="G307" s="5" t="s">
        <v>57</v>
      </c>
      <c r="H307" s="5" t="s">
        <v>77</v>
      </c>
      <c r="I307" s="5" t="s">
        <v>59</v>
      </c>
      <c r="J307" s="5" t="s">
        <v>119</v>
      </c>
      <c r="K307" s="5" t="s">
        <v>1005</v>
      </c>
      <c r="L307" s="5"/>
      <c r="M307" s="5"/>
      <c r="N307" s="5" t="s">
        <v>110</v>
      </c>
      <c r="O307" s="5" t="s">
        <v>225</v>
      </c>
      <c r="P307" s="6">
        <f t="shared" si="8"/>
        <v>6</v>
      </c>
      <c r="Q307" s="6" t="str">
        <f t="shared" si="9"/>
        <v>Yes</v>
      </c>
      <c r="R307" s="5" t="s">
        <v>112</v>
      </c>
      <c r="S307" s="5"/>
      <c r="T307" s="5" t="s">
        <v>1006</v>
      </c>
      <c r="U307" s="5" t="s">
        <v>422</v>
      </c>
      <c r="V307" s="5" t="s">
        <v>57</v>
      </c>
      <c r="W307" s="5" t="s">
        <v>43</v>
      </c>
      <c r="X307" s="5" t="s">
        <v>630</v>
      </c>
      <c r="Y307" s="5" t="s">
        <v>117</v>
      </c>
    </row>
    <row r="308" spans="1:25" x14ac:dyDescent="0.25">
      <c r="A308" s="5" t="s">
        <v>1007</v>
      </c>
      <c r="B308" s="5"/>
      <c r="C308" s="5" t="s">
        <v>70</v>
      </c>
      <c r="D308" s="5" t="s">
        <v>76</v>
      </c>
      <c r="E308" s="5"/>
      <c r="F308" s="5"/>
      <c r="G308" s="5"/>
      <c r="H308" s="5" t="s">
        <v>77</v>
      </c>
      <c r="I308" s="5"/>
      <c r="J308" s="5"/>
      <c r="K308" s="5"/>
      <c r="L308" s="5"/>
      <c r="M308" s="5"/>
      <c r="N308" s="5" t="s">
        <v>50</v>
      </c>
      <c r="O308" s="5"/>
      <c r="P308" s="6">
        <f t="shared" si="8"/>
        <v>2</v>
      </c>
      <c r="Q308" s="6" t="str">
        <f t="shared" si="9"/>
        <v>No</v>
      </c>
      <c r="R308" s="5" t="s">
        <v>51</v>
      </c>
      <c r="S308" s="5"/>
      <c r="T308" s="5" t="s">
        <v>1008</v>
      </c>
      <c r="U308" s="5" t="s">
        <v>77</v>
      </c>
      <c r="V308" s="5"/>
      <c r="W308" s="5"/>
      <c r="X308" s="5"/>
      <c r="Y308" s="5" t="s">
        <v>189</v>
      </c>
    </row>
    <row r="309" spans="1:25" x14ac:dyDescent="0.25">
      <c r="A309" s="5" t="s">
        <v>1009</v>
      </c>
      <c r="B309" s="5"/>
      <c r="C309" s="5" t="s">
        <v>70</v>
      </c>
      <c r="D309" s="5" t="s">
        <v>76</v>
      </c>
      <c r="E309" s="5"/>
      <c r="F309" s="5" t="s">
        <v>46</v>
      </c>
      <c r="G309" s="5"/>
      <c r="H309" s="5" t="s">
        <v>77</v>
      </c>
      <c r="I309" s="5" t="s">
        <v>49</v>
      </c>
      <c r="J309" s="5" t="s">
        <v>1010</v>
      </c>
      <c r="K309" s="5" t="s">
        <v>1011</v>
      </c>
      <c r="L309" s="5"/>
      <c r="M309" s="5"/>
      <c r="N309" s="5" t="s">
        <v>50</v>
      </c>
      <c r="O309" s="5"/>
      <c r="P309" s="6">
        <f t="shared" si="8"/>
        <v>4</v>
      </c>
      <c r="Q309" s="6" t="str">
        <f t="shared" si="9"/>
        <v>No</v>
      </c>
      <c r="R309" s="5" t="s">
        <v>51</v>
      </c>
      <c r="S309" s="5"/>
      <c r="T309" s="5" t="s">
        <v>1012</v>
      </c>
      <c r="U309" s="5" t="s">
        <v>77</v>
      </c>
      <c r="V309" s="5"/>
      <c r="W309" s="5"/>
      <c r="X309" s="5"/>
      <c r="Y309" s="5" t="s">
        <v>302</v>
      </c>
    </row>
    <row r="310" spans="1:25" x14ac:dyDescent="0.25">
      <c r="A310" s="5" t="s">
        <v>1013</v>
      </c>
      <c r="B310" s="5" t="s">
        <v>1014</v>
      </c>
      <c r="C310" s="5" t="s">
        <v>70</v>
      </c>
      <c r="D310" s="5"/>
      <c r="E310" s="5" t="s">
        <v>253</v>
      </c>
      <c r="F310" s="5"/>
      <c r="G310" s="5" t="s">
        <v>47</v>
      </c>
      <c r="H310" s="5"/>
      <c r="I310" s="5" t="s">
        <v>72</v>
      </c>
      <c r="J310" s="5"/>
      <c r="K310" s="5" t="s">
        <v>1015</v>
      </c>
      <c r="L310" s="5"/>
      <c r="M310" s="5"/>
      <c r="N310" s="5" t="s">
        <v>255</v>
      </c>
      <c r="O310" s="5"/>
      <c r="P310" s="6">
        <f t="shared" si="8"/>
        <v>3</v>
      </c>
      <c r="Q310" s="6" t="str">
        <f t="shared" si="9"/>
        <v>No</v>
      </c>
      <c r="R310" s="5" t="s">
        <v>256</v>
      </c>
      <c r="S310" s="5"/>
      <c r="T310" s="5"/>
      <c r="U310" s="5"/>
      <c r="V310" s="5"/>
      <c r="W310" s="5"/>
      <c r="X310" s="5"/>
      <c r="Y310" s="5" t="s">
        <v>257</v>
      </c>
    </row>
    <row r="311" spans="1:25" x14ac:dyDescent="0.25">
      <c r="A311" s="5" t="s">
        <v>1016</v>
      </c>
      <c r="B311" s="5"/>
      <c r="C311" s="5" t="s">
        <v>70</v>
      </c>
      <c r="D311" s="5" t="s">
        <v>76</v>
      </c>
      <c r="E311" s="5"/>
      <c r="F311" s="5"/>
      <c r="G311" s="5"/>
      <c r="H311" s="5" t="s">
        <v>58</v>
      </c>
      <c r="I311" s="5" t="s">
        <v>91</v>
      </c>
      <c r="J311" s="5"/>
      <c r="K311" s="5" t="s">
        <v>1017</v>
      </c>
      <c r="L311" s="5"/>
      <c r="M311" s="5"/>
      <c r="N311" s="5" t="s">
        <v>50</v>
      </c>
      <c r="O311" s="5"/>
      <c r="P311" s="6">
        <f t="shared" si="8"/>
        <v>3</v>
      </c>
      <c r="Q311" s="6" t="str">
        <f t="shared" si="9"/>
        <v>No</v>
      </c>
      <c r="R311" s="5" t="s">
        <v>51</v>
      </c>
      <c r="S311" s="5"/>
      <c r="T311" s="5" t="s">
        <v>1018</v>
      </c>
      <c r="U311" s="5" t="s">
        <v>63</v>
      </c>
      <c r="V311" s="5"/>
      <c r="W311" s="5"/>
      <c r="X311" s="5"/>
      <c r="Y311" s="5" t="s">
        <v>430</v>
      </c>
    </row>
    <row r="312" spans="1:25" x14ac:dyDescent="0.25">
      <c r="A312" s="5" t="s">
        <v>1019</v>
      </c>
      <c r="B312" s="5"/>
      <c r="C312" s="5" t="s">
        <v>43</v>
      </c>
      <c r="D312" s="5" t="s">
        <v>44</v>
      </c>
      <c r="E312" s="5"/>
      <c r="F312" s="5"/>
      <c r="G312" s="5" t="s">
        <v>47</v>
      </c>
      <c r="H312" s="5" t="s">
        <v>48</v>
      </c>
      <c r="I312" s="5" t="s">
        <v>119</v>
      </c>
      <c r="J312" s="5"/>
      <c r="K312" s="5" t="s">
        <v>119</v>
      </c>
      <c r="L312" s="5"/>
      <c r="M312" s="5"/>
      <c r="N312" s="5" t="s">
        <v>50</v>
      </c>
      <c r="O312" s="5"/>
      <c r="P312" s="6">
        <f t="shared" si="8"/>
        <v>4</v>
      </c>
      <c r="Q312" s="6" t="str">
        <f t="shared" si="9"/>
        <v>No</v>
      </c>
      <c r="R312" s="5" t="s">
        <v>51</v>
      </c>
      <c r="S312" s="5"/>
      <c r="T312" s="5" t="s">
        <v>1020</v>
      </c>
      <c r="U312" s="5" t="s">
        <v>53</v>
      </c>
      <c r="V312" s="5"/>
      <c r="W312" s="5" t="s">
        <v>43</v>
      </c>
      <c r="X312" s="5"/>
      <c r="Y312" s="5" t="s">
        <v>94</v>
      </c>
    </row>
    <row r="313" spans="1:25" x14ac:dyDescent="0.25">
      <c r="A313" s="5" t="s">
        <v>1021</v>
      </c>
      <c r="B313" s="5"/>
      <c r="C313" s="5"/>
      <c r="D313" s="5"/>
      <c r="E313" s="5" t="s">
        <v>45</v>
      </c>
      <c r="F313" s="5" t="s">
        <v>46</v>
      </c>
      <c r="G313" s="5"/>
      <c r="H313" s="5" t="s">
        <v>77</v>
      </c>
      <c r="I313" s="5" t="s">
        <v>119</v>
      </c>
      <c r="J313" s="5" t="s">
        <v>91</v>
      </c>
      <c r="K313" s="5" t="s">
        <v>1022</v>
      </c>
      <c r="L313" s="5"/>
      <c r="M313" s="5"/>
      <c r="N313" s="5" t="s">
        <v>66</v>
      </c>
      <c r="O313" s="5" t="s">
        <v>103</v>
      </c>
      <c r="P313" s="6">
        <f t="shared" si="8"/>
        <v>4</v>
      </c>
      <c r="Q313" s="6" t="str">
        <f t="shared" si="9"/>
        <v>No</v>
      </c>
      <c r="R313" s="5" t="s">
        <v>51</v>
      </c>
      <c r="S313" s="5" t="s">
        <v>1023</v>
      </c>
      <c r="T313" s="5" t="s">
        <v>1024</v>
      </c>
      <c r="U313" s="5" t="s">
        <v>77</v>
      </c>
      <c r="V313" s="5"/>
      <c r="W313" s="5" t="s">
        <v>105</v>
      </c>
      <c r="X313" s="5"/>
      <c r="Y313" s="5" t="s">
        <v>167</v>
      </c>
    </row>
    <row r="314" spans="1:25" x14ac:dyDescent="0.25">
      <c r="A314" s="5" t="s">
        <v>1025</v>
      </c>
      <c r="B314" s="5"/>
      <c r="C314" s="5" t="s">
        <v>43</v>
      </c>
      <c r="D314" s="5" t="s">
        <v>76</v>
      </c>
      <c r="E314" s="5" t="s">
        <v>45</v>
      </c>
      <c r="F314" s="5" t="s">
        <v>46</v>
      </c>
      <c r="G314" s="5" t="s">
        <v>57</v>
      </c>
      <c r="H314" s="5" t="s">
        <v>700</v>
      </c>
      <c r="I314" s="5" t="s">
        <v>119</v>
      </c>
      <c r="J314" s="5"/>
      <c r="K314" s="5" t="s">
        <v>119</v>
      </c>
      <c r="L314" s="5"/>
      <c r="M314" s="5"/>
      <c r="N314" s="5" t="s">
        <v>50</v>
      </c>
      <c r="O314" s="5"/>
      <c r="P314" s="6">
        <f t="shared" si="8"/>
        <v>6</v>
      </c>
      <c r="Q314" s="6" t="str">
        <f t="shared" si="9"/>
        <v>Yes</v>
      </c>
      <c r="R314" s="5" t="s">
        <v>51</v>
      </c>
      <c r="S314" s="5" t="s">
        <v>1026</v>
      </c>
      <c r="T314" s="5" t="s">
        <v>1027</v>
      </c>
      <c r="U314" s="5" t="s">
        <v>700</v>
      </c>
      <c r="V314" s="5"/>
      <c r="W314" s="5" t="s">
        <v>43</v>
      </c>
      <c r="X314" s="5" t="s">
        <v>686</v>
      </c>
      <c r="Y314" s="5" t="s">
        <v>1028</v>
      </c>
    </row>
    <row r="315" spans="1:25" x14ac:dyDescent="0.25">
      <c r="A315" s="5" t="s">
        <v>1029</v>
      </c>
      <c r="B315" s="5"/>
      <c r="C315" s="5"/>
      <c r="D315" s="5"/>
      <c r="E315" s="5"/>
      <c r="F315" s="5"/>
      <c r="G315" s="5"/>
      <c r="H315" s="5" t="s">
        <v>77</v>
      </c>
      <c r="I315" s="5" t="s">
        <v>49</v>
      </c>
      <c r="J315" s="5" t="s">
        <v>91</v>
      </c>
      <c r="K315" s="5" t="s">
        <v>1030</v>
      </c>
      <c r="L315" s="5"/>
      <c r="M315" s="5"/>
      <c r="N315" s="5" t="s">
        <v>66</v>
      </c>
      <c r="O315" s="5"/>
      <c r="P315" s="6">
        <f t="shared" si="8"/>
        <v>2</v>
      </c>
      <c r="Q315" s="6" t="str">
        <f t="shared" si="9"/>
        <v>No</v>
      </c>
      <c r="R315" s="5" t="s">
        <v>51</v>
      </c>
      <c r="S315" s="5"/>
      <c r="T315" s="5" t="s">
        <v>1031</v>
      </c>
      <c r="U315" s="5" t="s">
        <v>77</v>
      </c>
      <c r="V315" s="5"/>
      <c r="W315" s="5"/>
      <c r="X315" s="5"/>
      <c r="Y315" s="5"/>
    </row>
    <row r="316" spans="1:25" x14ac:dyDescent="0.25">
      <c r="A316" s="5" t="s">
        <v>1032</v>
      </c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 t="s">
        <v>66</v>
      </c>
      <c r="O316" s="5"/>
      <c r="P316" s="6">
        <f t="shared" si="8"/>
        <v>0</v>
      </c>
      <c r="Q316" s="6" t="str">
        <f t="shared" si="9"/>
        <v>No</v>
      </c>
      <c r="R316" s="5" t="s">
        <v>51</v>
      </c>
      <c r="S316" s="5"/>
      <c r="T316" s="5"/>
      <c r="U316" s="5"/>
      <c r="V316" s="5"/>
      <c r="W316" s="5"/>
      <c r="X316" s="5"/>
      <c r="Y316" s="5"/>
    </row>
    <row r="317" spans="1:25" x14ac:dyDescent="0.25">
      <c r="A317" s="5" t="s">
        <v>1033</v>
      </c>
      <c r="B317" s="5"/>
      <c r="C317" s="5" t="s">
        <v>43</v>
      </c>
      <c r="D317" s="5" t="s">
        <v>44</v>
      </c>
      <c r="E317" s="5"/>
      <c r="F317" s="5"/>
      <c r="G317" s="5"/>
      <c r="H317" s="5" t="s">
        <v>48</v>
      </c>
      <c r="I317" s="5" t="s">
        <v>119</v>
      </c>
      <c r="J317" s="5"/>
      <c r="K317" s="5" t="s">
        <v>119</v>
      </c>
      <c r="L317" s="5"/>
      <c r="M317" s="5"/>
      <c r="N317" s="5" t="s">
        <v>50</v>
      </c>
      <c r="O317" s="5"/>
      <c r="P317" s="6">
        <f t="shared" si="8"/>
        <v>3</v>
      </c>
      <c r="Q317" s="6" t="str">
        <f t="shared" si="9"/>
        <v>No</v>
      </c>
      <c r="R317" s="5" t="s">
        <v>51</v>
      </c>
      <c r="S317" s="5"/>
      <c r="T317" s="5" t="s">
        <v>1034</v>
      </c>
      <c r="U317" s="5" t="s">
        <v>53</v>
      </c>
      <c r="V317" s="5"/>
      <c r="W317" s="5" t="s">
        <v>43</v>
      </c>
      <c r="X317" s="5"/>
      <c r="Y317" s="5" t="s">
        <v>136</v>
      </c>
    </row>
    <row r="318" spans="1:25" x14ac:dyDescent="0.25">
      <c r="A318" s="5" t="s">
        <v>1035</v>
      </c>
      <c r="B318" s="5"/>
      <c r="C318" s="5"/>
      <c r="D318" s="5"/>
      <c r="E318" s="5"/>
      <c r="F318" s="5"/>
      <c r="G318" s="5"/>
      <c r="H318" s="5" t="s">
        <v>77</v>
      </c>
      <c r="I318" s="5" t="s">
        <v>119</v>
      </c>
      <c r="J318" s="5" t="s">
        <v>91</v>
      </c>
      <c r="K318" s="5" t="s">
        <v>1036</v>
      </c>
      <c r="L318" s="5"/>
      <c r="M318" s="5"/>
      <c r="N318" s="5" t="s">
        <v>66</v>
      </c>
      <c r="O318" s="5"/>
      <c r="P318" s="6">
        <f t="shared" si="8"/>
        <v>2</v>
      </c>
      <c r="Q318" s="6" t="str">
        <f t="shared" si="9"/>
        <v>No</v>
      </c>
      <c r="R318" s="5" t="s">
        <v>51</v>
      </c>
      <c r="S318" s="5"/>
      <c r="T318" s="5" t="s">
        <v>1037</v>
      </c>
      <c r="U318" s="5" t="s">
        <v>77</v>
      </c>
      <c r="V318" s="5"/>
      <c r="W318" s="5"/>
      <c r="X318" s="5"/>
      <c r="Y318" s="5"/>
    </row>
    <row r="319" spans="1:25" x14ac:dyDescent="0.25">
      <c r="A319" s="5" t="s">
        <v>1038</v>
      </c>
      <c r="B319" s="5"/>
      <c r="C319" s="5" t="s">
        <v>128</v>
      </c>
      <c r="D319" s="5"/>
      <c r="E319" s="5"/>
      <c r="F319" s="5"/>
      <c r="G319" s="5" t="s">
        <v>57</v>
      </c>
      <c r="H319" s="5" t="s">
        <v>720</v>
      </c>
      <c r="I319" s="5" t="s">
        <v>71</v>
      </c>
      <c r="J319" s="5"/>
      <c r="K319" s="5" t="s">
        <v>71</v>
      </c>
      <c r="L319" s="5"/>
      <c r="M319" s="5"/>
      <c r="N319" s="5" t="s">
        <v>66</v>
      </c>
      <c r="O319" s="5"/>
      <c r="P319" s="6">
        <f t="shared" si="8"/>
        <v>3</v>
      </c>
      <c r="Q319" s="6" t="str">
        <f t="shared" si="9"/>
        <v>No</v>
      </c>
      <c r="R319" s="5" t="s">
        <v>51</v>
      </c>
      <c r="S319" s="5"/>
      <c r="T319" s="5"/>
      <c r="U319" s="5" t="s">
        <v>720</v>
      </c>
      <c r="V319" s="5" t="s">
        <v>57</v>
      </c>
      <c r="W319" s="5" t="s">
        <v>128</v>
      </c>
      <c r="X319" s="5" t="s">
        <v>1039</v>
      </c>
      <c r="Y319" s="5"/>
    </row>
    <row r="320" spans="1:25" x14ac:dyDescent="0.25">
      <c r="A320" s="5" t="s">
        <v>1040</v>
      </c>
      <c r="B320" s="5"/>
      <c r="C320" s="5" t="s">
        <v>70</v>
      </c>
      <c r="D320" s="5" t="s">
        <v>76</v>
      </c>
      <c r="E320" s="5"/>
      <c r="F320" s="5"/>
      <c r="G320" s="5"/>
      <c r="H320" s="5"/>
      <c r="I320" s="5"/>
      <c r="J320" s="5"/>
      <c r="K320" s="5"/>
      <c r="L320" s="5"/>
      <c r="M320" s="5"/>
      <c r="N320" s="5" t="s">
        <v>124</v>
      </c>
      <c r="O320" s="5"/>
      <c r="P320" s="6">
        <f t="shared" si="8"/>
        <v>1</v>
      </c>
      <c r="Q320" s="6" t="str">
        <f t="shared" si="9"/>
        <v>No</v>
      </c>
      <c r="R320" s="5" t="s">
        <v>125</v>
      </c>
      <c r="S320" s="5"/>
      <c r="T320" s="5"/>
      <c r="U320" s="5"/>
      <c r="V320" s="5"/>
      <c r="W320" s="5"/>
      <c r="X320" s="5"/>
      <c r="Y320" s="5" t="s">
        <v>555</v>
      </c>
    </row>
    <row r="321" spans="1:25" x14ac:dyDescent="0.25">
      <c r="A321" s="5" t="s">
        <v>1041</v>
      </c>
      <c r="B321" s="5"/>
      <c r="C321" s="5" t="s">
        <v>128</v>
      </c>
      <c r="D321" s="5"/>
      <c r="E321" s="5"/>
      <c r="F321" s="5"/>
      <c r="G321" s="5" t="s">
        <v>57</v>
      </c>
      <c r="H321" s="5"/>
      <c r="I321" s="5" t="s">
        <v>72</v>
      </c>
      <c r="J321" s="5" t="s">
        <v>59</v>
      </c>
      <c r="K321" s="5" t="s">
        <v>1042</v>
      </c>
      <c r="L321" s="5"/>
      <c r="M321" s="5"/>
      <c r="N321" s="5" t="s">
        <v>66</v>
      </c>
      <c r="O321" s="5"/>
      <c r="P321" s="6">
        <f t="shared" si="8"/>
        <v>2</v>
      </c>
      <c r="Q321" s="6" t="str">
        <f t="shared" si="9"/>
        <v>No</v>
      </c>
      <c r="R321" s="5" t="s">
        <v>51</v>
      </c>
      <c r="S321" s="5"/>
      <c r="T321" s="5" t="s">
        <v>1043</v>
      </c>
      <c r="U321" s="5"/>
      <c r="V321" s="5" t="s">
        <v>57</v>
      </c>
      <c r="W321" s="5" t="s">
        <v>128</v>
      </c>
      <c r="X321" s="5" t="s">
        <v>294</v>
      </c>
      <c r="Y321" s="5"/>
    </row>
    <row r="322" spans="1:25" x14ac:dyDescent="0.25">
      <c r="A322" s="5" t="s">
        <v>1044</v>
      </c>
      <c r="B322" s="5"/>
      <c r="C322" s="5" t="s">
        <v>70</v>
      </c>
      <c r="D322" s="5" t="s">
        <v>44</v>
      </c>
      <c r="E322" s="5"/>
      <c r="F322" s="5"/>
      <c r="G322" s="5"/>
      <c r="H322" s="5"/>
      <c r="I322" s="5"/>
      <c r="J322" s="5"/>
      <c r="K322" s="5"/>
      <c r="L322" s="5"/>
      <c r="M322" s="5"/>
      <c r="N322" s="5" t="s">
        <v>124</v>
      </c>
      <c r="O322" s="5"/>
      <c r="P322" s="6">
        <f t="shared" ref="P322:P385" si="10">IF(A322="","",COUNTA(D322:F322)+COUNTA(G322:G322)+COUNTA(H322:H322)+COUNTA(I322:I322))</f>
        <v>1</v>
      </c>
      <c r="Q322" s="6" t="str">
        <f t="shared" ref="Q322:Q385" si="11">IF(A322="","",IF(AND(P322=6,UPPER(L322)&lt;&gt;"Y",C322&lt;&gt;""),"Yes","No"))</f>
        <v>No</v>
      </c>
      <c r="R322" s="5" t="s">
        <v>125</v>
      </c>
      <c r="S322" s="5"/>
      <c r="T322" s="5"/>
      <c r="U322" s="5"/>
      <c r="V322" s="5"/>
      <c r="W322" s="5"/>
      <c r="X322" s="5"/>
      <c r="Y322" s="5" t="s">
        <v>555</v>
      </c>
    </row>
    <row r="323" spans="1:25" x14ac:dyDescent="0.25">
      <c r="A323" s="5" t="s">
        <v>1045</v>
      </c>
      <c r="B323" s="5"/>
      <c r="C323" s="5" t="s">
        <v>43</v>
      </c>
      <c r="D323" s="5" t="s">
        <v>44</v>
      </c>
      <c r="E323" s="5" t="s">
        <v>45</v>
      </c>
      <c r="F323" s="5" t="s">
        <v>46</v>
      </c>
      <c r="G323" s="5" t="s">
        <v>57</v>
      </c>
      <c r="H323" s="5" t="s">
        <v>207</v>
      </c>
      <c r="I323" s="5" t="s">
        <v>72</v>
      </c>
      <c r="J323" s="5" t="s">
        <v>119</v>
      </c>
      <c r="K323" s="5" t="s">
        <v>1046</v>
      </c>
      <c r="L323" s="5"/>
      <c r="M323" s="5"/>
      <c r="N323" s="5" t="s">
        <v>110</v>
      </c>
      <c r="O323" s="5"/>
      <c r="P323" s="6">
        <f t="shared" si="10"/>
        <v>6</v>
      </c>
      <c r="Q323" s="6" t="str">
        <f t="shared" si="11"/>
        <v>Yes</v>
      </c>
      <c r="R323" s="5" t="s">
        <v>112</v>
      </c>
      <c r="S323" s="5" t="s">
        <v>1047</v>
      </c>
      <c r="T323" s="5" t="s">
        <v>1048</v>
      </c>
      <c r="U323" s="5" t="s">
        <v>211</v>
      </c>
      <c r="V323" s="5"/>
      <c r="W323" s="5" t="s">
        <v>43</v>
      </c>
      <c r="X323" s="5" t="s">
        <v>1039</v>
      </c>
      <c r="Y323" s="5" t="s">
        <v>489</v>
      </c>
    </row>
    <row r="324" spans="1:25" x14ac:dyDescent="0.25">
      <c r="A324" s="5" t="s">
        <v>1049</v>
      </c>
      <c r="B324" s="5"/>
      <c r="C324" s="5" t="s">
        <v>43</v>
      </c>
      <c r="D324" s="5" t="s">
        <v>44</v>
      </c>
      <c r="E324" s="5"/>
      <c r="F324" s="5"/>
      <c r="G324" s="5" t="s">
        <v>47</v>
      </c>
      <c r="H324" s="5" t="s">
        <v>58</v>
      </c>
      <c r="I324" s="5" t="s">
        <v>59</v>
      </c>
      <c r="J324" s="5"/>
      <c r="K324" s="5" t="s">
        <v>59</v>
      </c>
      <c r="L324" s="5"/>
      <c r="M324" s="5"/>
      <c r="N324" s="5" t="s">
        <v>50</v>
      </c>
      <c r="O324" s="5"/>
      <c r="P324" s="6">
        <f t="shared" si="10"/>
        <v>4</v>
      </c>
      <c r="Q324" s="6" t="str">
        <f t="shared" si="11"/>
        <v>No</v>
      </c>
      <c r="R324" s="5" t="s">
        <v>51</v>
      </c>
      <c r="S324" s="5"/>
      <c r="T324" s="5" t="s">
        <v>1050</v>
      </c>
      <c r="U324" s="5" t="s">
        <v>63</v>
      </c>
      <c r="V324" s="5"/>
      <c r="W324" s="5" t="s">
        <v>43</v>
      </c>
      <c r="X324" s="5" t="s">
        <v>390</v>
      </c>
      <c r="Y324" s="5" t="s">
        <v>94</v>
      </c>
    </row>
    <row r="325" spans="1:25" x14ac:dyDescent="0.25">
      <c r="A325" s="5" t="s">
        <v>1051</v>
      </c>
      <c r="B325" s="5"/>
      <c r="C325" s="5" t="s">
        <v>43</v>
      </c>
      <c r="D325" s="5"/>
      <c r="E325" s="5" t="s">
        <v>332</v>
      </c>
      <c r="F325" s="5"/>
      <c r="G325" s="5"/>
      <c r="H325" s="5" t="s">
        <v>333</v>
      </c>
      <c r="I325" s="5"/>
      <c r="J325" s="5"/>
      <c r="K325" s="5"/>
      <c r="L325" s="5"/>
      <c r="M325" s="5"/>
      <c r="N325" s="5" t="s">
        <v>50</v>
      </c>
      <c r="O325" s="5"/>
      <c r="P325" s="6">
        <f t="shared" si="10"/>
        <v>2</v>
      </c>
      <c r="Q325" s="6" t="str">
        <f t="shared" si="11"/>
        <v>No</v>
      </c>
      <c r="R325" s="5" t="s">
        <v>51</v>
      </c>
      <c r="S325" s="5"/>
      <c r="T325" s="5"/>
      <c r="U325" s="5" t="s">
        <v>333</v>
      </c>
      <c r="V325" s="5"/>
      <c r="W325" s="5" t="s">
        <v>43</v>
      </c>
      <c r="X325" s="5"/>
      <c r="Y325" s="5" t="s">
        <v>1052</v>
      </c>
    </row>
    <row r="326" spans="1:25" x14ac:dyDescent="0.25">
      <c r="A326" s="5" t="s">
        <v>1053</v>
      </c>
      <c r="B326" s="5"/>
      <c r="C326" s="5" t="s">
        <v>70</v>
      </c>
      <c r="D326" s="5" t="s">
        <v>44</v>
      </c>
      <c r="E326" s="5"/>
      <c r="F326" s="5" t="s">
        <v>107</v>
      </c>
      <c r="G326" s="5"/>
      <c r="H326" s="5" t="s">
        <v>574</v>
      </c>
      <c r="I326" s="5"/>
      <c r="J326" s="5"/>
      <c r="K326" s="5" t="s">
        <v>139</v>
      </c>
      <c r="L326" s="5"/>
      <c r="M326" s="5"/>
      <c r="N326" s="5" t="s">
        <v>124</v>
      </c>
      <c r="O326" s="5"/>
      <c r="P326" s="6">
        <f t="shared" si="10"/>
        <v>3</v>
      </c>
      <c r="Q326" s="6" t="str">
        <f t="shared" si="11"/>
        <v>No</v>
      </c>
      <c r="R326" s="5" t="s">
        <v>125</v>
      </c>
      <c r="S326" s="5" t="s">
        <v>1054</v>
      </c>
      <c r="T326" s="5"/>
      <c r="U326" s="5" t="s">
        <v>574</v>
      </c>
      <c r="V326" s="5"/>
      <c r="W326" s="5"/>
      <c r="X326" s="5"/>
      <c r="Y326" s="5" t="s">
        <v>1055</v>
      </c>
    </row>
    <row r="327" spans="1:25" x14ac:dyDescent="0.25">
      <c r="A327" s="5" t="s">
        <v>1056</v>
      </c>
      <c r="B327" s="5"/>
      <c r="C327" s="5" t="s">
        <v>43</v>
      </c>
      <c r="D327" s="5"/>
      <c r="E327" s="5"/>
      <c r="F327" s="5"/>
      <c r="G327" s="5" t="s">
        <v>47</v>
      </c>
      <c r="H327" s="5"/>
      <c r="I327" s="5"/>
      <c r="J327" s="5"/>
      <c r="K327" s="5"/>
      <c r="L327" s="5"/>
      <c r="M327" s="5"/>
      <c r="N327" s="5" t="s">
        <v>50</v>
      </c>
      <c r="O327" s="5"/>
      <c r="P327" s="6">
        <f t="shared" si="10"/>
        <v>1</v>
      </c>
      <c r="Q327" s="6" t="str">
        <f t="shared" si="11"/>
        <v>No</v>
      </c>
      <c r="R327" s="5" t="s">
        <v>51</v>
      </c>
      <c r="S327" s="5"/>
      <c r="T327" s="5"/>
      <c r="U327" s="5"/>
      <c r="V327" s="5"/>
      <c r="W327" s="5" t="s">
        <v>43</v>
      </c>
      <c r="X327" s="5" t="s">
        <v>68</v>
      </c>
      <c r="Y327" s="5" t="s">
        <v>549</v>
      </c>
    </row>
    <row r="328" spans="1:25" x14ac:dyDescent="0.25">
      <c r="A328" s="5" t="s">
        <v>1057</v>
      </c>
      <c r="B328" s="5" t="s">
        <v>1058</v>
      </c>
      <c r="C328" s="5" t="s">
        <v>43</v>
      </c>
      <c r="D328" s="5" t="s">
        <v>44</v>
      </c>
      <c r="E328" s="5" t="s">
        <v>45</v>
      </c>
      <c r="F328" s="5" t="s">
        <v>46</v>
      </c>
      <c r="G328" s="5" t="s">
        <v>47</v>
      </c>
      <c r="H328" s="5" t="s">
        <v>314</v>
      </c>
      <c r="I328" s="5" t="s">
        <v>123</v>
      </c>
      <c r="J328" s="5"/>
      <c r="K328" s="5" t="s">
        <v>123</v>
      </c>
      <c r="L328" s="5"/>
      <c r="M328" s="5"/>
      <c r="N328" s="5" t="s">
        <v>66</v>
      </c>
      <c r="O328" s="5"/>
      <c r="P328" s="6">
        <f t="shared" si="10"/>
        <v>6</v>
      </c>
      <c r="Q328" s="6" t="str">
        <f t="shared" si="11"/>
        <v>Yes</v>
      </c>
      <c r="R328" s="5" t="s">
        <v>51</v>
      </c>
      <c r="S328" s="5" t="s">
        <v>1059</v>
      </c>
      <c r="T328" s="5" t="s">
        <v>1060</v>
      </c>
      <c r="U328" s="5" t="s">
        <v>317</v>
      </c>
      <c r="V328" s="5" t="s">
        <v>1061</v>
      </c>
      <c r="W328" s="5" t="s">
        <v>43</v>
      </c>
      <c r="X328" s="5"/>
      <c r="Y328" s="5" t="s">
        <v>243</v>
      </c>
    </row>
    <row r="329" spans="1:25" x14ac:dyDescent="0.25">
      <c r="A329" s="5" t="s">
        <v>1062</v>
      </c>
      <c r="B329" s="5"/>
      <c r="C329" s="5" t="s">
        <v>43</v>
      </c>
      <c r="D329" s="5" t="s">
        <v>76</v>
      </c>
      <c r="E329" s="5" t="s">
        <v>45</v>
      </c>
      <c r="F329" s="5" t="s">
        <v>46</v>
      </c>
      <c r="G329" s="5" t="s">
        <v>47</v>
      </c>
      <c r="H329" s="5" t="s">
        <v>323</v>
      </c>
      <c r="I329" s="5" t="s">
        <v>72</v>
      </c>
      <c r="J329" s="5"/>
      <c r="K329" s="5" t="s">
        <v>72</v>
      </c>
      <c r="L329" s="5"/>
      <c r="M329" s="5"/>
      <c r="N329" s="5" t="s">
        <v>66</v>
      </c>
      <c r="O329" s="5"/>
      <c r="P329" s="6">
        <f t="shared" si="10"/>
        <v>6</v>
      </c>
      <c r="Q329" s="6" t="str">
        <f t="shared" si="11"/>
        <v>Yes</v>
      </c>
      <c r="R329" s="5" t="s">
        <v>51</v>
      </c>
      <c r="S329" s="5" t="s">
        <v>1063</v>
      </c>
      <c r="T329" s="5" t="s">
        <v>1064</v>
      </c>
      <c r="U329" s="5" t="s">
        <v>323</v>
      </c>
      <c r="V329" s="5" t="s">
        <v>67</v>
      </c>
      <c r="W329" s="5" t="s">
        <v>43</v>
      </c>
      <c r="X329" s="5" t="s">
        <v>686</v>
      </c>
      <c r="Y329" s="5" t="s">
        <v>88</v>
      </c>
    </row>
    <row r="330" spans="1:25" x14ac:dyDescent="0.25">
      <c r="A330" s="5" t="s">
        <v>1065</v>
      </c>
      <c r="B330" s="5"/>
      <c r="C330" s="5" t="s">
        <v>43</v>
      </c>
      <c r="D330" s="5"/>
      <c r="E330" s="5" t="s">
        <v>332</v>
      </c>
      <c r="F330" s="5"/>
      <c r="G330" s="5" t="s">
        <v>47</v>
      </c>
      <c r="H330" s="5" t="s">
        <v>333</v>
      </c>
      <c r="I330" s="5" t="s">
        <v>91</v>
      </c>
      <c r="J330" s="5"/>
      <c r="K330" s="5" t="s">
        <v>91</v>
      </c>
      <c r="L330" s="5"/>
      <c r="M330" s="5"/>
      <c r="N330" s="5" t="s">
        <v>50</v>
      </c>
      <c r="O330" s="5"/>
      <c r="P330" s="6">
        <f t="shared" si="10"/>
        <v>4</v>
      </c>
      <c r="Q330" s="6" t="str">
        <f t="shared" si="11"/>
        <v>No</v>
      </c>
      <c r="R330" s="5" t="s">
        <v>51</v>
      </c>
      <c r="S330" s="5"/>
      <c r="T330" s="5" t="s">
        <v>1066</v>
      </c>
      <c r="U330" s="5" t="s">
        <v>333</v>
      </c>
      <c r="V330" s="5"/>
      <c r="W330" s="5" t="s">
        <v>43</v>
      </c>
      <c r="X330" s="5"/>
      <c r="Y330" s="5" t="s">
        <v>1067</v>
      </c>
    </row>
    <row r="331" spans="1:25" x14ac:dyDescent="0.25">
      <c r="A331" s="5" t="s">
        <v>1068</v>
      </c>
      <c r="B331" s="5"/>
      <c r="C331" s="5"/>
      <c r="D331" s="5"/>
      <c r="E331" s="5" t="s">
        <v>45</v>
      </c>
      <c r="F331" s="5" t="s">
        <v>46</v>
      </c>
      <c r="G331" s="5"/>
      <c r="H331" s="5" t="s">
        <v>58</v>
      </c>
      <c r="I331" s="5" t="s">
        <v>123</v>
      </c>
      <c r="J331" s="5"/>
      <c r="K331" s="5" t="s">
        <v>123</v>
      </c>
      <c r="L331" s="5"/>
      <c r="M331" s="5"/>
      <c r="N331" s="5" t="s">
        <v>66</v>
      </c>
      <c r="O331" s="5" t="s">
        <v>163</v>
      </c>
      <c r="P331" s="6">
        <f t="shared" si="10"/>
        <v>4</v>
      </c>
      <c r="Q331" s="6" t="str">
        <f t="shared" si="11"/>
        <v>No</v>
      </c>
      <c r="R331" s="5" t="s">
        <v>51</v>
      </c>
      <c r="S331" s="5" t="s">
        <v>1069</v>
      </c>
      <c r="T331" s="5" t="s">
        <v>1070</v>
      </c>
      <c r="U331" s="5" t="s">
        <v>63</v>
      </c>
      <c r="V331" s="5"/>
      <c r="W331" s="5" t="s">
        <v>166</v>
      </c>
      <c r="X331" s="5"/>
      <c r="Y331" s="5" t="s">
        <v>394</v>
      </c>
    </row>
    <row r="332" spans="1:25" x14ac:dyDescent="0.25">
      <c r="A332" s="5" t="s">
        <v>439</v>
      </c>
      <c r="B332" s="5"/>
      <c r="C332" s="5" t="s">
        <v>43</v>
      </c>
      <c r="D332" s="5" t="s">
        <v>44</v>
      </c>
      <c r="E332" s="5"/>
      <c r="F332" s="5" t="s">
        <v>46</v>
      </c>
      <c r="G332" s="5" t="s">
        <v>57</v>
      </c>
      <c r="H332" s="5" t="s">
        <v>58</v>
      </c>
      <c r="I332" s="5" t="s">
        <v>91</v>
      </c>
      <c r="J332" s="5" t="s">
        <v>178</v>
      </c>
      <c r="K332" s="5" t="s">
        <v>1071</v>
      </c>
      <c r="L332" s="5"/>
      <c r="M332" s="5"/>
      <c r="N332" s="5" t="s">
        <v>50</v>
      </c>
      <c r="O332" s="5"/>
      <c r="P332" s="6">
        <f t="shared" si="10"/>
        <v>5</v>
      </c>
      <c r="Q332" s="6" t="str">
        <f t="shared" si="11"/>
        <v>No</v>
      </c>
      <c r="R332" s="5" t="s">
        <v>51</v>
      </c>
      <c r="S332" s="5"/>
      <c r="T332" s="5" t="s">
        <v>1072</v>
      </c>
      <c r="U332" s="5" t="s">
        <v>63</v>
      </c>
      <c r="V332" s="5" t="s">
        <v>57</v>
      </c>
      <c r="W332" s="5" t="s">
        <v>43</v>
      </c>
      <c r="X332" s="5"/>
      <c r="Y332" s="5" t="s">
        <v>1073</v>
      </c>
    </row>
    <row r="333" spans="1:25" x14ac:dyDescent="0.25">
      <c r="A333" s="5" t="s">
        <v>1074</v>
      </c>
      <c r="B333" s="5"/>
      <c r="C333" s="5" t="s">
        <v>43</v>
      </c>
      <c r="D333" s="5" t="s">
        <v>76</v>
      </c>
      <c r="E333" s="5"/>
      <c r="F333" s="5"/>
      <c r="G333" s="5"/>
      <c r="H333" s="5" t="s">
        <v>596</v>
      </c>
      <c r="I333" s="5" t="s">
        <v>123</v>
      </c>
      <c r="J333" s="5"/>
      <c r="K333" s="5" t="s">
        <v>123</v>
      </c>
      <c r="L333" s="5"/>
      <c r="M333" s="5"/>
      <c r="N333" s="5" t="s">
        <v>50</v>
      </c>
      <c r="O333" s="5"/>
      <c r="P333" s="6">
        <f t="shared" si="10"/>
        <v>3</v>
      </c>
      <c r="Q333" s="6" t="str">
        <f t="shared" si="11"/>
        <v>No</v>
      </c>
      <c r="R333" s="5" t="s">
        <v>51</v>
      </c>
      <c r="S333" s="5"/>
      <c r="T333" s="5" t="s">
        <v>1075</v>
      </c>
      <c r="U333" s="5" t="s">
        <v>778</v>
      </c>
      <c r="V333" s="5"/>
      <c r="W333" s="5" t="s">
        <v>43</v>
      </c>
      <c r="X333" s="5"/>
      <c r="Y333" s="5" t="s">
        <v>136</v>
      </c>
    </row>
    <row r="334" spans="1:25" x14ac:dyDescent="0.25">
      <c r="A334" s="5" t="s">
        <v>1076</v>
      </c>
      <c r="B334" s="5"/>
      <c r="C334" s="5" t="s">
        <v>43</v>
      </c>
      <c r="D334" s="5" t="s">
        <v>76</v>
      </c>
      <c r="E334" s="5" t="s">
        <v>332</v>
      </c>
      <c r="F334" s="5" t="s">
        <v>107</v>
      </c>
      <c r="G334" s="5"/>
      <c r="H334" s="5" t="s">
        <v>58</v>
      </c>
      <c r="I334" s="5"/>
      <c r="J334" s="5"/>
      <c r="K334" s="5"/>
      <c r="L334" s="5"/>
      <c r="M334" s="5"/>
      <c r="N334" s="5" t="s">
        <v>50</v>
      </c>
      <c r="O334" s="5"/>
      <c r="P334" s="6">
        <f t="shared" si="10"/>
        <v>4</v>
      </c>
      <c r="Q334" s="6" t="str">
        <f t="shared" si="11"/>
        <v>No</v>
      </c>
      <c r="R334" s="5" t="s">
        <v>51</v>
      </c>
      <c r="S334" s="5" t="s">
        <v>1077</v>
      </c>
      <c r="T334" s="5" t="s">
        <v>1078</v>
      </c>
      <c r="U334" s="5" t="s">
        <v>63</v>
      </c>
      <c r="V334" s="5"/>
      <c r="W334" s="5" t="s">
        <v>43</v>
      </c>
      <c r="X334" s="5"/>
      <c r="Y334" s="5" t="s">
        <v>1079</v>
      </c>
    </row>
    <row r="335" spans="1:25" x14ac:dyDescent="0.25">
      <c r="A335" s="5" t="s">
        <v>1080</v>
      </c>
      <c r="B335" s="5"/>
      <c r="C335" s="5" t="s">
        <v>43</v>
      </c>
      <c r="D335" s="5" t="s">
        <v>44</v>
      </c>
      <c r="E335" s="5" t="s">
        <v>45</v>
      </c>
      <c r="F335" s="5" t="s">
        <v>107</v>
      </c>
      <c r="G335" s="5"/>
      <c r="H335" s="5" t="s">
        <v>96</v>
      </c>
      <c r="I335" s="5" t="s">
        <v>59</v>
      </c>
      <c r="J335" s="5"/>
      <c r="K335" s="5" t="s">
        <v>1081</v>
      </c>
      <c r="L335" s="5"/>
      <c r="M335" s="5"/>
      <c r="N335" s="5" t="s">
        <v>50</v>
      </c>
      <c r="O335" s="5"/>
      <c r="P335" s="6">
        <f t="shared" si="10"/>
        <v>5</v>
      </c>
      <c r="Q335" s="6" t="str">
        <f t="shared" si="11"/>
        <v>No</v>
      </c>
      <c r="R335" s="5" t="s">
        <v>51</v>
      </c>
      <c r="S335" s="5" t="s">
        <v>1082</v>
      </c>
      <c r="T335" s="5" t="s">
        <v>1083</v>
      </c>
      <c r="U335" s="5" t="s">
        <v>99</v>
      </c>
      <c r="V335" s="5"/>
      <c r="W335" s="5" t="s">
        <v>43</v>
      </c>
      <c r="X335" s="5" t="s">
        <v>677</v>
      </c>
      <c r="Y335" s="5" t="s">
        <v>348</v>
      </c>
    </row>
    <row r="336" spans="1:25" x14ac:dyDescent="0.25">
      <c r="A336" s="5" t="s">
        <v>1084</v>
      </c>
      <c r="B336" s="5"/>
      <c r="C336" s="5" t="s">
        <v>43</v>
      </c>
      <c r="D336" s="5" t="s">
        <v>44</v>
      </c>
      <c r="E336" s="5"/>
      <c r="F336" s="5"/>
      <c r="G336" s="5" t="s">
        <v>47</v>
      </c>
      <c r="H336" s="5" t="s">
        <v>314</v>
      </c>
      <c r="I336" s="5" t="s">
        <v>193</v>
      </c>
      <c r="J336" s="5" t="s">
        <v>119</v>
      </c>
      <c r="K336" s="5" t="s">
        <v>1085</v>
      </c>
      <c r="L336" s="5"/>
      <c r="M336" s="5"/>
      <c r="N336" s="5" t="s">
        <v>50</v>
      </c>
      <c r="O336" s="5"/>
      <c r="P336" s="6">
        <f t="shared" si="10"/>
        <v>4</v>
      </c>
      <c r="Q336" s="6" t="str">
        <f t="shared" si="11"/>
        <v>No</v>
      </c>
      <c r="R336" s="5" t="s">
        <v>51</v>
      </c>
      <c r="S336" s="5"/>
      <c r="T336" s="5" t="s">
        <v>1086</v>
      </c>
      <c r="U336" s="5" t="s">
        <v>317</v>
      </c>
      <c r="V336" s="5"/>
      <c r="W336" s="5" t="s">
        <v>43</v>
      </c>
      <c r="X336" s="5"/>
      <c r="Y336" s="5" t="s">
        <v>238</v>
      </c>
    </row>
    <row r="337" spans="1:25" x14ac:dyDescent="0.25">
      <c r="A337" s="5" t="s">
        <v>1087</v>
      </c>
      <c r="B337" s="5" t="s">
        <v>1088</v>
      </c>
      <c r="C337" s="5"/>
      <c r="D337" s="5"/>
      <c r="E337" s="5"/>
      <c r="F337" s="5"/>
      <c r="G337" s="5"/>
      <c r="H337" s="5" t="s">
        <v>923</v>
      </c>
      <c r="I337" s="5"/>
      <c r="J337" s="5"/>
      <c r="K337" s="5"/>
      <c r="L337" s="5"/>
      <c r="M337" s="5"/>
      <c r="N337" s="5" t="s">
        <v>66</v>
      </c>
      <c r="O337" s="5" t="s">
        <v>103</v>
      </c>
      <c r="P337" s="6">
        <f t="shared" si="10"/>
        <v>1</v>
      </c>
      <c r="Q337" s="6" t="str">
        <f t="shared" si="11"/>
        <v>No</v>
      </c>
      <c r="R337" s="5" t="s">
        <v>51</v>
      </c>
      <c r="S337" s="5"/>
      <c r="T337" s="5" t="s">
        <v>1089</v>
      </c>
      <c r="U337" s="5" t="s">
        <v>923</v>
      </c>
      <c r="V337" s="5"/>
      <c r="W337" s="5" t="s">
        <v>105</v>
      </c>
      <c r="X337" s="5"/>
      <c r="Y337" s="5"/>
    </row>
    <row r="338" spans="1:25" x14ac:dyDescent="0.25">
      <c r="A338" s="5" t="s">
        <v>1090</v>
      </c>
      <c r="B338" s="5"/>
      <c r="C338" s="5"/>
      <c r="D338" s="5"/>
      <c r="E338" s="5"/>
      <c r="F338" s="5" t="s">
        <v>46</v>
      </c>
      <c r="G338" s="5"/>
      <c r="H338" s="5" t="s">
        <v>378</v>
      </c>
      <c r="I338" s="5"/>
      <c r="J338" s="5"/>
      <c r="K338" s="5"/>
      <c r="L338" s="5"/>
      <c r="M338" s="5"/>
      <c r="N338" s="5" t="s">
        <v>66</v>
      </c>
      <c r="O338" s="5" t="s">
        <v>103</v>
      </c>
      <c r="P338" s="6">
        <f t="shared" si="10"/>
        <v>2</v>
      </c>
      <c r="Q338" s="6" t="str">
        <f t="shared" si="11"/>
        <v>No</v>
      </c>
      <c r="R338" s="5" t="s">
        <v>51</v>
      </c>
      <c r="S338" s="5"/>
      <c r="T338" s="5" t="s">
        <v>1091</v>
      </c>
      <c r="U338" s="5" t="s">
        <v>378</v>
      </c>
      <c r="V338" s="5"/>
      <c r="W338" s="5" t="s">
        <v>105</v>
      </c>
      <c r="X338" s="5"/>
      <c r="Y338" s="5" t="s">
        <v>585</v>
      </c>
    </row>
    <row r="339" spans="1:25" x14ac:dyDescent="0.25">
      <c r="A339" s="5" t="s">
        <v>1092</v>
      </c>
      <c r="B339" s="5"/>
      <c r="C339" s="5" t="s">
        <v>43</v>
      </c>
      <c r="D339" s="5" t="s">
        <v>76</v>
      </c>
      <c r="E339" s="5" t="s">
        <v>45</v>
      </c>
      <c r="F339" s="5" t="s">
        <v>107</v>
      </c>
      <c r="G339" s="5" t="s">
        <v>57</v>
      </c>
      <c r="H339" s="5" t="s">
        <v>77</v>
      </c>
      <c r="I339" s="5" t="s">
        <v>119</v>
      </c>
      <c r="J339" s="5"/>
      <c r="K339" s="5" t="s">
        <v>119</v>
      </c>
      <c r="L339" s="5"/>
      <c r="M339" s="5"/>
      <c r="N339" s="5" t="s">
        <v>110</v>
      </c>
      <c r="O339" s="5" t="s">
        <v>225</v>
      </c>
      <c r="P339" s="6">
        <f t="shared" si="10"/>
        <v>6</v>
      </c>
      <c r="Q339" s="6" t="str">
        <f t="shared" si="11"/>
        <v>Yes</v>
      </c>
      <c r="R339" s="5" t="s">
        <v>112</v>
      </c>
      <c r="S339" s="5" t="s">
        <v>1093</v>
      </c>
      <c r="T339" s="5" t="s">
        <v>1094</v>
      </c>
      <c r="U339" s="5" t="s">
        <v>422</v>
      </c>
      <c r="V339" s="5" t="s">
        <v>57</v>
      </c>
      <c r="W339" s="5" t="s">
        <v>43</v>
      </c>
      <c r="X339" s="5" t="s">
        <v>473</v>
      </c>
      <c r="Y339" s="5" t="s">
        <v>117</v>
      </c>
    </row>
    <row r="340" spans="1:25" x14ac:dyDescent="0.25">
      <c r="A340" s="5" t="s">
        <v>1095</v>
      </c>
      <c r="B340" s="5"/>
      <c r="C340" s="5" t="s">
        <v>43</v>
      </c>
      <c r="D340" s="5"/>
      <c r="E340" s="5"/>
      <c r="F340" s="5"/>
      <c r="G340" s="5" t="s">
        <v>47</v>
      </c>
      <c r="H340" s="5"/>
      <c r="I340" s="5"/>
      <c r="J340" s="5"/>
      <c r="K340" s="5"/>
      <c r="L340" s="5"/>
      <c r="M340" s="5"/>
      <c r="N340" s="5" t="s">
        <v>66</v>
      </c>
      <c r="O340" s="5"/>
      <c r="P340" s="6">
        <f t="shared" si="10"/>
        <v>1</v>
      </c>
      <c r="Q340" s="6" t="str">
        <f t="shared" si="11"/>
        <v>No</v>
      </c>
      <c r="R340" s="5" t="s">
        <v>51</v>
      </c>
      <c r="S340" s="5"/>
      <c r="T340" s="5"/>
      <c r="U340" s="5"/>
      <c r="V340" s="5" t="s">
        <v>67</v>
      </c>
      <c r="W340" s="5" t="s">
        <v>43</v>
      </c>
      <c r="X340" s="5" t="s">
        <v>68</v>
      </c>
      <c r="Y340" s="5"/>
    </row>
    <row r="341" spans="1:25" x14ac:dyDescent="0.25">
      <c r="A341" s="5" t="s">
        <v>1096</v>
      </c>
      <c r="B341" s="5"/>
      <c r="C341" s="5" t="s">
        <v>43</v>
      </c>
      <c r="D341" s="5" t="s">
        <v>76</v>
      </c>
      <c r="E341" s="5" t="s">
        <v>45</v>
      </c>
      <c r="F341" s="5" t="s">
        <v>107</v>
      </c>
      <c r="G341" s="5"/>
      <c r="H341" s="5" t="s">
        <v>1097</v>
      </c>
      <c r="I341" s="5" t="s">
        <v>192</v>
      </c>
      <c r="J341" s="5" t="s">
        <v>91</v>
      </c>
      <c r="K341" s="5" t="s">
        <v>1098</v>
      </c>
      <c r="L341" s="5"/>
      <c r="M341" s="5"/>
      <c r="N341" s="5" t="s">
        <v>50</v>
      </c>
      <c r="O341" s="5"/>
      <c r="P341" s="6">
        <f t="shared" si="10"/>
        <v>5</v>
      </c>
      <c r="Q341" s="6" t="str">
        <f t="shared" si="11"/>
        <v>No</v>
      </c>
      <c r="R341" s="5" t="s">
        <v>51</v>
      </c>
      <c r="S341" s="5" t="s">
        <v>1099</v>
      </c>
      <c r="T341" s="5" t="s">
        <v>1100</v>
      </c>
      <c r="U341" s="5" t="s">
        <v>1101</v>
      </c>
      <c r="V341" s="5"/>
      <c r="W341" s="5" t="s">
        <v>43</v>
      </c>
      <c r="X341" s="5"/>
      <c r="Y341" s="5" t="s">
        <v>55</v>
      </c>
    </row>
    <row r="342" spans="1:25" x14ac:dyDescent="0.25">
      <c r="A342" s="5" t="s">
        <v>1102</v>
      </c>
      <c r="B342" s="5"/>
      <c r="C342" s="5"/>
      <c r="D342" s="5"/>
      <c r="E342" s="5"/>
      <c r="F342" s="5"/>
      <c r="G342" s="5"/>
      <c r="H342" s="5" t="s">
        <v>378</v>
      </c>
      <c r="I342" s="5"/>
      <c r="J342" s="5"/>
      <c r="K342" s="5"/>
      <c r="L342" s="5"/>
      <c r="M342" s="5"/>
      <c r="N342" s="5" t="s">
        <v>66</v>
      </c>
      <c r="O342" s="5" t="s">
        <v>103</v>
      </c>
      <c r="P342" s="6">
        <f t="shared" si="10"/>
        <v>1</v>
      </c>
      <c r="Q342" s="6" t="str">
        <f t="shared" si="11"/>
        <v>No</v>
      </c>
      <c r="R342" s="5" t="s">
        <v>51</v>
      </c>
      <c r="S342" s="5"/>
      <c r="T342" s="5" t="s">
        <v>1103</v>
      </c>
      <c r="U342" s="5" t="s">
        <v>378</v>
      </c>
      <c r="V342" s="5"/>
      <c r="W342" s="5" t="s">
        <v>105</v>
      </c>
      <c r="X342" s="5"/>
      <c r="Y342" s="5"/>
    </row>
    <row r="343" spans="1:25" x14ac:dyDescent="0.25">
      <c r="A343" s="5" t="s">
        <v>1104</v>
      </c>
      <c r="B343" s="5"/>
      <c r="C343" s="5"/>
      <c r="D343" s="5"/>
      <c r="E343" s="5"/>
      <c r="F343" s="5"/>
      <c r="G343" s="5"/>
      <c r="H343" s="5" t="s">
        <v>559</v>
      </c>
      <c r="I343" s="5" t="s">
        <v>119</v>
      </c>
      <c r="J343" s="5" t="s">
        <v>91</v>
      </c>
      <c r="K343" s="5" t="s">
        <v>1105</v>
      </c>
      <c r="L343" s="5"/>
      <c r="M343" s="5"/>
      <c r="N343" s="5" t="s">
        <v>66</v>
      </c>
      <c r="O343" s="5" t="s">
        <v>103</v>
      </c>
      <c r="P343" s="6">
        <f t="shared" si="10"/>
        <v>2</v>
      </c>
      <c r="Q343" s="6" t="str">
        <f t="shared" si="11"/>
        <v>No</v>
      </c>
      <c r="R343" s="5" t="s">
        <v>51</v>
      </c>
      <c r="S343" s="5"/>
      <c r="T343" s="5" t="s">
        <v>1106</v>
      </c>
      <c r="U343" s="5" t="s">
        <v>559</v>
      </c>
      <c r="V343" s="5"/>
      <c r="W343" s="5" t="s">
        <v>105</v>
      </c>
      <c r="X343" s="5"/>
      <c r="Y343" s="5"/>
    </row>
    <row r="344" spans="1:25" x14ac:dyDescent="0.25">
      <c r="A344" s="5" t="s">
        <v>1107</v>
      </c>
      <c r="B344" s="5"/>
      <c r="C344" s="5"/>
      <c r="D344" s="5"/>
      <c r="E344" s="5"/>
      <c r="F344" s="5"/>
      <c r="G344" s="5"/>
      <c r="H344" s="5" t="s">
        <v>58</v>
      </c>
      <c r="I344" s="5"/>
      <c r="J344" s="5"/>
      <c r="K344" s="5"/>
      <c r="L344" s="5"/>
      <c r="M344" s="5"/>
      <c r="N344" s="5" t="s">
        <v>66</v>
      </c>
      <c r="O344" s="5" t="s">
        <v>103</v>
      </c>
      <c r="P344" s="6">
        <f t="shared" si="10"/>
        <v>1</v>
      </c>
      <c r="Q344" s="6" t="str">
        <f t="shared" si="11"/>
        <v>No</v>
      </c>
      <c r="R344" s="5" t="s">
        <v>51</v>
      </c>
      <c r="S344" s="5"/>
      <c r="T344" s="5"/>
      <c r="U344" s="5" t="s">
        <v>63</v>
      </c>
      <c r="V344" s="5"/>
      <c r="W344" s="5" t="s">
        <v>105</v>
      </c>
      <c r="X344" s="5"/>
      <c r="Y344" s="5"/>
    </row>
    <row r="345" spans="1:25" x14ac:dyDescent="0.25">
      <c r="A345" s="5" t="s">
        <v>1108</v>
      </c>
      <c r="B345" s="5"/>
      <c r="C345" s="5" t="s">
        <v>70</v>
      </c>
      <c r="D345" s="5" t="s">
        <v>44</v>
      </c>
      <c r="E345" s="5"/>
      <c r="F345" s="5"/>
      <c r="G345" s="5"/>
      <c r="H345" s="5"/>
      <c r="I345" s="5"/>
      <c r="J345" s="5"/>
      <c r="K345" s="5"/>
      <c r="L345" s="5"/>
      <c r="M345" s="5"/>
      <c r="N345" s="5" t="s">
        <v>124</v>
      </c>
      <c r="O345" s="5"/>
      <c r="P345" s="6">
        <f t="shared" si="10"/>
        <v>1</v>
      </c>
      <c r="Q345" s="6" t="str">
        <f t="shared" si="11"/>
        <v>No</v>
      </c>
      <c r="R345" s="5" t="s">
        <v>125</v>
      </c>
      <c r="S345" s="5"/>
      <c r="T345" s="5"/>
      <c r="U345" s="5"/>
      <c r="V345" s="5"/>
      <c r="W345" s="5"/>
      <c r="X345" s="5"/>
      <c r="Y345" s="5" t="s">
        <v>555</v>
      </c>
    </row>
    <row r="346" spans="1:25" x14ac:dyDescent="0.25">
      <c r="A346" s="5" t="s">
        <v>1109</v>
      </c>
      <c r="B346" s="5"/>
      <c r="C346" s="5"/>
      <c r="D346" s="5"/>
      <c r="E346" s="5" t="s">
        <v>45</v>
      </c>
      <c r="F346" s="5" t="s">
        <v>107</v>
      </c>
      <c r="G346" s="5"/>
      <c r="H346" s="5"/>
      <c r="I346" s="5" t="s">
        <v>192</v>
      </c>
      <c r="J346" s="5" t="s">
        <v>133</v>
      </c>
      <c r="K346" s="5" t="s">
        <v>234</v>
      </c>
      <c r="L346" s="5"/>
      <c r="M346" s="5"/>
      <c r="N346" s="5" t="s">
        <v>66</v>
      </c>
      <c r="O346" s="5"/>
      <c r="P346" s="6">
        <f t="shared" si="10"/>
        <v>3</v>
      </c>
      <c r="Q346" s="6" t="str">
        <f t="shared" si="11"/>
        <v>No</v>
      </c>
      <c r="R346" s="5" t="s">
        <v>51</v>
      </c>
      <c r="S346" s="5" t="s">
        <v>1110</v>
      </c>
      <c r="T346" s="5" t="s">
        <v>1111</v>
      </c>
      <c r="U346" s="5"/>
      <c r="V346" s="5"/>
      <c r="W346" s="5"/>
      <c r="X346" s="5"/>
      <c r="Y346" s="5" t="s">
        <v>167</v>
      </c>
    </row>
    <row r="347" spans="1:25" x14ac:dyDescent="0.25">
      <c r="A347" s="5" t="s">
        <v>1112</v>
      </c>
      <c r="B347" s="5"/>
      <c r="C347" s="5" t="s">
        <v>70</v>
      </c>
      <c r="D347" s="5"/>
      <c r="E347" s="5"/>
      <c r="F347" s="5"/>
      <c r="G347" s="5"/>
      <c r="H347" s="5"/>
      <c r="I347" s="5" t="s">
        <v>123</v>
      </c>
      <c r="J347" s="5"/>
      <c r="K347" s="5" t="s">
        <v>123</v>
      </c>
      <c r="L347" s="5"/>
      <c r="M347" s="5"/>
      <c r="N347" s="5" t="s">
        <v>124</v>
      </c>
      <c r="O347" s="5"/>
      <c r="P347" s="6">
        <f t="shared" si="10"/>
        <v>1</v>
      </c>
      <c r="Q347" s="6" t="str">
        <f t="shared" si="11"/>
        <v>No</v>
      </c>
      <c r="R347" s="5" t="s">
        <v>125</v>
      </c>
      <c r="S347" s="5"/>
      <c r="T347" s="5"/>
      <c r="U347" s="5"/>
      <c r="V347" s="5"/>
      <c r="W347" s="5"/>
      <c r="X347" s="5"/>
      <c r="Y347" s="5" t="s">
        <v>1113</v>
      </c>
    </row>
    <row r="348" spans="1:25" x14ac:dyDescent="0.25">
      <c r="A348" s="5" t="s">
        <v>1114</v>
      </c>
      <c r="B348" s="5"/>
      <c r="C348" s="5" t="s">
        <v>128</v>
      </c>
      <c r="D348" s="5"/>
      <c r="E348" s="5"/>
      <c r="F348" s="5"/>
      <c r="G348" s="5" t="s">
        <v>57</v>
      </c>
      <c r="H348" s="5" t="s">
        <v>319</v>
      </c>
      <c r="I348" s="5"/>
      <c r="J348" s="5"/>
      <c r="K348" s="5"/>
      <c r="L348" s="5"/>
      <c r="M348" s="5"/>
      <c r="N348" s="5" t="s">
        <v>66</v>
      </c>
      <c r="O348" s="5"/>
      <c r="P348" s="6">
        <f t="shared" si="10"/>
        <v>2</v>
      </c>
      <c r="Q348" s="6" t="str">
        <f t="shared" si="11"/>
        <v>No</v>
      </c>
      <c r="R348" s="5" t="s">
        <v>51</v>
      </c>
      <c r="S348" s="5"/>
      <c r="T348" s="5"/>
      <c r="U348" s="5" t="s">
        <v>319</v>
      </c>
      <c r="V348" s="5" t="s">
        <v>57</v>
      </c>
      <c r="W348" s="5" t="s">
        <v>320</v>
      </c>
      <c r="X348" s="5" t="s">
        <v>321</v>
      </c>
      <c r="Y348" s="5"/>
    </row>
    <row r="349" spans="1:25" x14ac:dyDescent="0.25">
      <c r="A349" s="5" t="s">
        <v>1115</v>
      </c>
      <c r="B349" s="5"/>
      <c r="C349" s="5" t="s">
        <v>43</v>
      </c>
      <c r="D349" s="5" t="s">
        <v>44</v>
      </c>
      <c r="E349" s="5"/>
      <c r="F349" s="5"/>
      <c r="G349" s="5" t="s">
        <v>57</v>
      </c>
      <c r="H349" s="5" t="s">
        <v>58</v>
      </c>
      <c r="I349" s="5" t="s">
        <v>192</v>
      </c>
      <c r="J349" s="5"/>
      <c r="K349" s="5" t="s">
        <v>192</v>
      </c>
      <c r="L349" s="5"/>
      <c r="M349" s="5"/>
      <c r="N349" s="5" t="s">
        <v>50</v>
      </c>
      <c r="O349" s="5"/>
      <c r="P349" s="6">
        <f t="shared" si="10"/>
        <v>4</v>
      </c>
      <c r="Q349" s="6" t="str">
        <f t="shared" si="11"/>
        <v>No</v>
      </c>
      <c r="R349" s="5" t="s">
        <v>51</v>
      </c>
      <c r="S349" s="5"/>
      <c r="T349" s="5" t="s">
        <v>1116</v>
      </c>
      <c r="U349" s="5" t="s">
        <v>63</v>
      </c>
      <c r="V349" s="5"/>
      <c r="W349" s="5" t="s">
        <v>43</v>
      </c>
      <c r="X349" s="5"/>
      <c r="Y349" s="5" t="s">
        <v>64</v>
      </c>
    </row>
    <row r="350" spans="1:25" x14ac:dyDescent="0.25">
      <c r="A350" s="5" t="s">
        <v>1117</v>
      </c>
      <c r="B350" s="5"/>
      <c r="C350" s="5" t="s">
        <v>128</v>
      </c>
      <c r="D350" s="5"/>
      <c r="E350" s="5"/>
      <c r="F350" s="5"/>
      <c r="G350" s="5" t="s">
        <v>57</v>
      </c>
      <c r="H350" s="5" t="s">
        <v>58</v>
      </c>
      <c r="I350" s="5"/>
      <c r="J350" s="5"/>
      <c r="K350" s="5"/>
      <c r="L350" s="5"/>
      <c r="M350" s="5"/>
      <c r="N350" s="5" t="s">
        <v>66</v>
      </c>
      <c r="O350" s="5"/>
      <c r="P350" s="6">
        <f t="shared" si="10"/>
        <v>2</v>
      </c>
      <c r="Q350" s="6" t="str">
        <f t="shared" si="11"/>
        <v>No</v>
      </c>
      <c r="R350" s="5" t="s">
        <v>51</v>
      </c>
      <c r="S350" s="5"/>
      <c r="T350" s="5"/>
      <c r="U350" s="5" t="s">
        <v>63</v>
      </c>
      <c r="V350" s="5" t="s">
        <v>57</v>
      </c>
      <c r="W350" s="5" t="s">
        <v>128</v>
      </c>
      <c r="X350" s="5" t="s">
        <v>250</v>
      </c>
      <c r="Y350" s="5"/>
    </row>
    <row r="351" spans="1:25" x14ac:dyDescent="0.25">
      <c r="A351" s="5" t="s">
        <v>1118</v>
      </c>
      <c r="B351" s="5"/>
      <c r="C351" s="5" t="s">
        <v>70</v>
      </c>
      <c r="D351" s="5"/>
      <c r="E351" s="5"/>
      <c r="F351" s="5"/>
      <c r="G351" s="5"/>
      <c r="H351" s="5"/>
      <c r="I351" s="5" t="s">
        <v>123</v>
      </c>
      <c r="J351" s="5"/>
      <c r="K351" s="5" t="s">
        <v>123</v>
      </c>
      <c r="L351" s="5"/>
      <c r="M351" s="5"/>
      <c r="N351" s="5" t="s">
        <v>124</v>
      </c>
      <c r="O351" s="5"/>
      <c r="P351" s="6">
        <f t="shared" si="10"/>
        <v>1</v>
      </c>
      <c r="Q351" s="6" t="str">
        <f t="shared" si="11"/>
        <v>No</v>
      </c>
      <c r="R351" s="5" t="s">
        <v>125</v>
      </c>
      <c r="S351" s="5"/>
      <c r="T351" s="5"/>
      <c r="U351" s="5"/>
      <c r="V351" s="5"/>
      <c r="W351" s="5"/>
      <c r="X351" s="5"/>
      <c r="Y351" s="5" t="s">
        <v>1113</v>
      </c>
    </row>
    <row r="352" spans="1:25" x14ac:dyDescent="0.25">
      <c r="A352" s="5" t="s">
        <v>1119</v>
      </c>
      <c r="B352" s="5"/>
      <c r="C352" s="5" t="s">
        <v>43</v>
      </c>
      <c r="D352" s="5" t="s">
        <v>76</v>
      </c>
      <c r="E352" s="5"/>
      <c r="F352" s="5"/>
      <c r="G352" s="5" t="s">
        <v>47</v>
      </c>
      <c r="H352" s="5" t="s">
        <v>58</v>
      </c>
      <c r="I352" s="5" t="s">
        <v>71</v>
      </c>
      <c r="J352" s="5"/>
      <c r="K352" s="5" t="s">
        <v>71</v>
      </c>
      <c r="L352" s="5"/>
      <c r="M352" s="5"/>
      <c r="N352" s="5" t="s">
        <v>50</v>
      </c>
      <c r="O352" s="5"/>
      <c r="P352" s="6">
        <f t="shared" si="10"/>
        <v>4</v>
      </c>
      <c r="Q352" s="6" t="str">
        <f t="shared" si="11"/>
        <v>No</v>
      </c>
      <c r="R352" s="5" t="s">
        <v>51</v>
      </c>
      <c r="S352" s="5"/>
      <c r="T352" s="5" t="s">
        <v>1120</v>
      </c>
      <c r="U352" s="5" t="s">
        <v>63</v>
      </c>
      <c r="V352" s="5" t="s">
        <v>1121</v>
      </c>
      <c r="W352" s="5" t="s">
        <v>43</v>
      </c>
      <c r="X352" s="5"/>
      <c r="Y352" s="5" t="s">
        <v>353</v>
      </c>
    </row>
    <row r="353" spans="1:25" x14ac:dyDescent="0.25">
      <c r="A353" s="5" t="s">
        <v>1122</v>
      </c>
      <c r="B353" s="5"/>
      <c r="C353" s="5" t="s">
        <v>43</v>
      </c>
      <c r="D353" s="5"/>
      <c r="E353" s="5" t="s">
        <v>45</v>
      </c>
      <c r="F353" s="5" t="s">
        <v>46</v>
      </c>
      <c r="G353" s="5"/>
      <c r="H353" s="5" t="s">
        <v>639</v>
      </c>
      <c r="I353" s="5"/>
      <c r="J353" s="5"/>
      <c r="K353" s="5"/>
      <c r="L353" s="5"/>
      <c r="M353" s="5"/>
      <c r="N353" s="5" t="s">
        <v>66</v>
      </c>
      <c r="O353" s="5"/>
      <c r="P353" s="6">
        <f t="shared" si="10"/>
        <v>3</v>
      </c>
      <c r="Q353" s="6" t="str">
        <f t="shared" si="11"/>
        <v>No</v>
      </c>
      <c r="R353" s="5" t="s">
        <v>51</v>
      </c>
      <c r="S353" s="5" t="s">
        <v>1123</v>
      </c>
      <c r="T353" s="5" t="s">
        <v>1124</v>
      </c>
      <c r="U353" s="5" t="s">
        <v>639</v>
      </c>
      <c r="V353" s="5"/>
      <c r="W353" s="5" t="s">
        <v>43</v>
      </c>
      <c r="X353" s="5"/>
      <c r="Y353" s="5" t="s">
        <v>394</v>
      </c>
    </row>
    <row r="354" spans="1:25" x14ac:dyDescent="0.25">
      <c r="A354" s="5" t="s">
        <v>1125</v>
      </c>
      <c r="B354" s="5"/>
      <c r="C354" s="5" t="s">
        <v>70</v>
      </c>
      <c r="D354" s="5"/>
      <c r="E354" s="5" t="s">
        <v>332</v>
      </c>
      <c r="F354" s="5"/>
      <c r="G354" s="5"/>
      <c r="H354" s="5" t="s">
        <v>333</v>
      </c>
      <c r="I354" s="5"/>
      <c r="J354" s="5"/>
      <c r="K354" s="5"/>
      <c r="L354" s="5"/>
      <c r="M354" s="5"/>
      <c r="N354" s="5" t="s">
        <v>50</v>
      </c>
      <c r="O354" s="5"/>
      <c r="P354" s="6">
        <f t="shared" si="10"/>
        <v>2</v>
      </c>
      <c r="Q354" s="6" t="str">
        <f t="shared" si="11"/>
        <v>No</v>
      </c>
      <c r="R354" s="5" t="s">
        <v>51</v>
      </c>
      <c r="S354" s="5"/>
      <c r="T354" s="5"/>
      <c r="U354" s="5" t="s">
        <v>333</v>
      </c>
      <c r="V354" s="5"/>
      <c r="W354" s="5"/>
      <c r="X354" s="5"/>
      <c r="Y354" s="5" t="s">
        <v>1126</v>
      </c>
    </row>
    <row r="355" spans="1:25" x14ac:dyDescent="0.25">
      <c r="A355" s="5" t="s">
        <v>1127</v>
      </c>
      <c r="B355" s="5"/>
      <c r="C355" s="5" t="s">
        <v>43</v>
      </c>
      <c r="D355" s="5" t="s">
        <v>44</v>
      </c>
      <c r="E355" s="5"/>
      <c r="F355" s="5"/>
      <c r="G355" s="5" t="s">
        <v>47</v>
      </c>
      <c r="H355" s="5" t="s">
        <v>314</v>
      </c>
      <c r="I355" s="5" t="s">
        <v>78</v>
      </c>
      <c r="J355" s="5" t="s">
        <v>71</v>
      </c>
      <c r="K355" s="5" t="s">
        <v>1128</v>
      </c>
      <c r="L355" s="5"/>
      <c r="M355" s="5"/>
      <c r="N355" s="5" t="s">
        <v>50</v>
      </c>
      <c r="O355" s="5"/>
      <c r="P355" s="6">
        <f t="shared" si="10"/>
        <v>4</v>
      </c>
      <c r="Q355" s="6" t="str">
        <f t="shared" si="11"/>
        <v>No</v>
      </c>
      <c r="R355" s="5" t="s">
        <v>51</v>
      </c>
      <c r="S355" s="5"/>
      <c r="T355" s="5" t="s">
        <v>1129</v>
      </c>
      <c r="U355" s="5" t="s">
        <v>317</v>
      </c>
      <c r="V355" s="5"/>
      <c r="W355" s="5" t="s">
        <v>43</v>
      </c>
      <c r="X355" s="5"/>
      <c r="Y355" s="5" t="s">
        <v>94</v>
      </c>
    </row>
    <row r="356" spans="1:25" x14ac:dyDescent="0.25">
      <c r="A356" s="5" t="s">
        <v>1130</v>
      </c>
      <c r="B356" s="5"/>
      <c r="C356" s="5" t="s">
        <v>43</v>
      </c>
      <c r="D356" s="5"/>
      <c r="E356" s="5"/>
      <c r="F356" s="5"/>
      <c r="G356" s="5" t="s">
        <v>47</v>
      </c>
      <c r="H356" s="5"/>
      <c r="I356" s="5"/>
      <c r="J356" s="5"/>
      <c r="K356" s="5"/>
      <c r="L356" s="5"/>
      <c r="M356" s="5"/>
      <c r="N356" s="5" t="s">
        <v>66</v>
      </c>
      <c r="O356" s="5"/>
      <c r="P356" s="6">
        <f t="shared" si="10"/>
        <v>1</v>
      </c>
      <c r="Q356" s="6" t="str">
        <f t="shared" si="11"/>
        <v>No</v>
      </c>
      <c r="R356" s="5" t="s">
        <v>51</v>
      </c>
      <c r="S356" s="5"/>
      <c r="T356" s="5"/>
      <c r="U356" s="5"/>
      <c r="V356" s="5" t="s">
        <v>1131</v>
      </c>
      <c r="W356" s="5" t="s">
        <v>43</v>
      </c>
      <c r="X356" s="5"/>
      <c r="Y356" s="5"/>
    </row>
    <row r="357" spans="1:25" x14ac:dyDescent="0.25">
      <c r="A357" s="5" t="s">
        <v>1132</v>
      </c>
      <c r="B357" s="5"/>
      <c r="C357" s="5" t="s">
        <v>43</v>
      </c>
      <c r="D357" s="5" t="s">
        <v>44</v>
      </c>
      <c r="E357" s="5" t="s">
        <v>45</v>
      </c>
      <c r="F357" s="5" t="s">
        <v>46</v>
      </c>
      <c r="G357" s="5" t="s">
        <v>47</v>
      </c>
      <c r="H357" s="5" t="s">
        <v>1133</v>
      </c>
      <c r="I357" s="5" t="s">
        <v>178</v>
      </c>
      <c r="J357" s="5"/>
      <c r="K357" s="5" t="s">
        <v>1134</v>
      </c>
      <c r="L357" s="5"/>
      <c r="M357" s="5"/>
      <c r="N357" s="5" t="s">
        <v>50</v>
      </c>
      <c r="O357" s="5"/>
      <c r="P357" s="6">
        <f t="shared" si="10"/>
        <v>6</v>
      </c>
      <c r="Q357" s="6" t="str">
        <f t="shared" si="11"/>
        <v>Yes</v>
      </c>
      <c r="R357" s="5" t="s">
        <v>51</v>
      </c>
      <c r="S357" s="5"/>
      <c r="T357" s="5" t="s">
        <v>1135</v>
      </c>
      <c r="U357" s="5" t="s">
        <v>1133</v>
      </c>
      <c r="V357" s="5"/>
      <c r="W357" s="5" t="s">
        <v>43</v>
      </c>
      <c r="X357" s="5" t="s">
        <v>677</v>
      </c>
      <c r="Y357" s="5" t="s">
        <v>101</v>
      </c>
    </row>
    <row r="358" spans="1:25" x14ac:dyDescent="0.25">
      <c r="A358" s="5" t="s">
        <v>1136</v>
      </c>
      <c r="B358" s="5"/>
      <c r="C358" s="5"/>
      <c r="D358" s="5"/>
      <c r="E358" s="5"/>
      <c r="F358" s="5"/>
      <c r="G358" s="5"/>
      <c r="H358" s="5" t="s">
        <v>1137</v>
      </c>
      <c r="I358" s="5"/>
      <c r="J358" s="5"/>
      <c r="K358" s="5"/>
      <c r="L358" s="5"/>
      <c r="M358" s="5"/>
      <c r="N358" s="5" t="s">
        <v>66</v>
      </c>
      <c r="O358" s="5"/>
      <c r="P358" s="6">
        <f t="shared" si="10"/>
        <v>1</v>
      </c>
      <c r="Q358" s="6" t="str">
        <f t="shared" si="11"/>
        <v>No</v>
      </c>
      <c r="R358" s="5" t="s">
        <v>51</v>
      </c>
      <c r="S358" s="5"/>
      <c r="T358" s="5"/>
      <c r="U358" s="5" t="s">
        <v>1137</v>
      </c>
      <c r="V358" s="5"/>
      <c r="W358" s="5"/>
      <c r="X358" s="5"/>
      <c r="Y358" s="5"/>
    </row>
    <row r="359" spans="1:25" x14ac:dyDescent="0.25">
      <c r="A359" s="5" t="s">
        <v>1138</v>
      </c>
      <c r="B359" s="5"/>
      <c r="C359" s="5" t="s">
        <v>43</v>
      </c>
      <c r="D359" s="5" t="s">
        <v>76</v>
      </c>
      <c r="E359" s="5"/>
      <c r="F359" s="5"/>
      <c r="G359" s="5" t="s">
        <v>47</v>
      </c>
      <c r="H359" s="5" t="s">
        <v>77</v>
      </c>
      <c r="I359" s="5" t="s">
        <v>91</v>
      </c>
      <c r="J359" s="5" t="s">
        <v>71</v>
      </c>
      <c r="K359" s="5" t="s">
        <v>1139</v>
      </c>
      <c r="L359" s="5"/>
      <c r="M359" s="5"/>
      <c r="N359" s="5" t="s">
        <v>50</v>
      </c>
      <c r="O359" s="5"/>
      <c r="P359" s="6">
        <f t="shared" si="10"/>
        <v>4</v>
      </c>
      <c r="Q359" s="6" t="str">
        <f t="shared" si="11"/>
        <v>No</v>
      </c>
      <c r="R359" s="5" t="s">
        <v>51</v>
      </c>
      <c r="S359" s="5"/>
      <c r="T359" s="5" t="s">
        <v>1140</v>
      </c>
      <c r="U359" s="5" t="s">
        <v>77</v>
      </c>
      <c r="V359" s="5"/>
      <c r="W359" s="5" t="s">
        <v>43</v>
      </c>
      <c r="X359" s="5" t="s">
        <v>423</v>
      </c>
      <c r="Y359" s="5" t="s">
        <v>94</v>
      </c>
    </row>
    <row r="360" spans="1:25" x14ac:dyDescent="0.25">
      <c r="A360" s="5" t="s">
        <v>1141</v>
      </c>
      <c r="B360" s="5"/>
      <c r="C360" s="5" t="s">
        <v>70</v>
      </c>
      <c r="D360" s="5" t="s">
        <v>76</v>
      </c>
      <c r="E360" s="5"/>
      <c r="F360" s="5"/>
      <c r="G360" s="5"/>
      <c r="H360" s="5"/>
      <c r="I360" s="5"/>
      <c r="J360" s="5"/>
      <c r="K360" s="5"/>
      <c r="L360" s="5"/>
      <c r="M360" s="5"/>
      <c r="N360" s="5" t="s">
        <v>50</v>
      </c>
      <c r="O360" s="5"/>
      <c r="P360" s="6">
        <f t="shared" si="10"/>
        <v>1</v>
      </c>
      <c r="Q360" s="6" t="str">
        <f t="shared" si="11"/>
        <v>No</v>
      </c>
      <c r="R360" s="5" t="s">
        <v>51</v>
      </c>
      <c r="S360" s="5"/>
      <c r="T360" s="5"/>
      <c r="U360" s="5"/>
      <c r="V360" s="5"/>
      <c r="W360" s="5"/>
      <c r="X360" s="5"/>
      <c r="Y360" s="5" t="s">
        <v>189</v>
      </c>
    </row>
    <row r="361" spans="1:25" x14ac:dyDescent="0.25">
      <c r="A361" s="5" t="s">
        <v>1142</v>
      </c>
      <c r="B361" s="5"/>
      <c r="C361" s="5" t="s">
        <v>128</v>
      </c>
      <c r="D361" s="5"/>
      <c r="E361" s="5"/>
      <c r="F361" s="5"/>
      <c r="G361" s="5" t="s">
        <v>57</v>
      </c>
      <c r="H361" s="5"/>
      <c r="I361" s="5"/>
      <c r="J361" s="5"/>
      <c r="K361" s="5"/>
      <c r="L361" s="5"/>
      <c r="M361" s="5"/>
      <c r="N361" s="5" t="s">
        <v>66</v>
      </c>
      <c r="O361" s="5"/>
      <c r="P361" s="6">
        <f t="shared" si="10"/>
        <v>1</v>
      </c>
      <c r="Q361" s="6" t="str">
        <f t="shared" si="11"/>
        <v>No</v>
      </c>
      <c r="R361" s="5" t="s">
        <v>51</v>
      </c>
      <c r="S361" s="5"/>
      <c r="T361" s="5"/>
      <c r="U361" s="5"/>
      <c r="V361" s="5" t="s">
        <v>57</v>
      </c>
      <c r="W361" s="5" t="s">
        <v>128</v>
      </c>
      <c r="X361" s="5" t="s">
        <v>250</v>
      </c>
      <c r="Y361" s="5"/>
    </row>
    <row r="362" spans="1:25" x14ac:dyDescent="0.25">
      <c r="A362" s="5" t="s">
        <v>1143</v>
      </c>
      <c r="B362" s="5"/>
      <c r="C362" s="5" t="s">
        <v>43</v>
      </c>
      <c r="D362" s="5" t="s">
        <v>76</v>
      </c>
      <c r="E362" s="5"/>
      <c r="F362" s="5"/>
      <c r="G362" s="5" t="s">
        <v>57</v>
      </c>
      <c r="H362" s="5" t="s">
        <v>596</v>
      </c>
      <c r="I362" s="5" t="s">
        <v>91</v>
      </c>
      <c r="J362" s="5"/>
      <c r="K362" s="5" t="s">
        <v>91</v>
      </c>
      <c r="L362" s="5"/>
      <c r="M362" s="5"/>
      <c r="N362" s="5" t="s">
        <v>50</v>
      </c>
      <c r="O362" s="5"/>
      <c r="P362" s="6">
        <f t="shared" si="10"/>
        <v>4</v>
      </c>
      <c r="Q362" s="6" t="str">
        <f t="shared" si="11"/>
        <v>No</v>
      </c>
      <c r="R362" s="5" t="s">
        <v>51</v>
      </c>
      <c r="S362" s="5"/>
      <c r="T362" s="5" t="s">
        <v>1144</v>
      </c>
      <c r="U362" s="5" t="s">
        <v>596</v>
      </c>
      <c r="V362" s="5" t="s">
        <v>57</v>
      </c>
      <c r="W362" s="5" t="s">
        <v>43</v>
      </c>
      <c r="X362" s="5" t="s">
        <v>728</v>
      </c>
      <c r="Y362" s="5" t="s">
        <v>353</v>
      </c>
    </row>
    <row r="363" spans="1:25" x14ac:dyDescent="0.25">
      <c r="A363" s="5" t="s">
        <v>1145</v>
      </c>
      <c r="B363" s="5"/>
      <c r="C363" s="5"/>
      <c r="D363" s="5"/>
      <c r="E363" s="5"/>
      <c r="F363" s="5"/>
      <c r="G363" s="5"/>
      <c r="H363" s="5" t="s">
        <v>58</v>
      </c>
      <c r="I363" s="5"/>
      <c r="J363" s="5"/>
      <c r="K363" s="5"/>
      <c r="L363" s="5"/>
      <c r="M363" s="5"/>
      <c r="N363" s="5" t="s">
        <v>66</v>
      </c>
      <c r="O363" s="5" t="s">
        <v>103</v>
      </c>
      <c r="P363" s="6">
        <f t="shared" si="10"/>
        <v>1</v>
      </c>
      <c r="Q363" s="6" t="str">
        <f t="shared" si="11"/>
        <v>No</v>
      </c>
      <c r="R363" s="5" t="s">
        <v>51</v>
      </c>
      <c r="S363" s="5"/>
      <c r="T363" s="5"/>
      <c r="U363" s="5" t="s">
        <v>63</v>
      </c>
      <c r="V363" s="5"/>
      <c r="W363" s="5" t="s">
        <v>105</v>
      </c>
      <c r="X363" s="5"/>
      <c r="Y363" s="5"/>
    </row>
    <row r="364" spans="1:25" x14ac:dyDescent="0.25">
      <c r="A364" s="5" t="s">
        <v>1146</v>
      </c>
      <c r="B364" s="5"/>
      <c r="C364" s="5"/>
      <c r="D364" s="5"/>
      <c r="E364" s="5"/>
      <c r="F364" s="5"/>
      <c r="G364" s="5"/>
      <c r="H364" s="5" t="s">
        <v>58</v>
      </c>
      <c r="I364" s="5"/>
      <c r="J364" s="5"/>
      <c r="K364" s="5"/>
      <c r="L364" s="5"/>
      <c r="M364" s="5"/>
      <c r="N364" s="5" t="s">
        <v>66</v>
      </c>
      <c r="O364" s="5" t="s">
        <v>103</v>
      </c>
      <c r="P364" s="6">
        <f t="shared" si="10"/>
        <v>1</v>
      </c>
      <c r="Q364" s="6" t="str">
        <f t="shared" si="11"/>
        <v>No</v>
      </c>
      <c r="R364" s="5" t="s">
        <v>51</v>
      </c>
      <c r="S364" s="5"/>
      <c r="T364" s="5" t="s">
        <v>1147</v>
      </c>
      <c r="U364" s="5" t="s">
        <v>63</v>
      </c>
      <c r="V364" s="5"/>
      <c r="W364" s="5" t="s">
        <v>105</v>
      </c>
      <c r="X364" s="5"/>
      <c r="Y364" s="5"/>
    </row>
    <row r="365" spans="1:25" x14ac:dyDescent="0.25">
      <c r="A365" s="5" t="s">
        <v>1148</v>
      </c>
      <c r="B365" s="5"/>
      <c r="C365" s="5" t="s">
        <v>43</v>
      </c>
      <c r="D365" s="5" t="s">
        <v>44</v>
      </c>
      <c r="E365" s="5" t="s">
        <v>332</v>
      </c>
      <c r="F365" s="5"/>
      <c r="G365" s="5" t="s">
        <v>57</v>
      </c>
      <c r="H365" s="5" t="s">
        <v>664</v>
      </c>
      <c r="I365" s="5" t="s">
        <v>78</v>
      </c>
      <c r="J365" s="5" t="s">
        <v>71</v>
      </c>
      <c r="K365" s="5" t="s">
        <v>1128</v>
      </c>
      <c r="L365" s="5"/>
      <c r="M365" s="5"/>
      <c r="N365" s="5" t="s">
        <v>50</v>
      </c>
      <c r="O365" s="5"/>
      <c r="P365" s="6">
        <f t="shared" si="10"/>
        <v>5</v>
      </c>
      <c r="Q365" s="6" t="str">
        <f t="shared" si="11"/>
        <v>No</v>
      </c>
      <c r="R365" s="5" t="s">
        <v>51</v>
      </c>
      <c r="S365" s="5"/>
      <c r="T365" s="5" t="s">
        <v>1149</v>
      </c>
      <c r="U365" s="5" t="s">
        <v>664</v>
      </c>
      <c r="V365" s="5"/>
      <c r="W365" s="5" t="s">
        <v>43</v>
      </c>
      <c r="X365" s="5" t="s">
        <v>677</v>
      </c>
      <c r="Y365" s="5" t="s">
        <v>1150</v>
      </c>
    </row>
    <row r="366" spans="1:25" x14ac:dyDescent="0.25">
      <c r="A366" s="5" t="s">
        <v>1151</v>
      </c>
      <c r="B366" s="5"/>
      <c r="C366" s="5" t="s">
        <v>43</v>
      </c>
      <c r="D366" s="5" t="s">
        <v>44</v>
      </c>
      <c r="E366" s="5"/>
      <c r="F366" s="5" t="s">
        <v>46</v>
      </c>
      <c r="G366" s="5" t="s">
        <v>47</v>
      </c>
      <c r="H366" s="5" t="s">
        <v>314</v>
      </c>
      <c r="I366" s="5" t="s">
        <v>193</v>
      </c>
      <c r="J366" s="5" t="s">
        <v>192</v>
      </c>
      <c r="K366" s="5" t="s">
        <v>1152</v>
      </c>
      <c r="L366" s="5"/>
      <c r="M366" s="5"/>
      <c r="N366" s="5" t="s">
        <v>50</v>
      </c>
      <c r="O366" s="5"/>
      <c r="P366" s="6">
        <f t="shared" si="10"/>
        <v>5</v>
      </c>
      <c r="Q366" s="6" t="str">
        <f t="shared" si="11"/>
        <v>No</v>
      </c>
      <c r="R366" s="5" t="s">
        <v>51</v>
      </c>
      <c r="S366" s="5"/>
      <c r="T366" s="5" t="s">
        <v>1153</v>
      </c>
      <c r="U366" s="5" t="s">
        <v>317</v>
      </c>
      <c r="V366" s="5" t="s">
        <v>47</v>
      </c>
      <c r="W366" s="5" t="s">
        <v>43</v>
      </c>
      <c r="X366" s="5"/>
      <c r="Y366" s="5" t="s">
        <v>593</v>
      </c>
    </row>
    <row r="367" spans="1:25" x14ac:dyDescent="0.25">
      <c r="A367" s="5" t="s">
        <v>1154</v>
      </c>
      <c r="B367" s="5"/>
      <c r="C367" s="5"/>
      <c r="D367" s="5"/>
      <c r="E367" s="5"/>
      <c r="F367" s="5"/>
      <c r="G367" s="5"/>
      <c r="H367" s="5" t="s">
        <v>96</v>
      </c>
      <c r="I367" s="5"/>
      <c r="J367" s="5"/>
      <c r="K367" s="5"/>
      <c r="L367" s="5"/>
      <c r="M367" s="5"/>
      <c r="N367" s="5" t="s">
        <v>66</v>
      </c>
      <c r="O367" s="5"/>
      <c r="P367" s="6">
        <f t="shared" si="10"/>
        <v>1</v>
      </c>
      <c r="Q367" s="6" t="str">
        <f t="shared" si="11"/>
        <v>No</v>
      </c>
      <c r="R367" s="5" t="s">
        <v>51</v>
      </c>
      <c r="S367" s="5"/>
      <c r="T367" s="5"/>
      <c r="U367" s="5" t="s">
        <v>99</v>
      </c>
      <c r="V367" s="5"/>
      <c r="W367" s="5"/>
      <c r="X367" s="5"/>
      <c r="Y367" s="5"/>
    </row>
    <row r="368" spans="1:25" x14ac:dyDescent="0.25">
      <c r="A368" s="5" t="s">
        <v>1155</v>
      </c>
      <c r="B368" s="5"/>
      <c r="C368" s="5" t="s">
        <v>43</v>
      </c>
      <c r="D368" s="5" t="s">
        <v>44</v>
      </c>
      <c r="E368" s="5" t="s">
        <v>45</v>
      </c>
      <c r="F368" s="5" t="s">
        <v>107</v>
      </c>
      <c r="G368" s="5" t="s">
        <v>47</v>
      </c>
      <c r="H368" s="5" t="s">
        <v>1156</v>
      </c>
      <c r="I368" s="5" t="s">
        <v>59</v>
      </c>
      <c r="J368" s="5" t="s">
        <v>1157</v>
      </c>
      <c r="K368" s="5" t="s">
        <v>1158</v>
      </c>
      <c r="L368" s="5" t="s">
        <v>708</v>
      </c>
      <c r="M368" s="5"/>
      <c r="N368" s="5" t="s">
        <v>110</v>
      </c>
      <c r="O368" s="5" t="s">
        <v>1159</v>
      </c>
      <c r="P368" s="6">
        <f t="shared" si="10"/>
        <v>6</v>
      </c>
      <c r="Q368" s="6" t="str">
        <f t="shared" si="11"/>
        <v>No</v>
      </c>
      <c r="R368" s="5" t="s">
        <v>112</v>
      </c>
      <c r="S368" s="5" t="s">
        <v>1160</v>
      </c>
      <c r="T368" s="5" t="s">
        <v>1161</v>
      </c>
      <c r="U368" s="5" t="s">
        <v>521</v>
      </c>
      <c r="V368" s="5"/>
      <c r="W368" s="5" t="s">
        <v>43</v>
      </c>
      <c r="X368" s="5" t="s">
        <v>677</v>
      </c>
      <c r="Y368" s="5" t="s">
        <v>101</v>
      </c>
    </row>
    <row r="369" spans="1:25" x14ac:dyDescent="0.25">
      <c r="A369" s="5" t="s">
        <v>1162</v>
      </c>
      <c r="B369" s="5"/>
      <c r="C369" s="5" t="s">
        <v>43</v>
      </c>
      <c r="D369" s="5" t="s">
        <v>44</v>
      </c>
      <c r="E369" s="5"/>
      <c r="F369" s="5"/>
      <c r="G369" s="5" t="s">
        <v>47</v>
      </c>
      <c r="H369" s="5" t="s">
        <v>314</v>
      </c>
      <c r="I369" s="5" t="s">
        <v>59</v>
      </c>
      <c r="J369" s="5"/>
      <c r="K369" s="5" t="s">
        <v>59</v>
      </c>
      <c r="L369" s="5"/>
      <c r="M369" s="5"/>
      <c r="N369" s="5" t="s">
        <v>50</v>
      </c>
      <c r="O369" s="5"/>
      <c r="P369" s="6">
        <f t="shared" si="10"/>
        <v>4</v>
      </c>
      <c r="Q369" s="6" t="str">
        <f t="shared" si="11"/>
        <v>No</v>
      </c>
      <c r="R369" s="5" t="s">
        <v>51</v>
      </c>
      <c r="S369" s="5"/>
      <c r="T369" s="5" t="s">
        <v>1163</v>
      </c>
      <c r="U369" s="5" t="s">
        <v>317</v>
      </c>
      <c r="V369" s="5"/>
      <c r="W369" s="5" t="s">
        <v>43</v>
      </c>
      <c r="X369" s="5"/>
      <c r="Y369" s="5" t="s">
        <v>238</v>
      </c>
    </row>
    <row r="370" spans="1:25" x14ac:dyDescent="0.25">
      <c r="A370" s="5" t="s">
        <v>1164</v>
      </c>
      <c r="B370" s="5"/>
      <c r="C370" s="5" t="s">
        <v>70</v>
      </c>
      <c r="D370" s="5" t="s">
        <v>44</v>
      </c>
      <c r="E370" s="5"/>
      <c r="F370" s="5"/>
      <c r="G370" s="5"/>
      <c r="H370" s="5" t="s">
        <v>314</v>
      </c>
      <c r="I370" s="5" t="s">
        <v>91</v>
      </c>
      <c r="J370" s="5" t="s">
        <v>193</v>
      </c>
      <c r="K370" s="5" t="s">
        <v>1165</v>
      </c>
      <c r="L370" s="5"/>
      <c r="M370" s="5"/>
      <c r="N370" s="5" t="s">
        <v>124</v>
      </c>
      <c r="O370" s="5"/>
      <c r="P370" s="6">
        <f t="shared" si="10"/>
        <v>3</v>
      </c>
      <c r="Q370" s="6" t="str">
        <f t="shared" si="11"/>
        <v>No</v>
      </c>
      <c r="R370" s="5" t="s">
        <v>125</v>
      </c>
      <c r="S370" s="5" t="s">
        <v>138</v>
      </c>
      <c r="T370" s="5"/>
      <c r="U370" s="5" t="s">
        <v>314</v>
      </c>
      <c r="V370" s="5"/>
      <c r="W370" s="5"/>
      <c r="X370" s="5"/>
      <c r="Y370" s="5" t="s">
        <v>155</v>
      </c>
    </row>
    <row r="371" spans="1:25" x14ac:dyDescent="0.25">
      <c r="A371" s="5" t="s">
        <v>1166</v>
      </c>
      <c r="B371" s="5"/>
      <c r="C371" s="5" t="s">
        <v>43</v>
      </c>
      <c r="D371" s="5" t="s">
        <v>44</v>
      </c>
      <c r="E371" s="5" t="s">
        <v>45</v>
      </c>
      <c r="F371" s="5" t="s">
        <v>46</v>
      </c>
      <c r="G371" s="5" t="s">
        <v>57</v>
      </c>
      <c r="H371" s="5" t="s">
        <v>58</v>
      </c>
      <c r="I371" s="5" t="s">
        <v>192</v>
      </c>
      <c r="J371" s="5"/>
      <c r="K371" s="5" t="s">
        <v>192</v>
      </c>
      <c r="L371" s="5"/>
      <c r="M371" s="5"/>
      <c r="N371" s="5" t="s">
        <v>50</v>
      </c>
      <c r="O371" s="5" t="s">
        <v>1167</v>
      </c>
      <c r="P371" s="6">
        <f t="shared" si="10"/>
        <v>6</v>
      </c>
      <c r="Q371" s="6" t="str">
        <f t="shared" si="11"/>
        <v>Yes</v>
      </c>
      <c r="R371" s="5" t="s">
        <v>51</v>
      </c>
      <c r="S371" s="5" t="s">
        <v>1168</v>
      </c>
      <c r="T371" s="5" t="s">
        <v>1169</v>
      </c>
      <c r="U371" s="5" t="s">
        <v>63</v>
      </c>
      <c r="V371" s="5" t="s">
        <v>1170</v>
      </c>
      <c r="W371" s="5" t="s">
        <v>43</v>
      </c>
      <c r="X371" s="5" t="s">
        <v>836</v>
      </c>
      <c r="Y371" s="5" t="s">
        <v>219</v>
      </c>
    </row>
    <row r="372" spans="1:25" x14ac:dyDescent="0.25">
      <c r="A372" s="5" t="s">
        <v>1171</v>
      </c>
      <c r="B372" s="5"/>
      <c r="C372" s="5" t="s">
        <v>70</v>
      </c>
      <c r="D372" s="5" t="s">
        <v>76</v>
      </c>
      <c r="E372" s="5"/>
      <c r="F372" s="5"/>
      <c r="G372" s="5"/>
      <c r="H372" s="5" t="s">
        <v>77</v>
      </c>
      <c r="I372" s="5" t="s">
        <v>193</v>
      </c>
      <c r="J372" s="5" t="s">
        <v>91</v>
      </c>
      <c r="K372" s="5" t="s">
        <v>1172</v>
      </c>
      <c r="L372" s="5"/>
      <c r="M372" s="5"/>
      <c r="N372" s="5" t="s">
        <v>50</v>
      </c>
      <c r="O372" s="5"/>
      <c r="P372" s="6">
        <f t="shared" si="10"/>
        <v>3</v>
      </c>
      <c r="Q372" s="6" t="str">
        <f t="shared" si="11"/>
        <v>No</v>
      </c>
      <c r="R372" s="5" t="s">
        <v>51</v>
      </c>
      <c r="S372" s="5"/>
      <c r="T372" s="5" t="s">
        <v>1173</v>
      </c>
      <c r="U372" s="5" t="s">
        <v>77</v>
      </c>
      <c r="V372" s="5"/>
      <c r="W372" s="5"/>
      <c r="X372" s="5"/>
      <c r="Y372" s="5" t="s">
        <v>430</v>
      </c>
    </row>
    <row r="373" spans="1:25" x14ac:dyDescent="0.25">
      <c r="A373" s="5" t="s">
        <v>1174</v>
      </c>
      <c r="B373" s="5"/>
      <c r="C373" s="5" t="s">
        <v>70</v>
      </c>
      <c r="D373" s="5" t="s">
        <v>76</v>
      </c>
      <c r="E373" s="5"/>
      <c r="F373" s="5"/>
      <c r="G373" s="5"/>
      <c r="H373" s="5" t="s">
        <v>58</v>
      </c>
      <c r="I373" s="5"/>
      <c r="J373" s="5"/>
      <c r="K373" s="5"/>
      <c r="L373" s="5"/>
      <c r="M373" s="5"/>
      <c r="N373" s="5" t="s">
        <v>50</v>
      </c>
      <c r="O373" s="5"/>
      <c r="P373" s="6">
        <f t="shared" si="10"/>
        <v>2</v>
      </c>
      <c r="Q373" s="6" t="str">
        <f t="shared" si="11"/>
        <v>No</v>
      </c>
      <c r="R373" s="5" t="s">
        <v>51</v>
      </c>
      <c r="S373" s="5"/>
      <c r="T373" s="5"/>
      <c r="U373" s="5" t="s">
        <v>63</v>
      </c>
      <c r="V373" s="5"/>
      <c r="W373" s="5"/>
      <c r="X373" s="5"/>
      <c r="Y373" s="5" t="s">
        <v>189</v>
      </c>
    </row>
    <row r="374" spans="1:25" x14ac:dyDescent="0.25">
      <c r="A374" s="5" t="s">
        <v>1175</v>
      </c>
      <c r="B374" s="5"/>
      <c r="C374" s="5" t="s">
        <v>70</v>
      </c>
      <c r="D374" s="5" t="s">
        <v>44</v>
      </c>
      <c r="E374" s="5"/>
      <c r="F374" s="5"/>
      <c r="G374" s="5"/>
      <c r="H374" s="5" t="s">
        <v>90</v>
      </c>
      <c r="I374" s="5"/>
      <c r="J374" s="5"/>
      <c r="K374" s="5"/>
      <c r="L374" s="5"/>
      <c r="M374" s="5"/>
      <c r="N374" s="5" t="s">
        <v>50</v>
      </c>
      <c r="O374" s="5"/>
      <c r="P374" s="6">
        <f t="shared" si="10"/>
        <v>2</v>
      </c>
      <c r="Q374" s="6" t="str">
        <f t="shared" si="11"/>
        <v>No</v>
      </c>
      <c r="R374" s="5" t="s">
        <v>51</v>
      </c>
      <c r="S374" s="5"/>
      <c r="T374" s="5"/>
      <c r="U374" s="5" t="s">
        <v>93</v>
      </c>
      <c r="V374" s="5"/>
      <c r="W374" s="5"/>
      <c r="X374" s="5"/>
      <c r="Y374" s="5" t="s">
        <v>189</v>
      </c>
    </row>
    <row r="375" spans="1:25" x14ac:dyDescent="0.25">
      <c r="A375" s="5" t="s">
        <v>1176</v>
      </c>
      <c r="B375" s="5" t="s">
        <v>1177</v>
      </c>
      <c r="C375" s="5" t="s">
        <v>43</v>
      </c>
      <c r="D375" s="5"/>
      <c r="E375" s="5"/>
      <c r="F375" s="5"/>
      <c r="G375" s="5"/>
      <c r="H375" s="5" t="s">
        <v>910</v>
      </c>
      <c r="I375" s="5" t="s">
        <v>133</v>
      </c>
      <c r="J375" s="5"/>
      <c r="K375" s="5" t="s">
        <v>133</v>
      </c>
      <c r="L375" s="5"/>
      <c r="M375" s="5"/>
      <c r="N375" s="5" t="s">
        <v>50</v>
      </c>
      <c r="O375" s="5"/>
      <c r="P375" s="6">
        <f t="shared" si="10"/>
        <v>2</v>
      </c>
      <c r="Q375" s="6" t="str">
        <f t="shared" si="11"/>
        <v>No</v>
      </c>
      <c r="R375" s="5" t="s">
        <v>51</v>
      </c>
      <c r="S375" s="5"/>
      <c r="T375" s="5" t="s">
        <v>1178</v>
      </c>
      <c r="U375" s="5" t="s">
        <v>911</v>
      </c>
      <c r="V375" s="5"/>
      <c r="W375" s="5" t="s">
        <v>43</v>
      </c>
      <c r="X375" s="5"/>
      <c r="Y375" s="5" t="s">
        <v>589</v>
      </c>
    </row>
    <row r="376" spans="1:25" x14ac:dyDescent="0.25">
      <c r="A376" s="5" t="s">
        <v>1179</v>
      </c>
      <c r="B376" s="5" t="s">
        <v>1180</v>
      </c>
      <c r="C376" s="5" t="s">
        <v>43</v>
      </c>
      <c r="D376" s="5" t="s">
        <v>44</v>
      </c>
      <c r="E376" s="5" t="s">
        <v>45</v>
      </c>
      <c r="F376" s="5" t="s">
        <v>46</v>
      </c>
      <c r="G376" s="5" t="s">
        <v>57</v>
      </c>
      <c r="H376" s="5" t="s">
        <v>314</v>
      </c>
      <c r="I376" s="5" t="s">
        <v>49</v>
      </c>
      <c r="J376" s="5"/>
      <c r="K376" s="5" t="s">
        <v>49</v>
      </c>
      <c r="L376" s="5"/>
      <c r="M376" s="5"/>
      <c r="N376" s="5" t="s">
        <v>110</v>
      </c>
      <c r="O376" s="5"/>
      <c r="P376" s="6">
        <f t="shared" si="10"/>
        <v>6</v>
      </c>
      <c r="Q376" s="6" t="str">
        <f t="shared" si="11"/>
        <v>Yes</v>
      </c>
      <c r="R376" s="5" t="s">
        <v>112</v>
      </c>
      <c r="S376" s="5"/>
      <c r="T376" s="5" t="s">
        <v>1181</v>
      </c>
      <c r="U376" s="5" t="s">
        <v>317</v>
      </c>
      <c r="V376" s="5"/>
      <c r="W376" s="5" t="s">
        <v>43</v>
      </c>
      <c r="X376" s="5"/>
      <c r="Y376" s="5" t="s">
        <v>101</v>
      </c>
    </row>
    <row r="377" spans="1:25" x14ac:dyDescent="0.25">
      <c r="A377" s="5" t="s">
        <v>1182</v>
      </c>
      <c r="B377" s="5"/>
      <c r="C377" s="5" t="s">
        <v>128</v>
      </c>
      <c r="D377" s="5"/>
      <c r="E377" s="5"/>
      <c r="F377" s="5"/>
      <c r="G377" s="5" t="s">
        <v>57</v>
      </c>
      <c r="H377" s="5"/>
      <c r="I377" s="5" t="s">
        <v>91</v>
      </c>
      <c r="J377" s="5"/>
      <c r="K377" s="5" t="s">
        <v>91</v>
      </c>
      <c r="L377" s="5"/>
      <c r="M377" s="5"/>
      <c r="N377" s="5" t="s">
        <v>66</v>
      </c>
      <c r="O377" s="5"/>
      <c r="P377" s="6">
        <f t="shared" si="10"/>
        <v>2</v>
      </c>
      <c r="Q377" s="6" t="str">
        <f t="shared" si="11"/>
        <v>No</v>
      </c>
      <c r="R377" s="5" t="s">
        <v>51</v>
      </c>
      <c r="S377" s="5"/>
      <c r="T377" s="5" t="s">
        <v>1183</v>
      </c>
      <c r="U377" s="5"/>
      <c r="V377" s="5" t="s">
        <v>57</v>
      </c>
      <c r="W377" s="5" t="s">
        <v>128</v>
      </c>
      <c r="X377" s="5" t="s">
        <v>294</v>
      </c>
      <c r="Y377" s="5"/>
    </row>
    <row r="378" spans="1:25" x14ac:dyDescent="0.25">
      <c r="A378" s="5" t="s">
        <v>1184</v>
      </c>
      <c r="B378" s="5"/>
      <c r="C378" s="5"/>
      <c r="D378" s="5"/>
      <c r="E378" s="5"/>
      <c r="F378" s="5"/>
      <c r="G378" s="5"/>
      <c r="H378" s="5" t="s">
        <v>1185</v>
      </c>
      <c r="I378" s="5"/>
      <c r="J378" s="5"/>
      <c r="K378" s="5"/>
      <c r="L378" s="5"/>
      <c r="M378" s="5"/>
      <c r="N378" s="5" t="s">
        <v>66</v>
      </c>
      <c r="O378" s="5" t="s">
        <v>1186</v>
      </c>
      <c r="P378" s="6">
        <f t="shared" si="10"/>
        <v>1</v>
      </c>
      <c r="Q378" s="6" t="str">
        <f t="shared" si="11"/>
        <v>No</v>
      </c>
      <c r="R378" s="5" t="s">
        <v>51</v>
      </c>
      <c r="S378" s="5"/>
      <c r="T378" s="5"/>
      <c r="U378" s="5" t="s">
        <v>1187</v>
      </c>
      <c r="V378" s="5"/>
      <c r="W378" s="5" t="s">
        <v>105</v>
      </c>
      <c r="X378" s="5"/>
      <c r="Y378" s="5"/>
    </row>
    <row r="379" spans="1:25" x14ac:dyDescent="0.25">
      <c r="A379" s="5" t="s">
        <v>1188</v>
      </c>
      <c r="B379" s="5"/>
      <c r="C379" s="5" t="s">
        <v>43</v>
      </c>
      <c r="D379" s="5" t="s">
        <v>44</v>
      </c>
      <c r="E379" s="5" t="s">
        <v>332</v>
      </c>
      <c r="F379" s="5" t="s">
        <v>107</v>
      </c>
      <c r="G379" s="5" t="s">
        <v>47</v>
      </c>
      <c r="H379" s="5" t="s">
        <v>314</v>
      </c>
      <c r="I379" s="5" t="s">
        <v>193</v>
      </c>
      <c r="J379" s="5" t="s">
        <v>91</v>
      </c>
      <c r="K379" s="5" t="s">
        <v>1172</v>
      </c>
      <c r="L379" s="5"/>
      <c r="M379" s="5"/>
      <c r="N379" s="5" t="s">
        <v>50</v>
      </c>
      <c r="O379" s="5"/>
      <c r="P379" s="6">
        <f t="shared" si="10"/>
        <v>6</v>
      </c>
      <c r="Q379" s="6" t="str">
        <f t="shared" si="11"/>
        <v>Yes</v>
      </c>
      <c r="R379" s="5" t="s">
        <v>51</v>
      </c>
      <c r="S379" s="5"/>
      <c r="T379" s="5" t="s">
        <v>1189</v>
      </c>
      <c r="U379" s="5" t="s">
        <v>317</v>
      </c>
      <c r="V379" s="5"/>
      <c r="W379" s="5" t="s">
        <v>43</v>
      </c>
      <c r="X379" s="5"/>
      <c r="Y379" s="5" t="s">
        <v>1190</v>
      </c>
    </row>
    <row r="380" spans="1:25" x14ac:dyDescent="0.25">
      <c r="A380" s="5" t="s">
        <v>1191</v>
      </c>
      <c r="B380" s="5"/>
      <c r="C380" s="5" t="s">
        <v>43</v>
      </c>
      <c r="D380" s="5"/>
      <c r="E380" s="5" t="s">
        <v>45</v>
      </c>
      <c r="F380" s="5" t="s">
        <v>46</v>
      </c>
      <c r="G380" s="5" t="s">
        <v>47</v>
      </c>
      <c r="H380" s="5"/>
      <c r="I380" s="5"/>
      <c r="J380" s="5"/>
      <c r="K380" s="5"/>
      <c r="L380" s="5"/>
      <c r="M380" s="5"/>
      <c r="N380" s="5" t="s">
        <v>66</v>
      </c>
      <c r="O380" s="5"/>
      <c r="P380" s="6">
        <f t="shared" si="10"/>
        <v>3</v>
      </c>
      <c r="Q380" s="6" t="str">
        <f t="shared" si="11"/>
        <v>No</v>
      </c>
      <c r="R380" s="5" t="s">
        <v>51</v>
      </c>
      <c r="S380" s="5" t="s">
        <v>1192</v>
      </c>
      <c r="T380" s="5"/>
      <c r="U380" s="5"/>
      <c r="V380" s="5" t="s">
        <v>67</v>
      </c>
      <c r="W380" s="5" t="s">
        <v>43</v>
      </c>
      <c r="X380" s="5" t="s">
        <v>68</v>
      </c>
      <c r="Y380" s="5" t="s">
        <v>394</v>
      </c>
    </row>
    <row r="381" spans="1:25" x14ac:dyDescent="0.25">
      <c r="A381" s="5" t="s">
        <v>1193</v>
      </c>
      <c r="B381" s="5"/>
      <c r="C381" s="5"/>
      <c r="D381" s="5"/>
      <c r="E381" s="5" t="s">
        <v>45</v>
      </c>
      <c r="F381" s="5" t="s">
        <v>46</v>
      </c>
      <c r="G381" s="5"/>
      <c r="H381" s="5"/>
      <c r="I381" s="5" t="s">
        <v>91</v>
      </c>
      <c r="J381" s="5" t="s">
        <v>123</v>
      </c>
      <c r="K381" s="5" t="s">
        <v>1194</v>
      </c>
      <c r="L381" s="5"/>
      <c r="M381" s="5"/>
      <c r="N381" s="5" t="s">
        <v>66</v>
      </c>
      <c r="O381" s="5"/>
      <c r="P381" s="6">
        <f t="shared" si="10"/>
        <v>3</v>
      </c>
      <c r="Q381" s="6" t="str">
        <f t="shared" si="11"/>
        <v>No</v>
      </c>
      <c r="R381" s="5" t="s">
        <v>51</v>
      </c>
      <c r="S381" s="5" t="s">
        <v>1195</v>
      </c>
      <c r="T381" s="5" t="s">
        <v>1196</v>
      </c>
      <c r="U381" s="5"/>
      <c r="V381" s="5"/>
      <c r="W381" s="5"/>
      <c r="X381" s="5"/>
      <c r="Y381" s="5" t="s">
        <v>394</v>
      </c>
    </row>
    <row r="382" spans="1:25" x14ac:dyDescent="0.25">
      <c r="A382" s="5" t="s">
        <v>1197</v>
      </c>
      <c r="B382" s="5"/>
      <c r="C382" s="5" t="s">
        <v>43</v>
      </c>
      <c r="D382" s="5" t="s">
        <v>44</v>
      </c>
      <c r="E382" s="5" t="s">
        <v>45</v>
      </c>
      <c r="F382" s="5" t="s">
        <v>46</v>
      </c>
      <c r="G382" s="5" t="s">
        <v>57</v>
      </c>
      <c r="H382" s="5" t="s">
        <v>214</v>
      </c>
      <c r="I382" s="5" t="s">
        <v>178</v>
      </c>
      <c r="J382" s="5" t="s">
        <v>193</v>
      </c>
      <c r="K382" s="5" t="s">
        <v>1198</v>
      </c>
      <c r="L382" s="5"/>
      <c r="M382" s="5"/>
      <c r="N382" s="5" t="s">
        <v>50</v>
      </c>
      <c r="O382" s="5"/>
      <c r="P382" s="6">
        <f t="shared" si="10"/>
        <v>6</v>
      </c>
      <c r="Q382" s="6" t="str">
        <f t="shared" si="11"/>
        <v>Yes</v>
      </c>
      <c r="R382" s="5" t="s">
        <v>51</v>
      </c>
      <c r="S382" s="5" t="s">
        <v>1197</v>
      </c>
      <c r="T382" s="5" t="s">
        <v>1199</v>
      </c>
      <c r="U382" s="5" t="s">
        <v>214</v>
      </c>
      <c r="V382" s="5"/>
      <c r="W382" s="5" t="s">
        <v>43</v>
      </c>
      <c r="X382" s="5"/>
      <c r="Y382" s="5" t="s">
        <v>489</v>
      </c>
    </row>
    <row r="383" spans="1:25" x14ac:dyDescent="0.25">
      <c r="A383" s="5" t="s">
        <v>1200</v>
      </c>
      <c r="B383" s="5"/>
      <c r="C383" s="5" t="s">
        <v>43</v>
      </c>
      <c r="D383" s="5"/>
      <c r="E383" s="5"/>
      <c r="F383" s="5"/>
      <c r="G383" s="5"/>
      <c r="H383" s="5" t="s">
        <v>910</v>
      </c>
      <c r="I383" s="5"/>
      <c r="J383" s="5"/>
      <c r="K383" s="5"/>
      <c r="L383" s="5"/>
      <c r="M383" s="5"/>
      <c r="N383" s="5" t="s">
        <v>66</v>
      </c>
      <c r="O383" s="5"/>
      <c r="P383" s="6">
        <f t="shared" si="10"/>
        <v>1</v>
      </c>
      <c r="Q383" s="6" t="str">
        <f t="shared" si="11"/>
        <v>No</v>
      </c>
      <c r="R383" s="5" t="s">
        <v>51</v>
      </c>
      <c r="S383" s="5"/>
      <c r="T383" s="5" t="s">
        <v>1201</v>
      </c>
      <c r="U383" s="5" t="s">
        <v>911</v>
      </c>
      <c r="V383" s="5"/>
      <c r="W383" s="5" t="s">
        <v>43</v>
      </c>
      <c r="X383" s="5"/>
      <c r="Y383" s="5"/>
    </row>
    <row r="384" spans="1:25" x14ac:dyDescent="0.25">
      <c r="A384" s="5" t="s">
        <v>1202</v>
      </c>
      <c r="B384" s="5"/>
      <c r="C384" s="5" t="s">
        <v>43</v>
      </c>
      <c r="D384" s="5" t="s">
        <v>44</v>
      </c>
      <c r="E384" s="5"/>
      <c r="F384" s="5"/>
      <c r="G384" s="5" t="s">
        <v>47</v>
      </c>
      <c r="H384" s="5" t="s">
        <v>207</v>
      </c>
      <c r="I384" s="5" t="s">
        <v>71</v>
      </c>
      <c r="J384" s="5"/>
      <c r="K384" s="5" t="s">
        <v>71</v>
      </c>
      <c r="L384" s="5"/>
      <c r="M384" s="5"/>
      <c r="N384" s="5" t="s">
        <v>50</v>
      </c>
      <c r="O384" s="5"/>
      <c r="P384" s="6">
        <f t="shared" si="10"/>
        <v>4</v>
      </c>
      <c r="Q384" s="6" t="str">
        <f t="shared" si="11"/>
        <v>No</v>
      </c>
      <c r="R384" s="5" t="s">
        <v>51</v>
      </c>
      <c r="S384" s="5"/>
      <c r="T384" s="5" t="s">
        <v>1203</v>
      </c>
      <c r="U384" s="5" t="s">
        <v>211</v>
      </c>
      <c r="V384" s="5" t="s">
        <v>1121</v>
      </c>
      <c r="W384" s="5" t="s">
        <v>43</v>
      </c>
      <c r="X384" s="5" t="s">
        <v>1039</v>
      </c>
      <c r="Y384" s="5" t="s">
        <v>353</v>
      </c>
    </row>
    <row r="385" spans="1:25" x14ac:dyDescent="0.25">
      <c r="A385" s="5" t="s">
        <v>1204</v>
      </c>
      <c r="B385" s="5"/>
      <c r="C385" s="5" t="s">
        <v>43</v>
      </c>
      <c r="D385" s="5" t="s">
        <v>44</v>
      </c>
      <c r="E385" s="5"/>
      <c r="F385" s="5"/>
      <c r="G385" s="5" t="s">
        <v>47</v>
      </c>
      <c r="H385" s="5" t="s">
        <v>96</v>
      </c>
      <c r="I385" s="5" t="s">
        <v>133</v>
      </c>
      <c r="J385" s="5"/>
      <c r="K385" s="5" t="s">
        <v>133</v>
      </c>
      <c r="L385" s="5"/>
      <c r="M385" s="5"/>
      <c r="N385" s="5" t="s">
        <v>66</v>
      </c>
      <c r="O385" s="5"/>
      <c r="P385" s="6">
        <f t="shared" si="10"/>
        <v>4</v>
      </c>
      <c r="Q385" s="6" t="str">
        <f t="shared" si="11"/>
        <v>No</v>
      </c>
      <c r="R385" s="5" t="s">
        <v>51</v>
      </c>
      <c r="S385" s="5"/>
      <c r="T385" s="5" t="s">
        <v>1205</v>
      </c>
      <c r="U385" s="5" t="s">
        <v>99</v>
      </c>
      <c r="V385" s="5" t="s">
        <v>181</v>
      </c>
      <c r="W385" s="5" t="s">
        <v>43</v>
      </c>
      <c r="X385" s="5" t="s">
        <v>68</v>
      </c>
      <c r="Y385" s="5" t="s">
        <v>1206</v>
      </c>
    </row>
    <row r="386" spans="1:25" x14ac:dyDescent="0.25">
      <c r="A386" s="5" t="s">
        <v>1207</v>
      </c>
      <c r="B386" s="5"/>
      <c r="C386" s="5" t="s">
        <v>43</v>
      </c>
      <c r="D386" s="5" t="s">
        <v>44</v>
      </c>
      <c r="E386" s="5"/>
      <c r="F386" s="5"/>
      <c r="G386" s="5"/>
      <c r="H386" s="5" t="s">
        <v>48</v>
      </c>
      <c r="I386" s="5" t="s">
        <v>193</v>
      </c>
      <c r="J386" s="5"/>
      <c r="K386" s="5" t="s">
        <v>193</v>
      </c>
      <c r="L386" s="5"/>
      <c r="M386" s="5"/>
      <c r="N386" s="5" t="s">
        <v>50</v>
      </c>
      <c r="O386" s="5"/>
      <c r="P386" s="6">
        <f t="shared" ref="P386:P449" si="12">IF(A386="","",COUNTA(D386:F386)+COUNTA(G386:G386)+COUNTA(H386:H386)+COUNTA(I386:I386))</f>
        <v>3</v>
      </c>
      <c r="Q386" s="6" t="str">
        <f t="shared" ref="Q386:Q449" si="13">IF(A386="","",IF(AND(P386=6,UPPER(L386)&lt;&gt;"Y",C386&lt;&gt;""),"Yes","No"))</f>
        <v>No</v>
      </c>
      <c r="R386" s="5" t="s">
        <v>51</v>
      </c>
      <c r="S386" s="5"/>
      <c r="T386" s="5" t="s">
        <v>1208</v>
      </c>
      <c r="U386" s="5" t="s">
        <v>48</v>
      </c>
      <c r="V386" s="5"/>
      <c r="W386" s="5" t="s">
        <v>43</v>
      </c>
      <c r="X386" s="5"/>
      <c r="Y386" s="5" t="s">
        <v>136</v>
      </c>
    </row>
    <row r="387" spans="1:25" x14ac:dyDescent="0.25">
      <c r="A387" s="5" t="s">
        <v>1209</v>
      </c>
      <c r="B387" s="5"/>
      <c r="C387" s="5"/>
      <c r="D387" s="5"/>
      <c r="E387" s="5"/>
      <c r="F387" s="5"/>
      <c r="G387" s="5"/>
      <c r="H387" s="5" t="s">
        <v>647</v>
      </c>
      <c r="I387" s="5"/>
      <c r="J387" s="5"/>
      <c r="K387" s="5"/>
      <c r="L387" s="5"/>
      <c r="M387" s="5"/>
      <c r="N387" s="5" t="s">
        <v>66</v>
      </c>
      <c r="O387" s="5"/>
      <c r="P387" s="6">
        <f t="shared" si="12"/>
        <v>1</v>
      </c>
      <c r="Q387" s="6" t="str">
        <f t="shared" si="13"/>
        <v>No</v>
      </c>
      <c r="R387" s="5" t="s">
        <v>51</v>
      </c>
      <c r="S387" s="5"/>
      <c r="T387" s="5"/>
      <c r="U387" s="5" t="s">
        <v>647</v>
      </c>
      <c r="V387" s="5"/>
      <c r="W387" s="5"/>
      <c r="X387" s="5"/>
      <c r="Y387" s="5"/>
    </row>
    <row r="388" spans="1:25" x14ac:dyDescent="0.25">
      <c r="A388" s="5" t="s">
        <v>1210</v>
      </c>
      <c r="B388" s="5"/>
      <c r="C388" s="5" t="s">
        <v>70</v>
      </c>
      <c r="D388" s="5" t="s">
        <v>44</v>
      </c>
      <c r="E388" s="5"/>
      <c r="F388" s="5"/>
      <c r="G388" s="5" t="s">
        <v>47</v>
      </c>
      <c r="H388" s="5" t="s">
        <v>314</v>
      </c>
      <c r="I388" s="5" t="s">
        <v>72</v>
      </c>
      <c r="J388" s="5"/>
      <c r="K388" s="5" t="s">
        <v>72</v>
      </c>
      <c r="L388" s="5"/>
      <c r="M388" s="5"/>
      <c r="N388" s="5" t="s">
        <v>124</v>
      </c>
      <c r="O388" s="5"/>
      <c r="P388" s="6">
        <f t="shared" si="12"/>
        <v>4</v>
      </c>
      <c r="Q388" s="6" t="str">
        <f t="shared" si="13"/>
        <v>No</v>
      </c>
      <c r="R388" s="5" t="s">
        <v>125</v>
      </c>
      <c r="S388" s="5" t="s">
        <v>138</v>
      </c>
      <c r="T388" s="5"/>
      <c r="U388" s="5" t="s">
        <v>314</v>
      </c>
      <c r="V388" s="5" t="s">
        <v>47</v>
      </c>
      <c r="W388" s="5"/>
      <c r="X388" s="5"/>
      <c r="Y388" s="5" t="s">
        <v>286</v>
      </c>
    </row>
    <row r="389" spans="1:25" x14ac:dyDescent="0.25">
      <c r="A389" s="5" t="s">
        <v>1211</v>
      </c>
      <c r="B389" s="5"/>
      <c r="C389" s="5"/>
      <c r="D389" s="5"/>
      <c r="E389" s="5"/>
      <c r="F389" s="5"/>
      <c r="G389" s="5"/>
      <c r="H389" s="5" t="s">
        <v>58</v>
      </c>
      <c r="I389" s="5"/>
      <c r="J389" s="5"/>
      <c r="K389" s="5"/>
      <c r="L389" s="5"/>
      <c r="M389" s="5"/>
      <c r="N389" s="5" t="s">
        <v>66</v>
      </c>
      <c r="O389" s="5" t="s">
        <v>103</v>
      </c>
      <c r="P389" s="6">
        <f t="shared" si="12"/>
        <v>1</v>
      </c>
      <c r="Q389" s="6" t="str">
        <f t="shared" si="13"/>
        <v>No</v>
      </c>
      <c r="R389" s="5" t="s">
        <v>51</v>
      </c>
      <c r="S389" s="5"/>
      <c r="T389" s="5" t="s">
        <v>1212</v>
      </c>
      <c r="U389" s="5" t="s">
        <v>63</v>
      </c>
      <c r="V389" s="5"/>
      <c r="W389" s="5" t="s">
        <v>105</v>
      </c>
      <c r="X389" s="5"/>
      <c r="Y389" s="5"/>
    </row>
    <row r="390" spans="1:25" x14ac:dyDescent="0.25">
      <c r="A390" s="5" t="s">
        <v>1213</v>
      </c>
      <c r="B390" s="5"/>
      <c r="C390" s="5" t="s">
        <v>43</v>
      </c>
      <c r="D390" s="5" t="s">
        <v>44</v>
      </c>
      <c r="E390" s="5" t="s">
        <v>45</v>
      </c>
      <c r="F390" s="5" t="s">
        <v>107</v>
      </c>
      <c r="G390" s="5" t="s">
        <v>57</v>
      </c>
      <c r="H390" s="5" t="s">
        <v>323</v>
      </c>
      <c r="I390" s="5" t="s">
        <v>78</v>
      </c>
      <c r="J390" s="5"/>
      <c r="K390" s="5" t="s">
        <v>1214</v>
      </c>
      <c r="L390" s="5"/>
      <c r="M390" s="5"/>
      <c r="N390" s="5" t="s">
        <v>110</v>
      </c>
      <c r="O390" s="5"/>
      <c r="P390" s="6">
        <f t="shared" si="12"/>
        <v>6</v>
      </c>
      <c r="Q390" s="6" t="str">
        <f t="shared" si="13"/>
        <v>Yes</v>
      </c>
      <c r="R390" s="5" t="s">
        <v>112</v>
      </c>
      <c r="S390" s="5" t="s">
        <v>1215</v>
      </c>
      <c r="T390" s="5" t="s">
        <v>1216</v>
      </c>
      <c r="U390" s="5" t="s">
        <v>323</v>
      </c>
      <c r="V390" s="5" t="s">
        <v>57</v>
      </c>
      <c r="W390" s="5" t="s">
        <v>43</v>
      </c>
      <c r="X390" s="5" t="s">
        <v>87</v>
      </c>
      <c r="Y390" s="5" t="s">
        <v>55</v>
      </c>
    </row>
    <row r="391" spans="1:25" x14ac:dyDescent="0.25">
      <c r="A391" s="5" t="s">
        <v>1217</v>
      </c>
      <c r="B391" s="5"/>
      <c r="C391" s="5" t="s">
        <v>43</v>
      </c>
      <c r="D391" s="5" t="s">
        <v>44</v>
      </c>
      <c r="E391" s="5" t="s">
        <v>45</v>
      </c>
      <c r="F391" s="5" t="s">
        <v>107</v>
      </c>
      <c r="G391" s="5" t="s">
        <v>57</v>
      </c>
      <c r="H391" s="5" t="s">
        <v>58</v>
      </c>
      <c r="I391" s="5" t="s">
        <v>192</v>
      </c>
      <c r="J391" s="5"/>
      <c r="K391" s="5" t="s">
        <v>518</v>
      </c>
      <c r="L391" s="5"/>
      <c r="M391" s="5"/>
      <c r="N391" s="5" t="s">
        <v>50</v>
      </c>
      <c r="O391" s="5"/>
      <c r="P391" s="6">
        <f t="shared" si="12"/>
        <v>6</v>
      </c>
      <c r="Q391" s="6" t="str">
        <f t="shared" si="13"/>
        <v>Yes</v>
      </c>
      <c r="R391" s="5" t="s">
        <v>51</v>
      </c>
      <c r="S391" s="5" t="s">
        <v>1218</v>
      </c>
      <c r="T391" s="5" t="s">
        <v>1219</v>
      </c>
      <c r="U391" s="5" t="s">
        <v>63</v>
      </c>
      <c r="V391" s="5"/>
      <c r="W391" s="5" t="s">
        <v>43</v>
      </c>
      <c r="X391" s="5" t="s">
        <v>222</v>
      </c>
      <c r="Y391" s="5" t="s">
        <v>1220</v>
      </c>
    </row>
    <row r="392" spans="1:25" x14ac:dyDescent="0.25">
      <c r="A392" s="5" t="s">
        <v>1221</v>
      </c>
      <c r="B392" s="5"/>
      <c r="C392" s="5" t="s">
        <v>43</v>
      </c>
      <c r="D392" s="5"/>
      <c r="E392" s="5"/>
      <c r="F392" s="5"/>
      <c r="G392" s="5" t="s">
        <v>47</v>
      </c>
      <c r="H392" s="5"/>
      <c r="I392" s="5" t="s">
        <v>123</v>
      </c>
      <c r="J392" s="5"/>
      <c r="K392" s="5" t="s">
        <v>123</v>
      </c>
      <c r="L392" s="5"/>
      <c r="M392" s="5"/>
      <c r="N392" s="5" t="s">
        <v>66</v>
      </c>
      <c r="O392" s="5"/>
      <c r="P392" s="6">
        <f t="shared" si="12"/>
        <v>2</v>
      </c>
      <c r="Q392" s="6" t="str">
        <f t="shared" si="13"/>
        <v>No</v>
      </c>
      <c r="R392" s="5" t="s">
        <v>51</v>
      </c>
      <c r="S392" s="5"/>
      <c r="T392" s="5" t="s">
        <v>1222</v>
      </c>
      <c r="U392" s="5"/>
      <c r="V392" s="5" t="s">
        <v>1223</v>
      </c>
      <c r="W392" s="5" t="s">
        <v>43</v>
      </c>
      <c r="X392" s="5"/>
      <c r="Y392" s="5"/>
    </row>
    <row r="393" spans="1:25" x14ac:dyDescent="0.25">
      <c r="A393" s="5" t="s">
        <v>1224</v>
      </c>
      <c r="B393" s="5"/>
      <c r="C393" s="5" t="s">
        <v>70</v>
      </c>
      <c r="D393" s="5" t="s">
        <v>44</v>
      </c>
      <c r="E393" s="5"/>
      <c r="F393" s="5"/>
      <c r="G393" s="5"/>
      <c r="H393" s="5" t="s">
        <v>90</v>
      </c>
      <c r="I393" s="5"/>
      <c r="J393" s="5"/>
      <c r="K393" s="5"/>
      <c r="L393" s="5"/>
      <c r="M393" s="5"/>
      <c r="N393" s="5" t="s">
        <v>50</v>
      </c>
      <c r="O393" s="5"/>
      <c r="P393" s="6">
        <f t="shared" si="12"/>
        <v>2</v>
      </c>
      <c r="Q393" s="6" t="str">
        <f t="shared" si="13"/>
        <v>No</v>
      </c>
      <c r="R393" s="5" t="s">
        <v>51</v>
      </c>
      <c r="S393" s="5"/>
      <c r="T393" s="5"/>
      <c r="U393" s="5" t="s">
        <v>93</v>
      </c>
      <c r="V393" s="5"/>
      <c r="W393" s="5"/>
      <c r="X393" s="5"/>
      <c r="Y393" s="5" t="s">
        <v>189</v>
      </c>
    </row>
    <row r="394" spans="1:25" x14ac:dyDescent="0.25">
      <c r="A394" s="5" t="s">
        <v>1225</v>
      </c>
      <c r="B394" s="5"/>
      <c r="C394" s="5" t="s">
        <v>43</v>
      </c>
      <c r="D394" s="5"/>
      <c r="E394" s="5" t="s">
        <v>45</v>
      </c>
      <c r="F394" s="5" t="s">
        <v>107</v>
      </c>
      <c r="G394" s="5" t="s">
        <v>47</v>
      </c>
      <c r="H394" s="5"/>
      <c r="I394" s="5"/>
      <c r="J394" s="5"/>
      <c r="K394" s="5"/>
      <c r="L394" s="5"/>
      <c r="M394" s="5"/>
      <c r="N394" s="5" t="s">
        <v>66</v>
      </c>
      <c r="O394" s="5"/>
      <c r="P394" s="6">
        <f t="shared" si="12"/>
        <v>3</v>
      </c>
      <c r="Q394" s="6" t="str">
        <f t="shared" si="13"/>
        <v>No</v>
      </c>
      <c r="R394" s="5" t="s">
        <v>51</v>
      </c>
      <c r="S394" s="5" t="s">
        <v>1226</v>
      </c>
      <c r="T394" s="5"/>
      <c r="U394" s="5"/>
      <c r="V394" s="5" t="s">
        <v>67</v>
      </c>
      <c r="W394" s="5" t="s">
        <v>43</v>
      </c>
      <c r="X394" s="5" t="s">
        <v>68</v>
      </c>
      <c r="Y394" s="5" t="s">
        <v>394</v>
      </c>
    </row>
    <row r="395" spans="1:25" x14ac:dyDescent="0.25">
      <c r="A395" s="5" t="s">
        <v>1227</v>
      </c>
      <c r="B395" s="5"/>
      <c r="C395" s="5" t="s">
        <v>43</v>
      </c>
      <c r="D395" s="5" t="s">
        <v>76</v>
      </c>
      <c r="E395" s="5"/>
      <c r="F395" s="5"/>
      <c r="G395" s="5" t="s">
        <v>47</v>
      </c>
      <c r="H395" s="5" t="s">
        <v>149</v>
      </c>
      <c r="I395" s="5"/>
      <c r="J395" s="5"/>
      <c r="K395" s="5"/>
      <c r="L395" s="5"/>
      <c r="M395" s="5"/>
      <c r="N395" s="5" t="s">
        <v>50</v>
      </c>
      <c r="O395" s="5"/>
      <c r="P395" s="6">
        <f t="shared" si="12"/>
        <v>3</v>
      </c>
      <c r="Q395" s="6" t="str">
        <f t="shared" si="13"/>
        <v>No</v>
      </c>
      <c r="R395" s="5" t="s">
        <v>51</v>
      </c>
      <c r="S395" s="5"/>
      <c r="T395" s="5"/>
      <c r="U395" s="5"/>
      <c r="V395" s="5" t="s">
        <v>67</v>
      </c>
      <c r="W395" s="5" t="s">
        <v>43</v>
      </c>
      <c r="X395" s="5"/>
      <c r="Y395" s="5" t="s">
        <v>150</v>
      </c>
    </row>
    <row r="396" spans="1:25" x14ac:dyDescent="0.25">
      <c r="A396" s="5" t="s">
        <v>1228</v>
      </c>
      <c r="B396" s="5"/>
      <c r="C396" s="5" t="s">
        <v>43</v>
      </c>
      <c r="D396" s="5" t="s">
        <v>44</v>
      </c>
      <c r="E396" s="5" t="s">
        <v>45</v>
      </c>
      <c r="F396" s="5" t="s">
        <v>46</v>
      </c>
      <c r="G396" s="5"/>
      <c r="H396" s="5" t="s">
        <v>910</v>
      </c>
      <c r="I396" s="5" t="s">
        <v>59</v>
      </c>
      <c r="J396" s="5"/>
      <c r="K396" s="5" t="s">
        <v>59</v>
      </c>
      <c r="L396" s="5"/>
      <c r="M396" s="5"/>
      <c r="N396" s="5" t="s">
        <v>50</v>
      </c>
      <c r="O396" s="5"/>
      <c r="P396" s="6">
        <f t="shared" si="12"/>
        <v>5</v>
      </c>
      <c r="Q396" s="6" t="str">
        <f t="shared" si="13"/>
        <v>No</v>
      </c>
      <c r="R396" s="5" t="s">
        <v>51</v>
      </c>
      <c r="S396" s="5" t="s">
        <v>1229</v>
      </c>
      <c r="T396" s="5" t="s">
        <v>1230</v>
      </c>
      <c r="U396" s="5" t="s">
        <v>911</v>
      </c>
      <c r="V396" s="5"/>
      <c r="W396" s="5" t="s">
        <v>43</v>
      </c>
      <c r="X396" s="5"/>
      <c r="Y396" s="5" t="s">
        <v>55</v>
      </c>
    </row>
    <row r="397" spans="1:25" x14ac:dyDescent="0.25">
      <c r="A397" s="5" t="s">
        <v>1231</v>
      </c>
      <c r="B397" s="5"/>
      <c r="C397" s="5"/>
      <c r="D397" s="5"/>
      <c r="E397" s="5"/>
      <c r="F397" s="5" t="s">
        <v>107</v>
      </c>
      <c r="G397" s="5"/>
      <c r="H397" s="5" t="s">
        <v>58</v>
      </c>
      <c r="I397" s="5"/>
      <c r="J397" s="5"/>
      <c r="K397" s="5"/>
      <c r="L397" s="5"/>
      <c r="M397" s="5"/>
      <c r="N397" s="5" t="s">
        <v>66</v>
      </c>
      <c r="O397" s="5" t="s">
        <v>103</v>
      </c>
      <c r="P397" s="6">
        <f t="shared" si="12"/>
        <v>2</v>
      </c>
      <c r="Q397" s="6" t="str">
        <f t="shared" si="13"/>
        <v>No</v>
      </c>
      <c r="R397" s="5" t="s">
        <v>51</v>
      </c>
      <c r="S397" s="5"/>
      <c r="T397" s="5" t="s">
        <v>1232</v>
      </c>
      <c r="U397" s="5" t="s">
        <v>63</v>
      </c>
      <c r="V397" s="5"/>
      <c r="W397" s="5" t="s">
        <v>105</v>
      </c>
      <c r="X397" s="5"/>
      <c r="Y397" s="5" t="s">
        <v>585</v>
      </c>
    </row>
    <row r="398" spans="1:25" x14ac:dyDescent="0.25">
      <c r="A398" s="5" t="s">
        <v>1233</v>
      </c>
      <c r="B398" s="5" t="s">
        <v>858</v>
      </c>
      <c r="C398" s="5" t="s">
        <v>43</v>
      </c>
      <c r="D398" s="5" t="s">
        <v>44</v>
      </c>
      <c r="E398" s="5"/>
      <c r="F398" s="5"/>
      <c r="G398" s="5" t="s">
        <v>57</v>
      </c>
      <c r="H398" s="5" t="s">
        <v>58</v>
      </c>
      <c r="I398" s="5"/>
      <c r="J398" s="5"/>
      <c r="K398" s="5"/>
      <c r="L398" s="5"/>
      <c r="M398" s="5"/>
      <c r="N398" s="5" t="s">
        <v>50</v>
      </c>
      <c r="O398" s="5"/>
      <c r="P398" s="6">
        <f t="shared" si="12"/>
        <v>3</v>
      </c>
      <c r="Q398" s="6" t="str">
        <f t="shared" si="13"/>
        <v>No</v>
      </c>
      <c r="R398" s="5" t="s">
        <v>51</v>
      </c>
      <c r="S398" s="5"/>
      <c r="T398" s="5" t="s">
        <v>1234</v>
      </c>
      <c r="U398" s="5" t="s">
        <v>63</v>
      </c>
      <c r="V398" s="5" t="s">
        <v>57</v>
      </c>
      <c r="W398" s="5" t="s">
        <v>43</v>
      </c>
      <c r="X398" s="5"/>
      <c r="Y398" s="5" t="s">
        <v>136</v>
      </c>
    </row>
    <row r="399" spans="1:25" x14ac:dyDescent="0.25">
      <c r="A399" s="5" t="s">
        <v>1235</v>
      </c>
      <c r="B399" s="5"/>
      <c r="C399" s="5" t="s">
        <v>43</v>
      </c>
      <c r="D399" s="5" t="s">
        <v>44</v>
      </c>
      <c r="E399" s="5"/>
      <c r="F399" s="5"/>
      <c r="G399" s="5"/>
      <c r="H399" s="5"/>
      <c r="I399" s="5"/>
      <c r="J399" s="5"/>
      <c r="K399" s="5"/>
      <c r="L399" s="5"/>
      <c r="M399" s="5"/>
      <c r="N399" s="5" t="s">
        <v>50</v>
      </c>
      <c r="O399" s="5"/>
      <c r="P399" s="6">
        <f t="shared" si="12"/>
        <v>1</v>
      </c>
      <c r="Q399" s="6" t="str">
        <f t="shared" si="13"/>
        <v>No</v>
      </c>
      <c r="R399" s="5" t="s">
        <v>51</v>
      </c>
      <c r="S399" s="5"/>
      <c r="T399" s="5"/>
      <c r="U399" s="5"/>
      <c r="V399" s="5"/>
      <c r="W399" s="5" t="s">
        <v>43</v>
      </c>
      <c r="X399" s="5" t="s">
        <v>228</v>
      </c>
      <c r="Y399" s="5" t="s">
        <v>136</v>
      </c>
    </row>
    <row r="400" spans="1:25" x14ac:dyDescent="0.25">
      <c r="A400" s="5" t="s">
        <v>1236</v>
      </c>
      <c r="B400" s="5"/>
      <c r="C400" s="5" t="s">
        <v>43</v>
      </c>
      <c r="D400" s="5"/>
      <c r="E400" s="5"/>
      <c r="F400" s="5"/>
      <c r="G400" s="5" t="s">
        <v>47</v>
      </c>
      <c r="H400" s="5" t="s">
        <v>58</v>
      </c>
      <c r="I400" s="5"/>
      <c r="J400" s="5"/>
      <c r="K400" s="5"/>
      <c r="L400" s="5"/>
      <c r="M400" s="5"/>
      <c r="N400" s="5" t="s">
        <v>66</v>
      </c>
      <c r="O400" s="5"/>
      <c r="P400" s="6">
        <f t="shared" si="12"/>
        <v>2</v>
      </c>
      <c r="Q400" s="6" t="str">
        <f t="shared" si="13"/>
        <v>No</v>
      </c>
      <c r="R400" s="5" t="s">
        <v>51</v>
      </c>
      <c r="S400" s="5"/>
      <c r="T400" s="5" t="s">
        <v>1237</v>
      </c>
      <c r="U400" s="5" t="s">
        <v>63</v>
      </c>
      <c r="V400" s="5" t="s">
        <v>1238</v>
      </c>
      <c r="W400" s="5" t="s">
        <v>43</v>
      </c>
      <c r="X400" s="5"/>
      <c r="Y400" s="5"/>
    </row>
    <row r="401" spans="1:25" x14ac:dyDescent="0.25">
      <c r="A401" s="5" t="s">
        <v>1239</v>
      </c>
      <c r="B401" s="5"/>
      <c r="C401" s="5" t="s">
        <v>70</v>
      </c>
      <c r="D401" s="5" t="s">
        <v>44</v>
      </c>
      <c r="E401" s="5"/>
      <c r="F401" s="5"/>
      <c r="G401" s="5" t="s">
        <v>47</v>
      </c>
      <c r="H401" s="5" t="s">
        <v>205</v>
      </c>
      <c r="I401" s="5" t="s">
        <v>59</v>
      </c>
      <c r="J401" s="5"/>
      <c r="K401" s="5" t="s">
        <v>59</v>
      </c>
      <c r="L401" s="5"/>
      <c r="M401" s="5"/>
      <c r="N401" s="5" t="s">
        <v>124</v>
      </c>
      <c r="O401" s="5"/>
      <c r="P401" s="6">
        <f t="shared" si="12"/>
        <v>4</v>
      </c>
      <c r="Q401" s="6" t="str">
        <f t="shared" si="13"/>
        <v>No</v>
      </c>
      <c r="R401" s="5" t="s">
        <v>125</v>
      </c>
      <c r="S401" s="5"/>
      <c r="T401" s="5"/>
      <c r="U401" s="5" t="s">
        <v>205</v>
      </c>
      <c r="V401" s="5" t="s">
        <v>47</v>
      </c>
      <c r="W401" s="5"/>
      <c r="X401" s="5"/>
      <c r="Y401" s="5" t="s">
        <v>286</v>
      </c>
    </row>
    <row r="402" spans="1:25" x14ac:dyDescent="0.25">
      <c r="A402" s="5" t="s">
        <v>1240</v>
      </c>
      <c r="B402" s="5"/>
      <c r="C402" s="5" t="s">
        <v>43</v>
      </c>
      <c r="D402" s="5"/>
      <c r="E402" s="5"/>
      <c r="F402" s="5"/>
      <c r="G402" s="5" t="s">
        <v>47</v>
      </c>
      <c r="H402" s="5"/>
      <c r="I402" s="5"/>
      <c r="J402" s="5"/>
      <c r="K402" s="5"/>
      <c r="L402" s="5"/>
      <c r="M402" s="5"/>
      <c r="N402" s="5" t="s">
        <v>66</v>
      </c>
      <c r="O402" s="5"/>
      <c r="P402" s="6">
        <f t="shared" si="12"/>
        <v>1</v>
      </c>
      <c r="Q402" s="6" t="str">
        <f t="shared" si="13"/>
        <v>No</v>
      </c>
      <c r="R402" s="5" t="s">
        <v>51</v>
      </c>
      <c r="S402" s="5"/>
      <c r="T402" s="5" t="s">
        <v>1241</v>
      </c>
      <c r="U402" s="5"/>
      <c r="V402" s="5" t="s">
        <v>1242</v>
      </c>
      <c r="W402" s="5" t="s">
        <v>43</v>
      </c>
      <c r="X402" s="5"/>
      <c r="Y402" s="5"/>
    </row>
    <row r="403" spans="1:25" x14ac:dyDescent="0.25">
      <c r="A403" s="5" t="s">
        <v>1243</v>
      </c>
      <c r="B403" s="5"/>
      <c r="C403" s="5" t="s">
        <v>70</v>
      </c>
      <c r="D403" s="5" t="s">
        <v>76</v>
      </c>
      <c r="E403" s="5"/>
      <c r="F403" s="5" t="s">
        <v>107</v>
      </c>
      <c r="G403" s="5" t="s">
        <v>47</v>
      </c>
      <c r="H403" s="5" t="s">
        <v>323</v>
      </c>
      <c r="I403" s="5" t="s">
        <v>71</v>
      </c>
      <c r="J403" s="5" t="s">
        <v>157</v>
      </c>
      <c r="K403" s="5" t="s">
        <v>995</v>
      </c>
      <c r="L403" s="5"/>
      <c r="M403" s="5"/>
      <c r="N403" s="5" t="s">
        <v>124</v>
      </c>
      <c r="O403" s="5"/>
      <c r="P403" s="6">
        <f t="shared" si="12"/>
        <v>5</v>
      </c>
      <c r="Q403" s="6" t="str">
        <f t="shared" si="13"/>
        <v>No</v>
      </c>
      <c r="R403" s="5" t="s">
        <v>125</v>
      </c>
      <c r="S403" s="5" t="s">
        <v>991</v>
      </c>
      <c r="T403" s="5"/>
      <c r="U403" s="5" t="s">
        <v>323</v>
      </c>
      <c r="V403" s="5" t="s">
        <v>47</v>
      </c>
      <c r="W403" s="5"/>
      <c r="X403" s="5"/>
      <c r="Y403" s="5" t="s">
        <v>577</v>
      </c>
    </row>
    <row r="404" spans="1:25" x14ac:dyDescent="0.25">
      <c r="A404" s="5" t="s">
        <v>1244</v>
      </c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 t="s">
        <v>66</v>
      </c>
      <c r="O404" s="5"/>
      <c r="P404" s="6">
        <f t="shared" si="12"/>
        <v>0</v>
      </c>
      <c r="Q404" s="6" t="str">
        <f t="shared" si="13"/>
        <v>No</v>
      </c>
      <c r="R404" s="5" t="s">
        <v>51</v>
      </c>
      <c r="S404" s="5"/>
      <c r="T404" s="5"/>
      <c r="U404" s="5"/>
      <c r="V404" s="5"/>
      <c r="W404" s="5"/>
      <c r="X404" s="5"/>
      <c r="Y404" s="5"/>
    </row>
    <row r="405" spans="1:25" x14ac:dyDescent="0.25">
      <c r="A405" s="5" t="s">
        <v>1245</v>
      </c>
      <c r="B405" s="5"/>
      <c r="C405" s="5" t="s">
        <v>70</v>
      </c>
      <c r="D405" s="5"/>
      <c r="E405" s="5"/>
      <c r="F405" s="5"/>
      <c r="G405" s="5" t="s">
        <v>47</v>
      </c>
      <c r="H405" s="5"/>
      <c r="I405" s="5"/>
      <c r="J405" s="5"/>
      <c r="K405" s="5"/>
      <c r="L405" s="5"/>
      <c r="M405" s="5"/>
      <c r="N405" s="5" t="s">
        <v>50</v>
      </c>
      <c r="O405" s="5"/>
      <c r="P405" s="6">
        <f t="shared" si="12"/>
        <v>1</v>
      </c>
      <c r="Q405" s="6" t="str">
        <f t="shared" si="13"/>
        <v>No</v>
      </c>
      <c r="R405" s="5" t="s">
        <v>51</v>
      </c>
      <c r="S405" s="5"/>
      <c r="T405" s="5"/>
      <c r="U405" s="5"/>
      <c r="V405" s="5"/>
      <c r="W405" s="5"/>
      <c r="X405" s="5"/>
      <c r="Y405" s="5" t="s">
        <v>257</v>
      </c>
    </row>
    <row r="406" spans="1:25" x14ac:dyDescent="0.25">
      <c r="A406" s="5" t="s">
        <v>1246</v>
      </c>
      <c r="B406" s="5"/>
      <c r="C406" s="5"/>
      <c r="D406" s="5"/>
      <c r="E406" s="5"/>
      <c r="F406" s="5"/>
      <c r="G406" s="5"/>
      <c r="H406" s="5" t="s">
        <v>77</v>
      </c>
      <c r="I406" s="5"/>
      <c r="J406" s="5"/>
      <c r="K406" s="5"/>
      <c r="L406" s="5"/>
      <c r="M406" s="5"/>
      <c r="N406" s="5" t="s">
        <v>66</v>
      </c>
      <c r="O406" s="5" t="s">
        <v>103</v>
      </c>
      <c r="P406" s="6">
        <f t="shared" si="12"/>
        <v>1</v>
      </c>
      <c r="Q406" s="6" t="str">
        <f t="shared" si="13"/>
        <v>No</v>
      </c>
      <c r="R406" s="5" t="s">
        <v>51</v>
      </c>
      <c r="S406" s="5"/>
      <c r="T406" s="5" t="s">
        <v>1247</v>
      </c>
      <c r="U406" s="5" t="s">
        <v>77</v>
      </c>
      <c r="V406" s="5"/>
      <c r="W406" s="5" t="s">
        <v>105</v>
      </c>
      <c r="X406" s="5"/>
      <c r="Y406" s="5"/>
    </row>
    <row r="407" spans="1:25" x14ac:dyDescent="0.25">
      <c r="A407" s="5" t="s">
        <v>1248</v>
      </c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 t="s">
        <v>66</v>
      </c>
      <c r="O407" s="5"/>
      <c r="P407" s="6">
        <f t="shared" si="12"/>
        <v>0</v>
      </c>
      <c r="Q407" s="6" t="str">
        <f t="shared" si="13"/>
        <v>No</v>
      </c>
      <c r="R407" s="5" t="s">
        <v>51</v>
      </c>
      <c r="S407" s="5"/>
      <c r="T407" s="5"/>
      <c r="U407" s="5"/>
      <c r="V407" s="5"/>
      <c r="W407" s="5"/>
      <c r="X407" s="5"/>
      <c r="Y407" s="5"/>
    </row>
    <row r="408" spans="1:25" x14ac:dyDescent="0.25">
      <c r="A408" s="5" t="s">
        <v>1249</v>
      </c>
      <c r="B408" s="5"/>
      <c r="C408" s="5" t="s">
        <v>70</v>
      </c>
      <c r="D408" s="5" t="s">
        <v>76</v>
      </c>
      <c r="E408" s="5" t="s">
        <v>332</v>
      </c>
      <c r="F408" s="5"/>
      <c r="G408" s="5"/>
      <c r="H408" s="5" t="s">
        <v>77</v>
      </c>
      <c r="I408" s="5"/>
      <c r="J408" s="5"/>
      <c r="K408" s="5"/>
      <c r="L408" s="5"/>
      <c r="M408" s="5"/>
      <c r="N408" s="5" t="s">
        <v>50</v>
      </c>
      <c r="O408" s="5"/>
      <c r="P408" s="6">
        <f t="shared" si="12"/>
        <v>3</v>
      </c>
      <c r="Q408" s="6" t="str">
        <f t="shared" si="13"/>
        <v>No</v>
      </c>
      <c r="R408" s="5" t="s">
        <v>51</v>
      </c>
      <c r="S408" s="5"/>
      <c r="T408" s="5"/>
      <c r="U408" s="5"/>
      <c r="V408" s="5"/>
      <c r="W408" s="5"/>
      <c r="X408" s="5"/>
      <c r="Y408" s="5" t="s">
        <v>1250</v>
      </c>
    </row>
    <row r="409" spans="1:25" x14ac:dyDescent="0.25">
      <c r="A409" s="5" t="s">
        <v>1251</v>
      </c>
      <c r="B409" s="5"/>
      <c r="C409" s="5"/>
      <c r="D409" s="5"/>
      <c r="E409" s="5" t="s">
        <v>45</v>
      </c>
      <c r="F409" s="5" t="s">
        <v>46</v>
      </c>
      <c r="G409" s="5" t="s">
        <v>57</v>
      </c>
      <c r="H409" s="5" t="s">
        <v>58</v>
      </c>
      <c r="I409" s="5"/>
      <c r="J409" s="5"/>
      <c r="K409" s="5"/>
      <c r="L409" s="5"/>
      <c r="M409" s="5"/>
      <c r="N409" s="5" t="s">
        <v>66</v>
      </c>
      <c r="O409" s="5" t="s">
        <v>103</v>
      </c>
      <c r="P409" s="6">
        <f t="shared" si="12"/>
        <v>4</v>
      </c>
      <c r="Q409" s="6" t="str">
        <f t="shared" si="13"/>
        <v>No</v>
      </c>
      <c r="R409" s="5" t="s">
        <v>51</v>
      </c>
      <c r="S409" s="5" t="s">
        <v>1252</v>
      </c>
      <c r="T409" s="5" t="s">
        <v>1253</v>
      </c>
      <c r="U409" s="5" t="s">
        <v>63</v>
      </c>
      <c r="V409" s="5" t="s">
        <v>57</v>
      </c>
      <c r="W409" s="5" t="s">
        <v>105</v>
      </c>
      <c r="X409" s="5"/>
      <c r="Y409" s="5" t="s">
        <v>394</v>
      </c>
    </row>
    <row r="410" spans="1:25" x14ac:dyDescent="0.25">
      <c r="A410" s="5" t="s">
        <v>1254</v>
      </c>
      <c r="B410" s="5"/>
      <c r="C410" s="5" t="s">
        <v>43</v>
      </c>
      <c r="D410" s="5" t="s">
        <v>76</v>
      </c>
      <c r="E410" s="5"/>
      <c r="F410" s="5"/>
      <c r="G410" s="5"/>
      <c r="H410" s="5" t="s">
        <v>77</v>
      </c>
      <c r="I410" s="5"/>
      <c r="J410" s="5"/>
      <c r="K410" s="5"/>
      <c r="L410" s="5"/>
      <c r="M410" s="5"/>
      <c r="N410" s="5" t="s">
        <v>50</v>
      </c>
      <c r="O410" s="5"/>
      <c r="P410" s="6">
        <f t="shared" si="12"/>
        <v>2</v>
      </c>
      <c r="Q410" s="6" t="str">
        <f t="shared" si="13"/>
        <v>No</v>
      </c>
      <c r="R410" s="5" t="s">
        <v>51</v>
      </c>
      <c r="S410" s="5"/>
      <c r="T410" s="5" t="s">
        <v>1255</v>
      </c>
      <c r="U410" s="5" t="s">
        <v>77</v>
      </c>
      <c r="V410" s="5"/>
      <c r="W410" s="5" t="s">
        <v>43</v>
      </c>
      <c r="X410" s="5"/>
      <c r="Y410" s="5" t="s">
        <v>136</v>
      </c>
    </row>
    <row r="411" spans="1:25" x14ac:dyDescent="0.25">
      <c r="A411" s="5" t="s">
        <v>1256</v>
      </c>
      <c r="B411" s="5"/>
      <c r="C411" s="5"/>
      <c r="D411" s="5"/>
      <c r="E411" s="5"/>
      <c r="F411" s="5"/>
      <c r="G411" s="5"/>
      <c r="H411" s="5" t="s">
        <v>260</v>
      </c>
      <c r="I411" s="5" t="s">
        <v>133</v>
      </c>
      <c r="J411" s="5"/>
      <c r="K411" s="5" t="s">
        <v>133</v>
      </c>
      <c r="L411" s="5"/>
      <c r="M411" s="5"/>
      <c r="N411" s="5" t="s">
        <v>66</v>
      </c>
      <c r="O411" s="5" t="s">
        <v>163</v>
      </c>
      <c r="P411" s="6">
        <f t="shared" si="12"/>
        <v>2</v>
      </c>
      <c r="Q411" s="6" t="str">
        <f t="shared" si="13"/>
        <v>No</v>
      </c>
      <c r="R411" s="5" t="s">
        <v>51</v>
      </c>
      <c r="S411" s="5"/>
      <c r="T411" s="5" t="s">
        <v>1257</v>
      </c>
      <c r="U411" s="5" t="s">
        <v>262</v>
      </c>
      <c r="V411" s="5"/>
      <c r="W411" s="5" t="s">
        <v>166</v>
      </c>
      <c r="X411" s="5"/>
      <c r="Y411" s="5"/>
    </row>
    <row r="412" spans="1:25" x14ac:dyDescent="0.25">
      <c r="A412" s="5" t="s">
        <v>1258</v>
      </c>
      <c r="B412" s="5"/>
      <c r="C412" s="5" t="s">
        <v>43</v>
      </c>
      <c r="D412" s="5" t="s">
        <v>76</v>
      </c>
      <c r="E412" s="5"/>
      <c r="F412" s="5"/>
      <c r="G412" s="5" t="s">
        <v>47</v>
      </c>
      <c r="H412" s="5" t="s">
        <v>58</v>
      </c>
      <c r="I412" s="5" t="s">
        <v>192</v>
      </c>
      <c r="J412" s="5"/>
      <c r="K412" s="5" t="s">
        <v>192</v>
      </c>
      <c r="L412" s="5"/>
      <c r="M412" s="5"/>
      <c r="N412" s="5" t="s">
        <v>50</v>
      </c>
      <c r="O412" s="5" t="s">
        <v>1259</v>
      </c>
      <c r="P412" s="6">
        <f t="shared" si="12"/>
        <v>4</v>
      </c>
      <c r="Q412" s="6" t="str">
        <f t="shared" si="13"/>
        <v>No</v>
      </c>
      <c r="R412" s="5" t="s">
        <v>51</v>
      </c>
      <c r="S412" s="5"/>
      <c r="T412" s="5" t="s">
        <v>1260</v>
      </c>
      <c r="U412" s="5" t="s">
        <v>63</v>
      </c>
      <c r="V412" s="5" t="s">
        <v>1261</v>
      </c>
      <c r="W412" s="5" t="s">
        <v>43</v>
      </c>
      <c r="X412" s="5"/>
      <c r="Y412" s="5" t="s">
        <v>136</v>
      </c>
    </row>
    <row r="413" spans="1:25" x14ac:dyDescent="0.25">
      <c r="A413" s="5" t="s">
        <v>1262</v>
      </c>
      <c r="B413" s="5" t="s">
        <v>1263</v>
      </c>
      <c r="C413" s="5"/>
      <c r="D413" s="5"/>
      <c r="E413" s="5"/>
      <c r="F413" s="5"/>
      <c r="G413" s="5"/>
      <c r="H413" s="5" t="s">
        <v>923</v>
      </c>
      <c r="I413" s="5"/>
      <c r="J413" s="5"/>
      <c r="K413" s="5"/>
      <c r="L413" s="5"/>
      <c r="M413" s="5"/>
      <c r="N413" s="5" t="s">
        <v>66</v>
      </c>
      <c r="O413" s="5" t="s">
        <v>103</v>
      </c>
      <c r="P413" s="6">
        <f t="shared" si="12"/>
        <v>1</v>
      </c>
      <c r="Q413" s="6" t="str">
        <f t="shared" si="13"/>
        <v>No</v>
      </c>
      <c r="R413" s="5" t="s">
        <v>51</v>
      </c>
      <c r="S413" s="5"/>
      <c r="T413" s="5" t="s">
        <v>1264</v>
      </c>
      <c r="U413" s="5" t="s">
        <v>923</v>
      </c>
      <c r="V413" s="5"/>
      <c r="W413" s="5" t="s">
        <v>105</v>
      </c>
      <c r="X413" s="5"/>
      <c r="Y413" s="5"/>
    </row>
    <row r="414" spans="1:25" x14ac:dyDescent="0.25">
      <c r="A414" s="5" t="s">
        <v>1265</v>
      </c>
      <c r="B414" s="5"/>
      <c r="C414" s="5"/>
      <c r="D414" s="5"/>
      <c r="E414" s="5"/>
      <c r="F414" s="5"/>
      <c r="G414" s="5"/>
      <c r="H414" s="5" t="s">
        <v>260</v>
      </c>
      <c r="I414" s="5" t="s">
        <v>59</v>
      </c>
      <c r="J414" s="5"/>
      <c r="K414" s="5" t="s">
        <v>59</v>
      </c>
      <c r="L414" s="5"/>
      <c r="M414" s="5"/>
      <c r="N414" s="5" t="s">
        <v>66</v>
      </c>
      <c r="O414" s="5" t="s">
        <v>163</v>
      </c>
      <c r="P414" s="6">
        <f t="shared" si="12"/>
        <v>2</v>
      </c>
      <c r="Q414" s="6" t="str">
        <f t="shared" si="13"/>
        <v>No</v>
      </c>
      <c r="R414" s="5" t="s">
        <v>51</v>
      </c>
      <c r="S414" s="5"/>
      <c r="T414" s="5" t="s">
        <v>1266</v>
      </c>
      <c r="U414" s="5" t="s">
        <v>262</v>
      </c>
      <c r="V414" s="5"/>
      <c r="W414" s="5" t="s">
        <v>166</v>
      </c>
      <c r="X414" s="5"/>
      <c r="Y414" s="5"/>
    </row>
    <row r="415" spans="1:25" x14ac:dyDescent="0.25">
      <c r="A415" s="5" t="s">
        <v>1267</v>
      </c>
      <c r="B415" s="5"/>
      <c r="C415" s="5" t="s">
        <v>43</v>
      </c>
      <c r="D415" s="5"/>
      <c r="E415" s="5"/>
      <c r="F415" s="5"/>
      <c r="G415" s="5" t="s">
        <v>47</v>
      </c>
      <c r="H415" s="5"/>
      <c r="I415" s="5"/>
      <c r="J415" s="5"/>
      <c r="K415" s="5"/>
      <c r="L415" s="5"/>
      <c r="M415" s="5"/>
      <c r="N415" s="5" t="s">
        <v>50</v>
      </c>
      <c r="O415" s="5"/>
      <c r="P415" s="6">
        <f t="shared" si="12"/>
        <v>1</v>
      </c>
      <c r="Q415" s="6" t="str">
        <f t="shared" si="13"/>
        <v>No</v>
      </c>
      <c r="R415" s="5" t="s">
        <v>51</v>
      </c>
      <c r="S415" s="5"/>
      <c r="T415" s="5"/>
      <c r="U415" s="5"/>
      <c r="V415" s="5"/>
      <c r="W415" s="5" t="s">
        <v>43</v>
      </c>
      <c r="X415" s="5" t="s">
        <v>68</v>
      </c>
      <c r="Y415" s="5" t="s">
        <v>549</v>
      </c>
    </row>
    <row r="416" spans="1:25" x14ac:dyDescent="0.25">
      <c r="A416" s="5" t="s">
        <v>1268</v>
      </c>
      <c r="B416" s="5"/>
      <c r="C416" s="5"/>
      <c r="D416" s="5"/>
      <c r="E416" s="5"/>
      <c r="F416" s="5"/>
      <c r="G416" s="5"/>
      <c r="H416" s="5" t="s">
        <v>260</v>
      </c>
      <c r="I416" s="5"/>
      <c r="J416" s="5"/>
      <c r="K416" s="5"/>
      <c r="L416" s="5"/>
      <c r="M416" s="5"/>
      <c r="N416" s="5" t="s">
        <v>66</v>
      </c>
      <c r="O416" s="5" t="s">
        <v>163</v>
      </c>
      <c r="P416" s="6">
        <f t="shared" si="12"/>
        <v>1</v>
      </c>
      <c r="Q416" s="6" t="str">
        <f t="shared" si="13"/>
        <v>No</v>
      </c>
      <c r="R416" s="5" t="s">
        <v>51</v>
      </c>
      <c r="S416" s="5"/>
      <c r="T416" s="5" t="s">
        <v>1269</v>
      </c>
      <c r="U416" s="5" t="s">
        <v>262</v>
      </c>
      <c r="V416" s="5"/>
      <c r="W416" s="5" t="s">
        <v>166</v>
      </c>
      <c r="X416" s="5"/>
      <c r="Y416" s="5"/>
    </row>
    <row r="417" spans="1:25" x14ac:dyDescent="0.25">
      <c r="A417" s="5" t="s">
        <v>1270</v>
      </c>
      <c r="B417" s="5"/>
      <c r="C417" s="5" t="s">
        <v>70</v>
      </c>
      <c r="D417" s="5" t="s">
        <v>76</v>
      </c>
      <c r="E417" s="5" t="s">
        <v>45</v>
      </c>
      <c r="F417" s="5" t="s">
        <v>107</v>
      </c>
      <c r="G417" s="5"/>
      <c r="H417" s="5" t="s">
        <v>77</v>
      </c>
      <c r="I417" s="5" t="s">
        <v>192</v>
      </c>
      <c r="J417" s="5"/>
      <c r="K417" s="5" t="s">
        <v>192</v>
      </c>
      <c r="L417" s="5"/>
      <c r="M417" s="5"/>
      <c r="N417" s="5" t="s">
        <v>50</v>
      </c>
      <c r="O417" s="5"/>
      <c r="P417" s="6">
        <f t="shared" si="12"/>
        <v>5</v>
      </c>
      <c r="Q417" s="6" t="str">
        <f t="shared" si="13"/>
        <v>No</v>
      </c>
      <c r="R417" s="5" t="s">
        <v>51</v>
      </c>
      <c r="S417" s="5" t="s">
        <v>1271</v>
      </c>
      <c r="T417" s="5" t="s">
        <v>1272</v>
      </c>
      <c r="U417" s="5" t="s">
        <v>77</v>
      </c>
      <c r="V417" s="5"/>
      <c r="W417" s="5"/>
      <c r="X417" s="5"/>
      <c r="Y417" s="5" t="s">
        <v>1273</v>
      </c>
    </row>
    <row r="418" spans="1:25" x14ac:dyDescent="0.25">
      <c r="A418" s="5" t="s">
        <v>1274</v>
      </c>
      <c r="B418" s="5"/>
      <c r="C418" s="5" t="s">
        <v>43</v>
      </c>
      <c r="D418" s="5" t="s">
        <v>44</v>
      </c>
      <c r="E418" s="5"/>
      <c r="F418" s="5"/>
      <c r="G418" s="5" t="s">
        <v>47</v>
      </c>
      <c r="H418" s="5" t="s">
        <v>1275</v>
      </c>
      <c r="I418" s="5" t="s">
        <v>123</v>
      </c>
      <c r="J418" s="5"/>
      <c r="K418" s="5" t="s">
        <v>123</v>
      </c>
      <c r="L418" s="5"/>
      <c r="M418" s="5"/>
      <c r="N418" s="5" t="s">
        <v>50</v>
      </c>
      <c r="O418" s="5"/>
      <c r="P418" s="6">
        <f t="shared" si="12"/>
        <v>4</v>
      </c>
      <c r="Q418" s="6" t="str">
        <f t="shared" si="13"/>
        <v>No</v>
      </c>
      <c r="R418" s="5" t="s">
        <v>51</v>
      </c>
      <c r="S418" s="5"/>
      <c r="T418" s="5"/>
      <c r="U418" s="5" t="s">
        <v>1275</v>
      </c>
      <c r="V418" s="5" t="s">
        <v>47</v>
      </c>
      <c r="W418" s="5" t="s">
        <v>43</v>
      </c>
      <c r="X418" s="5" t="s">
        <v>1276</v>
      </c>
      <c r="Y418" s="5" t="s">
        <v>136</v>
      </c>
    </row>
    <row r="419" spans="1:25" x14ac:dyDescent="0.25">
      <c r="A419" s="5" t="s">
        <v>1277</v>
      </c>
      <c r="B419" s="5"/>
      <c r="C419" s="5" t="s">
        <v>43</v>
      </c>
      <c r="D419" s="5" t="s">
        <v>44</v>
      </c>
      <c r="E419" s="5"/>
      <c r="F419" s="5"/>
      <c r="G419" s="5" t="s">
        <v>47</v>
      </c>
      <c r="H419" s="5"/>
      <c r="I419" s="5"/>
      <c r="J419" s="5"/>
      <c r="K419" s="5"/>
      <c r="L419" s="5"/>
      <c r="M419" s="5"/>
      <c r="N419" s="5" t="s">
        <v>50</v>
      </c>
      <c r="O419" s="5"/>
      <c r="P419" s="6">
        <f t="shared" si="12"/>
        <v>2</v>
      </c>
      <c r="Q419" s="6" t="str">
        <f t="shared" si="13"/>
        <v>No</v>
      </c>
      <c r="R419" s="5" t="s">
        <v>51</v>
      </c>
      <c r="S419" s="5"/>
      <c r="T419" s="5" t="s">
        <v>1278</v>
      </c>
      <c r="U419" s="5"/>
      <c r="V419" s="5"/>
      <c r="W419" s="5" t="s">
        <v>43</v>
      </c>
      <c r="X419" s="5"/>
      <c r="Y419" s="5" t="s">
        <v>64</v>
      </c>
    </row>
    <row r="420" spans="1:25" x14ac:dyDescent="0.25">
      <c r="A420" s="5" t="s">
        <v>1279</v>
      </c>
      <c r="B420" s="5"/>
      <c r="C420" s="5" t="s">
        <v>70</v>
      </c>
      <c r="D420" s="5"/>
      <c r="E420" s="5"/>
      <c r="F420" s="5"/>
      <c r="G420" s="5" t="s">
        <v>47</v>
      </c>
      <c r="H420" s="5"/>
      <c r="I420" s="5" t="s">
        <v>178</v>
      </c>
      <c r="J420" s="5"/>
      <c r="K420" s="5" t="s">
        <v>178</v>
      </c>
      <c r="L420" s="5"/>
      <c r="M420" s="5"/>
      <c r="N420" s="5" t="s">
        <v>124</v>
      </c>
      <c r="O420" s="5"/>
      <c r="P420" s="6">
        <f t="shared" si="12"/>
        <v>2</v>
      </c>
      <c r="Q420" s="6" t="str">
        <f t="shared" si="13"/>
        <v>No</v>
      </c>
      <c r="R420" s="5" t="s">
        <v>125</v>
      </c>
      <c r="S420" s="5"/>
      <c r="T420" s="5"/>
      <c r="U420" s="5"/>
      <c r="V420" s="5" t="s">
        <v>47</v>
      </c>
      <c r="W420" s="5"/>
      <c r="X420" s="5"/>
      <c r="Y420" s="5" t="s">
        <v>1280</v>
      </c>
    </row>
    <row r="421" spans="1:25" x14ac:dyDescent="0.25">
      <c r="A421" s="5" t="s">
        <v>1281</v>
      </c>
      <c r="B421" s="5"/>
      <c r="C421" s="5" t="s">
        <v>43</v>
      </c>
      <c r="D421" s="5" t="s">
        <v>44</v>
      </c>
      <c r="E421" s="5"/>
      <c r="F421" s="5"/>
      <c r="G421" s="5" t="s">
        <v>47</v>
      </c>
      <c r="H421" s="5" t="s">
        <v>314</v>
      </c>
      <c r="I421" s="5" t="s">
        <v>193</v>
      </c>
      <c r="J421" s="5" t="s">
        <v>192</v>
      </c>
      <c r="K421" s="5" t="s">
        <v>1282</v>
      </c>
      <c r="L421" s="5"/>
      <c r="M421" s="5"/>
      <c r="N421" s="5" t="s">
        <v>50</v>
      </c>
      <c r="O421" s="5"/>
      <c r="P421" s="6">
        <f t="shared" si="12"/>
        <v>4</v>
      </c>
      <c r="Q421" s="6" t="str">
        <f t="shared" si="13"/>
        <v>No</v>
      </c>
      <c r="R421" s="5" t="s">
        <v>51</v>
      </c>
      <c r="S421" s="5"/>
      <c r="T421" s="5" t="s">
        <v>1283</v>
      </c>
      <c r="U421" s="5" t="s">
        <v>317</v>
      </c>
      <c r="V421" s="5"/>
      <c r="W421" s="5" t="s">
        <v>43</v>
      </c>
      <c r="X421" s="5"/>
      <c r="Y421" s="5" t="s">
        <v>238</v>
      </c>
    </row>
    <row r="422" spans="1:25" x14ac:dyDescent="0.25">
      <c r="A422" s="5" t="s">
        <v>1284</v>
      </c>
      <c r="B422" s="5"/>
      <c r="C422" s="5"/>
      <c r="D422" s="5"/>
      <c r="E422" s="5"/>
      <c r="F422" s="5"/>
      <c r="G422" s="5"/>
      <c r="H422" s="5" t="s">
        <v>1285</v>
      </c>
      <c r="I422" s="5"/>
      <c r="J422" s="5"/>
      <c r="K422" s="5"/>
      <c r="L422" s="5"/>
      <c r="M422" s="5"/>
      <c r="N422" s="5" t="s">
        <v>66</v>
      </c>
      <c r="O422" s="5" t="s">
        <v>103</v>
      </c>
      <c r="P422" s="6">
        <f t="shared" si="12"/>
        <v>1</v>
      </c>
      <c r="Q422" s="6" t="str">
        <f t="shared" si="13"/>
        <v>No</v>
      </c>
      <c r="R422" s="5" t="s">
        <v>51</v>
      </c>
      <c r="S422" s="5"/>
      <c r="T422" s="5"/>
      <c r="U422" s="5" t="s">
        <v>1285</v>
      </c>
      <c r="V422" s="5"/>
      <c r="W422" s="5" t="s">
        <v>105</v>
      </c>
      <c r="X422" s="5"/>
      <c r="Y422" s="5"/>
    </row>
    <row r="423" spans="1:25" x14ac:dyDescent="0.25">
      <c r="A423" s="5" t="s">
        <v>1286</v>
      </c>
      <c r="B423" s="5"/>
      <c r="C423" s="5" t="s">
        <v>43</v>
      </c>
      <c r="D423" s="5" t="s">
        <v>44</v>
      </c>
      <c r="E423" s="5" t="s">
        <v>45</v>
      </c>
      <c r="F423" s="5" t="s">
        <v>107</v>
      </c>
      <c r="G423" s="5" t="s">
        <v>47</v>
      </c>
      <c r="H423" s="5" t="s">
        <v>1287</v>
      </c>
      <c r="I423" s="5" t="s">
        <v>119</v>
      </c>
      <c r="J423" s="5" t="s">
        <v>71</v>
      </c>
      <c r="K423" s="5" t="s">
        <v>1288</v>
      </c>
      <c r="L423" s="5"/>
      <c r="M423" s="5"/>
      <c r="N423" s="5" t="s">
        <v>110</v>
      </c>
      <c r="O423" s="5" t="s">
        <v>1289</v>
      </c>
      <c r="P423" s="6">
        <f t="shared" si="12"/>
        <v>6</v>
      </c>
      <c r="Q423" s="6" t="str">
        <f t="shared" si="13"/>
        <v>Yes</v>
      </c>
      <c r="R423" s="5" t="s">
        <v>112</v>
      </c>
      <c r="S423" s="5" t="s">
        <v>1290</v>
      </c>
      <c r="T423" s="5" t="s">
        <v>1291</v>
      </c>
      <c r="U423" s="5" t="s">
        <v>1292</v>
      </c>
      <c r="V423" s="5" t="s">
        <v>900</v>
      </c>
      <c r="W423" s="5" t="s">
        <v>43</v>
      </c>
      <c r="X423" s="5" t="s">
        <v>1293</v>
      </c>
      <c r="Y423" s="5" t="s">
        <v>219</v>
      </c>
    </row>
    <row r="424" spans="1:25" x14ac:dyDescent="0.25">
      <c r="A424" s="5" t="s">
        <v>1294</v>
      </c>
      <c r="B424" s="5"/>
      <c r="C424" s="5" t="s">
        <v>43</v>
      </c>
      <c r="D424" s="5" t="s">
        <v>245</v>
      </c>
      <c r="E424" s="5"/>
      <c r="F424" s="5"/>
      <c r="G424" s="5" t="s">
        <v>47</v>
      </c>
      <c r="H424" s="5" t="s">
        <v>246</v>
      </c>
      <c r="I424" s="5" t="s">
        <v>123</v>
      </c>
      <c r="J424" s="5"/>
      <c r="K424" s="5" t="s">
        <v>123</v>
      </c>
      <c r="L424" s="5"/>
      <c r="M424" s="5"/>
      <c r="N424" s="5" t="s">
        <v>50</v>
      </c>
      <c r="O424" s="5"/>
      <c r="P424" s="6">
        <f t="shared" si="12"/>
        <v>4</v>
      </c>
      <c r="Q424" s="6" t="str">
        <f t="shared" si="13"/>
        <v>No</v>
      </c>
      <c r="R424" s="5" t="s">
        <v>51</v>
      </c>
      <c r="S424" s="5"/>
      <c r="T424" s="5" t="s">
        <v>1295</v>
      </c>
      <c r="U424" s="5" t="s">
        <v>246</v>
      </c>
      <c r="V424" s="5"/>
      <c r="W424" s="5" t="s">
        <v>43</v>
      </c>
      <c r="X424" s="5"/>
      <c r="Y424" s="5" t="s">
        <v>64</v>
      </c>
    </row>
    <row r="425" spans="1:25" x14ac:dyDescent="0.25">
      <c r="A425" s="5" t="s">
        <v>1296</v>
      </c>
      <c r="B425" s="5"/>
      <c r="C425" s="5" t="s">
        <v>70</v>
      </c>
      <c r="D425" s="5" t="s">
        <v>44</v>
      </c>
      <c r="E425" s="5"/>
      <c r="F425" s="5"/>
      <c r="G425" s="5" t="s">
        <v>47</v>
      </c>
      <c r="H425" s="5"/>
      <c r="I425" s="5"/>
      <c r="J425" s="5"/>
      <c r="K425" s="5"/>
      <c r="L425" s="5"/>
      <c r="M425" s="5"/>
      <c r="N425" s="5" t="s">
        <v>124</v>
      </c>
      <c r="O425" s="5"/>
      <c r="P425" s="6">
        <f t="shared" si="12"/>
        <v>2</v>
      </c>
      <c r="Q425" s="6" t="str">
        <f t="shared" si="13"/>
        <v>No</v>
      </c>
      <c r="R425" s="5" t="s">
        <v>125</v>
      </c>
      <c r="S425" s="5"/>
      <c r="T425" s="5"/>
      <c r="U425" s="5"/>
      <c r="V425" s="5" t="s">
        <v>47</v>
      </c>
      <c r="W425" s="5"/>
      <c r="X425" s="5"/>
      <c r="Y425" s="5" t="s">
        <v>126</v>
      </c>
    </row>
    <row r="426" spans="1:25" x14ac:dyDescent="0.25">
      <c r="A426" s="5" t="s">
        <v>1297</v>
      </c>
      <c r="B426" s="5"/>
      <c r="C426" s="5" t="s">
        <v>43</v>
      </c>
      <c r="D426" s="5"/>
      <c r="E426" s="5" t="s">
        <v>45</v>
      </c>
      <c r="F426" s="5" t="s">
        <v>107</v>
      </c>
      <c r="G426" s="5" t="s">
        <v>47</v>
      </c>
      <c r="H426" s="5"/>
      <c r="I426" s="5"/>
      <c r="J426" s="5"/>
      <c r="K426" s="5"/>
      <c r="L426" s="5"/>
      <c r="M426" s="5"/>
      <c r="N426" s="5" t="s">
        <v>66</v>
      </c>
      <c r="O426" s="5"/>
      <c r="P426" s="6">
        <f t="shared" si="12"/>
        <v>3</v>
      </c>
      <c r="Q426" s="6" t="str">
        <f t="shared" si="13"/>
        <v>No</v>
      </c>
      <c r="R426" s="5" t="s">
        <v>51</v>
      </c>
      <c r="S426" s="5" t="s">
        <v>1298</v>
      </c>
      <c r="T426" s="5"/>
      <c r="U426" s="5"/>
      <c r="V426" s="5" t="s">
        <v>67</v>
      </c>
      <c r="W426" s="5" t="s">
        <v>43</v>
      </c>
      <c r="X426" s="5" t="s">
        <v>68</v>
      </c>
      <c r="Y426" s="5" t="s">
        <v>394</v>
      </c>
    </row>
    <row r="427" spans="1:25" x14ac:dyDescent="0.25">
      <c r="A427" s="5" t="s">
        <v>1299</v>
      </c>
      <c r="B427" s="5"/>
      <c r="C427" s="5"/>
      <c r="D427" s="5"/>
      <c r="E427" s="5"/>
      <c r="F427" s="5"/>
      <c r="G427" s="5"/>
      <c r="H427" s="5" t="s">
        <v>260</v>
      </c>
      <c r="I427" s="5"/>
      <c r="J427" s="5"/>
      <c r="K427" s="5"/>
      <c r="L427" s="5"/>
      <c r="M427" s="5"/>
      <c r="N427" s="5" t="s">
        <v>66</v>
      </c>
      <c r="O427" s="5" t="s">
        <v>103</v>
      </c>
      <c r="P427" s="6">
        <f t="shared" si="12"/>
        <v>1</v>
      </c>
      <c r="Q427" s="6" t="str">
        <f t="shared" si="13"/>
        <v>No</v>
      </c>
      <c r="R427" s="5" t="s">
        <v>51</v>
      </c>
      <c r="S427" s="5"/>
      <c r="T427" s="5"/>
      <c r="U427" s="5" t="s">
        <v>262</v>
      </c>
      <c r="V427" s="5"/>
      <c r="W427" s="5" t="s">
        <v>105</v>
      </c>
      <c r="X427" s="5"/>
      <c r="Y427" s="5"/>
    </row>
    <row r="428" spans="1:25" x14ac:dyDescent="0.25">
      <c r="A428" s="5" t="s">
        <v>1300</v>
      </c>
      <c r="B428" s="5"/>
      <c r="C428" s="5" t="s">
        <v>43</v>
      </c>
      <c r="D428" s="5" t="s">
        <v>76</v>
      </c>
      <c r="E428" s="5"/>
      <c r="F428" s="5"/>
      <c r="G428" s="5" t="s">
        <v>47</v>
      </c>
      <c r="H428" s="5" t="s">
        <v>260</v>
      </c>
      <c r="I428" s="5" t="s">
        <v>133</v>
      </c>
      <c r="J428" s="5"/>
      <c r="K428" s="5" t="s">
        <v>133</v>
      </c>
      <c r="L428" s="5"/>
      <c r="M428" s="5"/>
      <c r="N428" s="5" t="s">
        <v>50</v>
      </c>
      <c r="O428" s="5"/>
      <c r="P428" s="6">
        <f t="shared" si="12"/>
        <v>4</v>
      </c>
      <c r="Q428" s="6" t="str">
        <f t="shared" si="13"/>
        <v>No</v>
      </c>
      <c r="R428" s="5" t="s">
        <v>51</v>
      </c>
      <c r="S428" s="5"/>
      <c r="T428" s="5" t="s">
        <v>1301</v>
      </c>
      <c r="U428" s="5" t="s">
        <v>262</v>
      </c>
      <c r="V428" s="5" t="s">
        <v>472</v>
      </c>
      <c r="W428" s="5" t="s">
        <v>43</v>
      </c>
      <c r="X428" s="5"/>
      <c r="Y428" s="5" t="s">
        <v>353</v>
      </c>
    </row>
    <row r="429" spans="1:25" x14ac:dyDescent="0.25">
      <c r="A429" s="5" t="s">
        <v>1302</v>
      </c>
      <c r="B429" s="5"/>
      <c r="C429" s="5" t="s">
        <v>70</v>
      </c>
      <c r="D429" s="5" t="s">
        <v>76</v>
      </c>
      <c r="E429" s="5"/>
      <c r="F429" s="5"/>
      <c r="G429" s="5"/>
      <c r="H429" s="5" t="s">
        <v>260</v>
      </c>
      <c r="I429" s="5"/>
      <c r="J429" s="5"/>
      <c r="K429" s="5"/>
      <c r="L429" s="5"/>
      <c r="M429" s="5"/>
      <c r="N429" s="5" t="s">
        <v>124</v>
      </c>
      <c r="O429" s="5"/>
      <c r="P429" s="6">
        <f t="shared" si="12"/>
        <v>2</v>
      </c>
      <c r="Q429" s="6" t="str">
        <f t="shared" si="13"/>
        <v>No</v>
      </c>
      <c r="R429" s="5" t="s">
        <v>125</v>
      </c>
      <c r="S429" s="5"/>
      <c r="T429" s="5"/>
      <c r="U429" s="5" t="s">
        <v>260</v>
      </c>
      <c r="V429" s="5"/>
      <c r="W429" s="5"/>
      <c r="X429" s="5"/>
      <c r="Y429" s="5" t="s">
        <v>155</v>
      </c>
    </row>
    <row r="430" spans="1:25" x14ac:dyDescent="0.25">
      <c r="A430" s="5" t="s">
        <v>1303</v>
      </c>
      <c r="B430" s="5"/>
      <c r="C430" s="5"/>
      <c r="D430" s="5"/>
      <c r="E430" s="5" t="s">
        <v>45</v>
      </c>
      <c r="F430" s="5" t="s">
        <v>107</v>
      </c>
      <c r="G430" s="5"/>
      <c r="H430" s="5" t="s">
        <v>77</v>
      </c>
      <c r="I430" s="5" t="s">
        <v>71</v>
      </c>
      <c r="J430" s="5" t="s">
        <v>119</v>
      </c>
      <c r="K430" s="5" t="s">
        <v>1304</v>
      </c>
      <c r="L430" s="5"/>
      <c r="M430" s="5"/>
      <c r="N430" s="5" t="s">
        <v>66</v>
      </c>
      <c r="O430" s="5" t="s">
        <v>103</v>
      </c>
      <c r="P430" s="6">
        <f t="shared" si="12"/>
        <v>4</v>
      </c>
      <c r="Q430" s="6" t="str">
        <f t="shared" si="13"/>
        <v>No</v>
      </c>
      <c r="R430" s="5" t="s">
        <v>51</v>
      </c>
      <c r="S430" s="5" t="s">
        <v>1305</v>
      </c>
      <c r="T430" s="5" t="s">
        <v>1306</v>
      </c>
      <c r="U430" s="5" t="s">
        <v>77</v>
      </c>
      <c r="V430" s="5"/>
      <c r="W430" s="5" t="s">
        <v>105</v>
      </c>
      <c r="X430" s="5"/>
      <c r="Y430" s="5" t="s">
        <v>167</v>
      </c>
    </row>
    <row r="431" spans="1:25" x14ac:dyDescent="0.25">
      <c r="A431" s="5" t="s">
        <v>1307</v>
      </c>
      <c r="B431" s="5"/>
      <c r="C431" s="5" t="s">
        <v>70</v>
      </c>
      <c r="D431" s="5" t="s">
        <v>44</v>
      </c>
      <c r="E431" s="5"/>
      <c r="F431" s="5"/>
      <c r="G431" s="5"/>
      <c r="H431" s="5"/>
      <c r="I431" s="5"/>
      <c r="J431" s="5"/>
      <c r="K431" s="5"/>
      <c r="L431" s="5"/>
      <c r="M431" s="5"/>
      <c r="N431" s="5" t="s">
        <v>50</v>
      </c>
      <c r="O431" s="5"/>
      <c r="P431" s="6">
        <f t="shared" si="12"/>
        <v>1</v>
      </c>
      <c r="Q431" s="6" t="str">
        <f t="shared" si="13"/>
        <v>No</v>
      </c>
      <c r="R431" s="5" t="s">
        <v>51</v>
      </c>
      <c r="S431" s="5"/>
      <c r="T431" s="5" t="s">
        <v>1308</v>
      </c>
      <c r="U431" s="5"/>
      <c r="V431" s="5"/>
      <c r="W431" s="5"/>
      <c r="X431" s="5"/>
      <c r="Y431" s="5" t="s">
        <v>189</v>
      </c>
    </row>
    <row r="432" spans="1:25" x14ac:dyDescent="0.25">
      <c r="A432" s="5" t="s">
        <v>1309</v>
      </c>
      <c r="B432" s="5"/>
      <c r="C432" s="5" t="s">
        <v>70</v>
      </c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 t="s">
        <v>50</v>
      </c>
      <c r="O432" s="5"/>
      <c r="P432" s="6">
        <f t="shared" si="12"/>
        <v>0</v>
      </c>
      <c r="Q432" s="6" t="str">
        <f t="shared" si="13"/>
        <v>No</v>
      </c>
      <c r="R432" s="5" t="s">
        <v>51</v>
      </c>
      <c r="S432" s="5"/>
      <c r="T432" s="5"/>
      <c r="U432" s="5"/>
      <c r="V432" s="5"/>
      <c r="W432" s="5"/>
      <c r="X432" s="5"/>
      <c r="Y432" s="5" t="s">
        <v>74</v>
      </c>
    </row>
    <row r="433" spans="1:25" x14ac:dyDescent="0.25">
      <c r="A433" s="5" t="s">
        <v>1310</v>
      </c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 t="s">
        <v>66</v>
      </c>
      <c r="O433" s="5"/>
      <c r="P433" s="6">
        <f t="shared" si="12"/>
        <v>0</v>
      </c>
      <c r="Q433" s="6" t="str">
        <f t="shared" si="13"/>
        <v>No</v>
      </c>
      <c r="R433" s="5" t="s">
        <v>51</v>
      </c>
      <c r="S433" s="5"/>
      <c r="T433" s="5" t="s">
        <v>1311</v>
      </c>
      <c r="U433" s="5"/>
      <c r="V433" s="5"/>
      <c r="W433" s="5"/>
      <c r="X433" s="5" t="s">
        <v>265</v>
      </c>
      <c r="Y433" s="5"/>
    </row>
    <row r="434" spans="1:25" x14ac:dyDescent="0.25">
      <c r="A434" s="5" t="s">
        <v>1312</v>
      </c>
      <c r="B434" s="5"/>
      <c r="C434" s="5" t="s">
        <v>70</v>
      </c>
      <c r="D434" s="5"/>
      <c r="E434" s="5"/>
      <c r="F434" s="5"/>
      <c r="G434" s="5"/>
      <c r="H434" s="5"/>
      <c r="I434" s="5" t="s">
        <v>123</v>
      </c>
      <c r="J434" s="5"/>
      <c r="K434" s="5" t="s">
        <v>123</v>
      </c>
      <c r="L434" s="5"/>
      <c r="M434" s="5"/>
      <c r="N434" s="5" t="s">
        <v>124</v>
      </c>
      <c r="O434" s="5"/>
      <c r="P434" s="6">
        <f t="shared" si="12"/>
        <v>1</v>
      </c>
      <c r="Q434" s="6" t="str">
        <f t="shared" si="13"/>
        <v>No</v>
      </c>
      <c r="R434" s="5" t="s">
        <v>125</v>
      </c>
      <c r="S434" s="5"/>
      <c r="T434" s="5"/>
      <c r="U434" s="5"/>
      <c r="V434" s="5"/>
      <c r="W434" s="5"/>
      <c r="X434" s="5"/>
      <c r="Y434" s="5" t="s">
        <v>1113</v>
      </c>
    </row>
    <row r="435" spans="1:25" x14ac:dyDescent="0.25">
      <c r="A435" s="5" t="s">
        <v>1313</v>
      </c>
      <c r="B435" s="5"/>
      <c r="C435" s="5"/>
      <c r="D435" s="5"/>
      <c r="E435" s="5"/>
      <c r="F435" s="5"/>
      <c r="G435" s="5" t="s">
        <v>47</v>
      </c>
      <c r="H435" s="5"/>
      <c r="I435" s="5"/>
      <c r="J435" s="5"/>
      <c r="K435" s="5"/>
      <c r="L435" s="5"/>
      <c r="M435" s="5"/>
      <c r="N435" s="5" t="s">
        <v>66</v>
      </c>
      <c r="O435" s="5"/>
      <c r="P435" s="6">
        <f t="shared" si="12"/>
        <v>1</v>
      </c>
      <c r="Q435" s="6" t="str">
        <f t="shared" si="13"/>
        <v>No</v>
      </c>
      <c r="R435" s="5" t="s">
        <v>51</v>
      </c>
      <c r="S435" s="5"/>
      <c r="T435" s="5" t="s">
        <v>1314</v>
      </c>
      <c r="U435" s="5"/>
      <c r="V435" s="5" t="s">
        <v>1121</v>
      </c>
      <c r="W435" s="5"/>
      <c r="X435" s="5"/>
      <c r="Y435" s="5"/>
    </row>
    <row r="436" spans="1:25" x14ac:dyDescent="0.25">
      <c r="A436" s="5" t="s">
        <v>1315</v>
      </c>
      <c r="B436" s="5"/>
      <c r="C436" s="5" t="s">
        <v>70</v>
      </c>
      <c r="D436" s="5" t="s">
        <v>76</v>
      </c>
      <c r="E436" s="5"/>
      <c r="F436" s="5"/>
      <c r="G436" s="5"/>
      <c r="H436" s="5" t="s">
        <v>77</v>
      </c>
      <c r="I436" s="5"/>
      <c r="J436" s="5"/>
      <c r="K436" s="5"/>
      <c r="L436" s="5"/>
      <c r="M436" s="5"/>
      <c r="N436" s="5" t="s">
        <v>124</v>
      </c>
      <c r="O436" s="5"/>
      <c r="P436" s="6">
        <f t="shared" si="12"/>
        <v>2</v>
      </c>
      <c r="Q436" s="6" t="str">
        <f t="shared" si="13"/>
        <v>No</v>
      </c>
      <c r="R436" s="5" t="s">
        <v>125</v>
      </c>
      <c r="S436" s="5"/>
      <c r="T436" s="5"/>
      <c r="U436" s="5" t="s">
        <v>77</v>
      </c>
      <c r="V436" s="5"/>
      <c r="W436" s="5"/>
      <c r="X436" s="5"/>
      <c r="Y436" s="5" t="s">
        <v>155</v>
      </c>
    </row>
    <row r="437" spans="1:25" x14ac:dyDescent="0.25">
      <c r="A437" s="5" t="s">
        <v>1316</v>
      </c>
      <c r="B437" s="5"/>
      <c r="C437" s="5" t="s">
        <v>70</v>
      </c>
      <c r="D437" s="5" t="s">
        <v>76</v>
      </c>
      <c r="E437" s="5"/>
      <c r="F437" s="5"/>
      <c r="G437" s="5" t="s">
        <v>47</v>
      </c>
      <c r="H437" s="5" t="s">
        <v>83</v>
      </c>
      <c r="I437" s="5" t="s">
        <v>119</v>
      </c>
      <c r="J437" s="5"/>
      <c r="K437" s="5" t="s">
        <v>119</v>
      </c>
      <c r="L437" s="5"/>
      <c r="M437" s="5"/>
      <c r="N437" s="5" t="s">
        <v>50</v>
      </c>
      <c r="O437" s="5"/>
      <c r="P437" s="6">
        <f t="shared" si="12"/>
        <v>4</v>
      </c>
      <c r="Q437" s="6" t="str">
        <f t="shared" si="13"/>
        <v>No</v>
      </c>
      <c r="R437" s="5" t="s">
        <v>51</v>
      </c>
      <c r="S437" s="5"/>
      <c r="T437" s="5" t="s">
        <v>1317</v>
      </c>
      <c r="U437" s="5" t="s">
        <v>83</v>
      </c>
      <c r="V437" s="5"/>
      <c r="W437" s="5"/>
      <c r="X437" s="5"/>
      <c r="Y437" s="5" t="s">
        <v>1318</v>
      </c>
    </row>
    <row r="438" spans="1:25" x14ac:dyDescent="0.25">
      <c r="A438" s="5" t="s">
        <v>1319</v>
      </c>
      <c r="B438" s="5"/>
      <c r="C438" s="5" t="s">
        <v>70</v>
      </c>
      <c r="D438" s="5" t="s">
        <v>44</v>
      </c>
      <c r="E438" s="5"/>
      <c r="F438" s="5"/>
      <c r="G438" s="5"/>
      <c r="H438" s="5" t="s">
        <v>132</v>
      </c>
      <c r="I438" s="5"/>
      <c r="J438" s="5"/>
      <c r="K438" s="5"/>
      <c r="L438" s="5"/>
      <c r="M438" s="5"/>
      <c r="N438" s="5" t="s">
        <v>50</v>
      </c>
      <c r="O438" s="5"/>
      <c r="P438" s="6">
        <f t="shared" si="12"/>
        <v>2</v>
      </c>
      <c r="Q438" s="6" t="str">
        <f t="shared" si="13"/>
        <v>No</v>
      </c>
      <c r="R438" s="5" t="s">
        <v>51</v>
      </c>
      <c r="S438" s="5"/>
      <c r="T438" s="5"/>
      <c r="U438" s="5" t="s">
        <v>132</v>
      </c>
      <c r="V438" s="5"/>
      <c r="W438" s="5"/>
      <c r="X438" s="5"/>
      <c r="Y438" s="5" t="s">
        <v>189</v>
      </c>
    </row>
    <row r="439" spans="1:25" x14ac:dyDescent="0.25">
      <c r="A439" s="5" t="s">
        <v>1320</v>
      </c>
      <c r="B439" s="5" t="s">
        <v>1321</v>
      </c>
      <c r="C439" s="5" t="s">
        <v>43</v>
      </c>
      <c r="D439" s="5" t="s">
        <v>44</v>
      </c>
      <c r="E439" s="5" t="s">
        <v>45</v>
      </c>
      <c r="F439" s="5" t="s">
        <v>46</v>
      </c>
      <c r="G439" s="5" t="s">
        <v>47</v>
      </c>
      <c r="H439" s="5" t="s">
        <v>272</v>
      </c>
      <c r="I439" s="5" t="s">
        <v>192</v>
      </c>
      <c r="J439" s="5"/>
      <c r="K439" s="5" t="s">
        <v>387</v>
      </c>
      <c r="L439" s="5"/>
      <c r="M439" s="5"/>
      <c r="N439" s="5" t="s">
        <v>110</v>
      </c>
      <c r="O439" s="5"/>
      <c r="P439" s="6">
        <f t="shared" si="12"/>
        <v>6</v>
      </c>
      <c r="Q439" s="6" t="str">
        <f t="shared" si="13"/>
        <v>Yes</v>
      </c>
      <c r="R439" s="5" t="s">
        <v>112</v>
      </c>
      <c r="S439" s="5" t="s">
        <v>1322</v>
      </c>
      <c r="T439" s="5" t="s">
        <v>1323</v>
      </c>
      <c r="U439" s="5" t="s">
        <v>272</v>
      </c>
      <c r="V439" s="5" t="s">
        <v>1238</v>
      </c>
      <c r="W439" s="5" t="s">
        <v>43</v>
      </c>
      <c r="X439" s="5" t="s">
        <v>276</v>
      </c>
      <c r="Y439" s="5" t="s">
        <v>55</v>
      </c>
    </row>
    <row r="440" spans="1:25" x14ac:dyDescent="0.25">
      <c r="A440" s="5" t="s">
        <v>1324</v>
      </c>
      <c r="B440" s="5"/>
      <c r="C440" s="5"/>
      <c r="D440" s="5"/>
      <c r="E440" s="5"/>
      <c r="F440" s="5"/>
      <c r="G440" s="5"/>
      <c r="H440" s="5" t="s">
        <v>90</v>
      </c>
      <c r="I440" s="5"/>
      <c r="J440" s="5"/>
      <c r="K440" s="5"/>
      <c r="L440" s="5"/>
      <c r="M440" s="5"/>
      <c r="N440" s="5" t="s">
        <v>66</v>
      </c>
      <c r="O440" s="5" t="s">
        <v>103</v>
      </c>
      <c r="P440" s="6">
        <f t="shared" si="12"/>
        <v>1</v>
      </c>
      <c r="Q440" s="6" t="str">
        <f t="shared" si="13"/>
        <v>No</v>
      </c>
      <c r="R440" s="5" t="s">
        <v>51</v>
      </c>
      <c r="S440" s="5"/>
      <c r="T440" s="5"/>
      <c r="U440" s="5" t="s">
        <v>90</v>
      </c>
      <c r="V440" s="5"/>
      <c r="W440" s="5" t="s">
        <v>105</v>
      </c>
      <c r="X440" s="5"/>
      <c r="Y440" s="5"/>
    </row>
    <row r="441" spans="1:25" x14ac:dyDescent="0.25">
      <c r="A441" s="5" t="s">
        <v>1325</v>
      </c>
      <c r="B441" s="5"/>
      <c r="C441" s="5" t="s">
        <v>128</v>
      </c>
      <c r="D441" s="5"/>
      <c r="E441" s="5"/>
      <c r="F441" s="5"/>
      <c r="G441" s="5" t="s">
        <v>57</v>
      </c>
      <c r="H441" s="5" t="s">
        <v>129</v>
      </c>
      <c r="I441" s="5"/>
      <c r="J441" s="5"/>
      <c r="K441" s="5"/>
      <c r="L441" s="5"/>
      <c r="M441" s="5"/>
      <c r="N441" s="5" t="s">
        <v>66</v>
      </c>
      <c r="O441" s="5"/>
      <c r="P441" s="6">
        <f t="shared" si="12"/>
        <v>2</v>
      </c>
      <c r="Q441" s="6" t="str">
        <f t="shared" si="13"/>
        <v>No</v>
      </c>
      <c r="R441" s="5" t="s">
        <v>51</v>
      </c>
      <c r="S441" s="5"/>
      <c r="T441" s="5" t="s">
        <v>1326</v>
      </c>
      <c r="U441" s="5" t="s">
        <v>129</v>
      </c>
      <c r="V441" s="5" t="s">
        <v>57</v>
      </c>
      <c r="W441" s="5" t="s">
        <v>128</v>
      </c>
      <c r="X441" s="5" t="s">
        <v>130</v>
      </c>
      <c r="Y441" s="5"/>
    </row>
    <row r="442" spans="1:25" x14ac:dyDescent="0.25">
      <c r="A442" s="5" t="s">
        <v>1327</v>
      </c>
      <c r="B442" s="5"/>
      <c r="C442" s="5" t="s">
        <v>43</v>
      </c>
      <c r="D442" s="5" t="s">
        <v>44</v>
      </c>
      <c r="E442" s="5" t="s">
        <v>45</v>
      </c>
      <c r="F442" s="5"/>
      <c r="G442" s="5" t="s">
        <v>47</v>
      </c>
      <c r="H442" s="5" t="s">
        <v>58</v>
      </c>
      <c r="I442" s="5"/>
      <c r="J442" s="5"/>
      <c r="K442" s="5"/>
      <c r="L442" s="5"/>
      <c r="M442" s="5"/>
      <c r="N442" s="5" t="s">
        <v>50</v>
      </c>
      <c r="O442" s="5"/>
      <c r="P442" s="6">
        <f t="shared" si="12"/>
        <v>4</v>
      </c>
      <c r="Q442" s="6" t="str">
        <f t="shared" si="13"/>
        <v>No</v>
      </c>
      <c r="R442" s="5" t="s">
        <v>51</v>
      </c>
      <c r="S442" s="5" t="s">
        <v>1327</v>
      </c>
      <c r="T442" s="5" t="s">
        <v>1328</v>
      </c>
      <c r="U442" s="5" t="s">
        <v>63</v>
      </c>
      <c r="V442" s="5"/>
      <c r="W442" s="5" t="s">
        <v>43</v>
      </c>
      <c r="X442" s="5"/>
      <c r="Y442" s="5" t="s">
        <v>1329</v>
      </c>
    </row>
    <row r="443" spans="1:25" x14ac:dyDescent="0.25">
      <c r="A443" s="5" t="s">
        <v>1330</v>
      </c>
      <c r="B443" s="5"/>
      <c r="C443" s="5" t="s">
        <v>43</v>
      </c>
      <c r="D443" s="5"/>
      <c r="E443" s="5" t="s">
        <v>45</v>
      </c>
      <c r="F443" s="5" t="s">
        <v>107</v>
      </c>
      <c r="G443" s="5" t="s">
        <v>47</v>
      </c>
      <c r="H443" s="5"/>
      <c r="I443" s="5"/>
      <c r="J443" s="5"/>
      <c r="K443" s="5"/>
      <c r="L443" s="5"/>
      <c r="M443" s="5"/>
      <c r="N443" s="5" t="s">
        <v>66</v>
      </c>
      <c r="O443" s="5"/>
      <c r="P443" s="6">
        <f t="shared" si="12"/>
        <v>3</v>
      </c>
      <c r="Q443" s="6" t="str">
        <f t="shared" si="13"/>
        <v>No</v>
      </c>
      <c r="R443" s="5" t="s">
        <v>51</v>
      </c>
      <c r="S443" s="5" t="s">
        <v>1331</v>
      </c>
      <c r="T443" s="5"/>
      <c r="U443" s="5"/>
      <c r="V443" s="5" t="s">
        <v>67</v>
      </c>
      <c r="W443" s="5" t="s">
        <v>43</v>
      </c>
      <c r="X443" s="5" t="s">
        <v>68</v>
      </c>
      <c r="Y443" s="5" t="s">
        <v>394</v>
      </c>
    </row>
    <row r="444" spans="1:25" x14ac:dyDescent="0.25">
      <c r="A444" s="5" t="s">
        <v>1332</v>
      </c>
      <c r="B444" s="5"/>
      <c r="C444" s="5" t="s">
        <v>43</v>
      </c>
      <c r="D444" s="5" t="s">
        <v>76</v>
      </c>
      <c r="E444" s="5"/>
      <c r="F444" s="5"/>
      <c r="G444" s="5" t="s">
        <v>47</v>
      </c>
      <c r="H444" s="5" t="s">
        <v>77</v>
      </c>
      <c r="I444" s="5" t="s">
        <v>119</v>
      </c>
      <c r="J444" s="5" t="s">
        <v>71</v>
      </c>
      <c r="K444" s="5" t="s">
        <v>344</v>
      </c>
      <c r="L444" s="5"/>
      <c r="M444" s="5"/>
      <c r="N444" s="5" t="s">
        <v>50</v>
      </c>
      <c r="O444" s="5"/>
      <c r="P444" s="6">
        <f t="shared" si="12"/>
        <v>4</v>
      </c>
      <c r="Q444" s="6" t="str">
        <f t="shared" si="13"/>
        <v>No</v>
      </c>
      <c r="R444" s="5" t="s">
        <v>51</v>
      </c>
      <c r="S444" s="5"/>
      <c r="T444" s="5" t="s">
        <v>1333</v>
      </c>
      <c r="U444" s="5" t="s">
        <v>77</v>
      </c>
      <c r="V444" s="5" t="s">
        <v>181</v>
      </c>
      <c r="W444" s="5" t="s">
        <v>43</v>
      </c>
      <c r="X444" s="5"/>
      <c r="Y444" s="5" t="s">
        <v>353</v>
      </c>
    </row>
    <row r="445" spans="1:25" x14ac:dyDescent="0.25">
      <c r="A445" s="5" t="s">
        <v>1334</v>
      </c>
      <c r="B445" s="5"/>
      <c r="C445" s="5" t="s">
        <v>43</v>
      </c>
      <c r="D445" s="5" t="s">
        <v>44</v>
      </c>
      <c r="E445" s="5"/>
      <c r="F445" s="5"/>
      <c r="G445" s="5"/>
      <c r="H445" s="5" t="s">
        <v>495</v>
      </c>
      <c r="I445" s="5" t="s">
        <v>49</v>
      </c>
      <c r="J445" s="5"/>
      <c r="K445" s="5" t="s">
        <v>49</v>
      </c>
      <c r="L445" s="5"/>
      <c r="M445" s="5"/>
      <c r="N445" s="5" t="s">
        <v>50</v>
      </c>
      <c r="O445" s="5"/>
      <c r="P445" s="6">
        <f t="shared" si="12"/>
        <v>3</v>
      </c>
      <c r="Q445" s="6" t="str">
        <f t="shared" si="13"/>
        <v>No</v>
      </c>
      <c r="R445" s="5" t="s">
        <v>51</v>
      </c>
      <c r="S445" s="5"/>
      <c r="T445" s="5"/>
      <c r="U445" s="5" t="s">
        <v>495</v>
      </c>
      <c r="V445" s="5"/>
      <c r="W445" s="5" t="s">
        <v>43</v>
      </c>
      <c r="X445" s="5"/>
      <c r="Y445" s="5" t="s">
        <v>353</v>
      </c>
    </row>
    <row r="446" spans="1:25" x14ac:dyDescent="0.25">
      <c r="A446" s="5" t="s">
        <v>1335</v>
      </c>
      <c r="B446" s="5"/>
      <c r="C446" s="5" t="s">
        <v>70</v>
      </c>
      <c r="D446" s="5" t="s">
        <v>76</v>
      </c>
      <c r="E446" s="5"/>
      <c r="F446" s="5"/>
      <c r="G446" s="5" t="s">
        <v>47</v>
      </c>
      <c r="H446" s="5" t="s">
        <v>77</v>
      </c>
      <c r="I446" s="5" t="s">
        <v>119</v>
      </c>
      <c r="J446" s="5"/>
      <c r="K446" s="5" t="s">
        <v>119</v>
      </c>
      <c r="L446" s="5"/>
      <c r="M446" s="5"/>
      <c r="N446" s="5" t="s">
        <v>50</v>
      </c>
      <c r="O446" s="5"/>
      <c r="P446" s="6">
        <f t="shared" si="12"/>
        <v>4</v>
      </c>
      <c r="Q446" s="6" t="str">
        <f t="shared" si="13"/>
        <v>No</v>
      </c>
      <c r="R446" s="5" t="s">
        <v>51</v>
      </c>
      <c r="S446" s="5"/>
      <c r="T446" s="5" t="s">
        <v>1336</v>
      </c>
      <c r="U446" s="5" t="s">
        <v>77</v>
      </c>
      <c r="V446" s="5"/>
      <c r="W446" s="5"/>
      <c r="X446" s="5"/>
      <c r="Y446" s="5" t="s">
        <v>1318</v>
      </c>
    </row>
    <row r="447" spans="1:25" x14ac:dyDescent="0.25">
      <c r="A447" s="5" t="s">
        <v>1337</v>
      </c>
      <c r="B447" s="5"/>
      <c r="C447" s="5" t="s">
        <v>128</v>
      </c>
      <c r="D447" s="5"/>
      <c r="E447" s="5"/>
      <c r="F447" s="5"/>
      <c r="G447" s="5" t="s">
        <v>57</v>
      </c>
      <c r="H447" s="5" t="s">
        <v>1338</v>
      </c>
      <c r="I447" s="5"/>
      <c r="J447" s="5"/>
      <c r="K447" s="5"/>
      <c r="L447" s="5"/>
      <c r="M447" s="5"/>
      <c r="N447" s="5" t="s">
        <v>66</v>
      </c>
      <c r="O447" s="5"/>
      <c r="P447" s="6">
        <f t="shared" si="12"/>
        <v>2</v>
      </c>
      <c r="Q447" s="6" t="str">
        <f t="shared" si="13"/>
        <v>No</v>
      </c>
      <c r="R447" s="5" t="s">
        <v>51</v>
      </c>
      <c r="S447" s="5"/>
      <c r="T447" s="5"/>
      <c r="U447" s="5" t="s">
        <v>1338</v>
      </c>
      <c r="V447" s="5" t="s">
        <v>57</v>
      </c>
      <c r="W447" s="5" t="s">
        <v>128</v>
      </c>
      <c r="X447" s="5" t="s">
        <v>1339</v>
      </c>
      <c r="Y447" s="5"/>
    </row>
    <row r="448" spans="1:25" x14ac:dyDescent="0.25">
      <c r="A448" s="5" t="s">
        <v>1340</v>
      </c>
      <c r="B448" s="5"/>
      <c r="C448" s="5" t="s">
        <v>128</v>
      </c>
      <c r="D448" s="5"/>
      <c r="E448" s="5"/>
      <c r="F448" s="5"/>
      <c r="G448" s="5" t="s">
        <v>57</v>
      </c>
      <c r="H448" s="5" t="s">
        <v>1338</v>
      </c>
      <c r="I448" s="5"/>
      <c r="J448" s="5"/>
      <c r="K448" s="5"/>
      <c r="L448" s="5"/>
      <c r="M448" s="5"/>
      <c r="N448" s="5" t="s">
        <v>66</v>
      </c>
      <c r="O448" s="5"/>
      <c r="P448" s="6">
        <f t="shared" si="12"/>
        <v>2</v>
      </c>
      <c r="Q448" s="6" t="str">
        <f t="shared" si="13"/>
        <v>No</v>
      </c>
      <c r="R448" s="5" t="s">
        <v>51</v>
      </c>
      <c r="S448" s="5"/>
      <c r="T448" s="5"/>
      <c r="U448" s="5" t="s">
        <v>1338</v>
      </c>
      <c r="V448" s="5" t="s">
        <v>57</v>
      </c>
      <c r="W448" s="5" t="s">
        <v>128</v>
      </c>
      <c r="X448" s="5" t="s">
        <v>1339</v>
      </c>
      <c r="Y448" s="5"/>
    </row>
    <row r="449" spans="1:25" x14ac:dyDescent="0.25">
      <c r="A449" s="5" t="s">
        <v>1341</v>
      </c>
      <c r="B449" s="5"/>
      <c r="C449" s="5" t="s">
        <v>43</v>
      </c>
      <c r="D449" s="5" t="s">
        <v>76</v>
      </c>
      <c r="E449" s="5"/>
      <c r="F449" s="5"/>
      <c r="G449" s="5"/>
      <c r="H449" s="5" t="s">
        <v>83</v>
      </c>
      <c r="I449" s="5" t="s">
        <v>192</v>
      </c>
      <c r="J449" s="5" t="s">
        <v>91</v>
      </c>
      <c r="K449" s="5" t="s">
        <v>1342</v>
      </c>
      <c r="L449" s="5"/>
      <c r="M449" s="5"/>
      <c r="N449" s="5" t="s">
        <v>50</v>
      </c>
      <c r="O449" s="5"/>
      <c r="P449" s="6">
        <f t="shared" si="12"/>
        <v>3</v>
      </c>
      <c r="Q449" s="6" t="str">
        <f t="shared" si="13"/>
        <v>No</v>
      </c>
      <c r="R449" s="5" t="s">
        <v>51</v>
      </c>
      <c r="S449" s="5"/>
      <c r="T449" s="5" t="s">
        <v>1343</v>
      </c>
      <c r="U449" s="5"/>
      <c r="V449" s="5"/>
      <c r="W449" s="5" t="s">
        <v>43</v>
      </c>
      <c r="X449" s="5"/>
      <c r="Y449" s="5" t="s">
        <v>1344</v>
      </c>
    </row>
    <row r="450" spans="1:25" x14ac:dyDescent="0.25">
      <c r="A450" s="5" t="s">
        <v>1345</v>
      </c>
      <c r="B450" s="5"/>
      <c r="C450" s="5" t="s">
        <v>43</v>
      </c>
      <c r="D450" s="5" t="s">
        <v>44</v>
      </c>
      <c r="E450" s="5"/>
      <c r="F450" s="5"/>
      <c r="G450" s="5" t="s">
        <v>47</v>
      </c>
      <c r="H450" s="5" t="s">
        <v>495</v>
      </c>
      <c r="I450" s="5"/>
      <c r="J450" s="5"/>
      <c r="K450" s="5"/>
      <c r="L450" s="5"/>
      <c r="M450" s="5"/>
      <c r="N450" s="5" t="s">
        <v>50</v>
      </c>
      <c r="O450" s="5"/>
      <c r="P450" s="6">
        <f t="shared" ref="P450:P513" si="14">IF(A450="","",COUNTA(D450:F450)+COUNTA(G450:G450)+COUNTA(H450:H450)+COUNTA(I450:I450))</f>
        <v>3</v>
      </c>
      <c r="Q450" s="6" t="str">
        <f t="shared" ref="Q450:Q513" si="15">IF(A450="","",IF(AND(P450=6,UPPER(L450)&lt;&gt;"Y",C450&lt;&gt;""),"Yes","No"))</f>
        <v>No</v>
      </c>
      <c r="R450" s="5" t="s">
        <v>51</v>
      </c>
      <c r="S450" s="5"/>
      <c r="T450" s="5"/>
      <c r="U450" s="5" t="s">
        <v>495</v>
      </c>
      <c r="V450" s="5"/>
      <c r="W450" s="5" t="s">
        <v>43</v>
      </c>
      <c r="X450" s="5"/>
      <c r="Y450" s="5" t="s">
        <v>64</v>
      </c>
    </row>
    <row r="451" spans="1:25" x14ac:dyDescent="0.25">
      <c r="A451" s="5" t="s">
        <v>1346</v>
      </c>
      <c r="B451" s="5"/>
      <c r="C451" s="5" t="s">
        <v>43</v>
      </c>
      <c r="D451" s="5" t="s">
        <v>76</v>
      </c>
      <c r="E451" s="5" t="s">
        <v>45</v>
      </c>
      <c r="F451" s="5" t="s">
        <v>107</v>
      </c>
      <c r="G451" s="5"/>
      <c r="H451" s="5" t="s">
        <v>149</v>
      </c>
      <c r="I451" s="5"/>
      <c r="J451" s="5"/>
      <c r="K451" s="5"/>
      <c r="L451" s="5"/>
      <c r="M451" s="5"/>
      <c r="N451" s="5" t="s">
        <v>50</v>
      </c>
      <c r="O451" s="5"/>
      <c r="P451" s="6">
        <f t="shared" si="14"/>
        <v>4</v>
      </c>
      <c r="Q451" s="6" t="str">
        <f t="shared" si="15"/>
        <v>No</v>
      </c>
      <c r="R451" s="5" t="s">
        <v>51</v>
      </c>
      <c r="S451" s="5" t="s">
        <v>1347</v>
      </c>
      <c r="T451" s="5" t="s">
        <v>1348</v>
      </c>
      <c r="U451" s="5" t="s">
        <v>149</v>
      </c>
      <c r="V451" s="5"/>
      <c r="W451" s="5" t="s">
        <v>43</v>
      </c>
      <c r="X451" s="5"/>
      <c r="Y451" s="5" t="s">
        <v>1349</v>
      </c>
    </row>
    <row r="452" spans="1:25" x14ac:dyDescent="0.25">
      <c r="A452" s="5" t="s">
        <v>1350</v>
      </c>
      <c r="B452" s="5"/>
      <c r="C452" s="5" t="s">
        <v>70</v>
      </c>
      <c r="D452" s="5" t="s">
        <v>76</v>
      </c>
      <c r="E452" s="5"/>
      <c r="F452" s="5"/>
      <c r="G452" s="5"/>
      <c r="H452" s="5" t="s">
        <v>154</v>
      </c>
      <c r="I452" s="5"/>
      <c r="J452" s="5"/>
      <c r="K452" s="5"/>
      <c r="L452" s="5"/>
      <c r="M452" s="5"/>
      <c r="N452" s="5" t="s">
        <v>124</v>
      </c>
      <c r="O452" s="5"/>
      <c r="P452" s="6">
        <f t="shared" si="14"/>
        <v>2</v>
      </c>
      <c r="Q452" s="6" t="str">
        <f t="shared" si="15"/>
        <v>No</v>
      </c>
      <c r="R452" s="5" t="s">
        <v>125</v>
      </c>
      <c r="S452" s="5"/>
      <c r="T452" s="5"/>
      <c r="U452" s="5" t="s">
        <v>154</v>
      </c>
      <c r="V452" s="5"/>
      <c r="W452" s="5"/>
      <c r="X452" s="5"/>
      <c r="Y452" s="5" t="s">
        <v>155</v>
      </c>
    </row>
    <row r="453" spans="1:25" x14ac:dyDescent="0.25">
      <c r="A453" s="5" t="s">
        <v>1351</v>
      </c>
      <c r="B453" s="5"/>
      <c r="C453" s="5" t="s">
        <v>70</v>
      </c>
      <c r="D453" s="5"/>
      <c r="E453" s="5"/>
      <c r="F453" s="5"/>
      <c r="G453" s="5" t="s">
        <v>47</v>
      </c>
      <c r="H453" s="5"/>
      <c r="I453" s="5" t="s">
        <v>49</v>
      </c>
      <c r="J453" s="5"/>
      <c r="K453" s="5" t="s">
        <v>49</v>
      </c>
      <c r="L453" s="5"/>
      <c r="M453" s="5"/>
      <c r="N453" s="5" t="s">
        <v>124</v>
      </c>
      <c r="O453" s="5"/>
      <c r="P453" s="6">
        <f t="shared" si="14"/>
        <v>2</v>
      </c>
      <c r="Q453" s="6" t="str">
        <f t="shared" si="15"/>
        <v>No</v>
      </c>
      <c r="R453" s="5" t="s">
        <v>125</v>
      </c>
      <c r="S453" s="5"/>
      <c r="T453" s="5"/>
      <c r="U453" s="5"/>
      <c r="V453" s="5" t="s">
        <v>47</v>
      </c>
      <c r="W453" s="5"/>
      <c r="X453" s="5"/>
      <c r="Y453" s="5" t="s">
        <v>1280</v>
      </c>
    </row>
    <row r="454" spans="1:25" x14ac:dyDescent="0.25">
      <c r="A454" s="5" t="s">
        <v>1352</v>
      </c>
      <c r="B454" s="5"/>
      <c r="C454" s="5"/>
      <c r="D454" s="5"/>
      <c r="E454" s="5" t="s">
        <v>45</v>
      </c>
      <c r="F454" s="5" t="s">
        <v>107</v>
      </c>
      <c r="G454" s="5"/>
      <c r="H454" s="5" t="s">
        <v>83</v>
      </c>
      <c r="I454" s="5" t="s">
        <v>49</v>
      </c>
      <c r="J454" s="5"/>
      <c r="K454" s="5" t="s">
        <v>1353</v>
      </c>
      <c r="L454" s="5"/>
      <c r="M454" s="5"/>
      <c r="N454" s="5" t="s">
        <v>66</v>
      </c>
      <c r="O454" s="5" t="s">
        <v>103</v>
      </c>
      <c r="P454" s="6">
        <f t="shared" si="14"/>
        <v>4</v>
      </c>
      <c r="Q454" s="6" t="str">
        <f t="shared" si="15"/>
        <v>No</v>
      </c>
      <c r="R454" s="5" t="s">
        <v>51</v>
      </c>
      <c r="S454" s="5" t="s">
        <v>1354</v>
      </c>
      <c r="T454" s="5" t="s">
        <v>1355</v>
      </c>
      <c r="U454" s="5" t="s">
        <v>83</v>
      </c>
      <c r="V454" s="5"/>
      <c r="W454" s="5" t="s">
        <v>105</v>
      </c>
      <c r="X454" s="5"/>
      <c r="Y454" s="5" t="s">
        <v>167</v>
      </c>
    </row>
    <row r="455" spans="1:25" x14ac:dyDescent="0.25">
      <c r="A455" s="5" t="s">
        <v>1356</v>
      </c>
      <c r="B455" s="5"/>
      <c r="C455" s="5" t="s">
        <v>43</v>
      </c>
      <c r="D455" s="5" t="s">
        <v>44</v>
      </c>
      <c r="E455" s="5"/>
      <c r="F455" s="5" t="s">
        <v>107</v>
      </c>
      <c r="G455" s="5" t="s">
        <v>57</v>
      </c>
      <c r="H455" s="5" t="s">
        <v>96</v>
      </c>
      <c r="I455" s="5" t="s">
        <v>78</v>
      </c>
      <c r="J455" s="5"/>
      <c r="K455" s="5" t="s">
        <v>78</v>
      </c>
      <c r="L455" s="5"/>
      <c r="M455" s="5"/>
      <c r="N455" s="5" t="s">
        <v>50</v>
      </c>
      <c r="O455" s="5"/>
      <c r="P455" s="6">
        <f t="shared" si="14"/>
        <v>5</v>
      </c>
      <c r="Q455" s="6" t="str">
        <f t="shared" si="15"/>
        <v>No</v>
      </c>
      <c r="R455" s="5" t="s">
        <v>51</v>
      </c>
      <c r="S455" s="5"/>
      <c r="T455" s="5" t="s">
        <v>1357</v>
      </c>
      <c r="U455" s="5" t="s">
        <v>99</v>
      </c>
      <c r="V455" s="5"/>
      <c r="W455" s="5" t="s">
        <v>43</v>
      </c>
      <c r="X455" s="5" t="s">
        <v>68</v>
      </c>
      <c r="Y455" s="5" t="s">
        <v>81</v>
      </c>
    </row>
    <row r="456" spans="1:25" x14ac:dyDescent="0.25">
      <c r="A456" s="5" t="s">
        <v>1358</v>
      </c>
      <c r="B456" s="5"/>
      <c r="C456" s="5" t="s">
        <v>43</v>
      </c>
      <c r="D456" s="5"/>
      <c r="E456" s="5"/>
      <c r="F456" s="5"/>
      <c r="G456" s="5"/>
      <c r="H456" s="5" t="s">
        <v>58</v>
      </c>
      <c r="I456" s="5"/>
      <c r="J456" s="5"/>
      <c r="K456" s="5"/>
      <c r="L456" s="5"/>
      <c r="M456" s="5"/>
      <c r="N456" s="5" t="s">
        <v>66</v>
      </c>
      <c r="O456" s="5"/>
      <c r="P456" s="6">
        <f t="shared" si="14"/>
        <v>1</v>
      </c>
      <c r="Q456" s="6" t="str">
        <f t="shared" si="15"/>
        <v>No</v>
      </c>
      <c r="R456" s="5" t="s">
        <v>51</v>
      </c>
      <c r="S456" s="5"/>
      <c r="T456" s="5"/>
      <c r="U456" s="5" t="s">
        <v>63</v>
      </c>
      <c r="V456" s="5"/>
      <c r="W456" s="5" t="s">
        <v>43</v>
      </c>
      <c r="X456" s="5"/>
      <c r="Y456" s="5"/>
    </row>
    <row r="457" spans="1:25" x14ac:dyDescent="0.25">
      <c r="A457" s="5" t="s">
        <v>1359</v>
      </c>
      <c r="B457" s="5"/>
      <c r="C457" s="5" t="s">
        <v>43</v>
      </c>
      <c r="D457" s="5" t="s">
        <v>44</v>
      </c>
      <c r="E457" s="5" t="s">
        <v>45</v>
      </c>
      <c r="F457" s="5" t="s">
        <v>46</v>
      </c>
      <c r="G457" s="5" t="s">
        <v>57</v>
      </c>
      <c r="H457" s="5" t="s">
        <v>574</v>
      </c>
      <c r="I457" s="5" t="s">
        <v>123</v>
      </c>
      <c r="J457" s="5"/>
      <c r="K457" s="5" t="s">
        <v>1360</v>
      </c>
      <c r="L457" s="5"/>
      <c r="M457" s="5"/>
      <c r="N457" s="5" t="s">
        <v>50</v>
      </c>
      <c r="O457" s="5" t="s">
        <v>1361</v>
      </c>
      <c r="P457" s="6">
        <f t="shared" si="14"/>
        <v>6</v>
      </c>
      <c r="Q457" s="6" t="str">
        <f t="shared" si="15"/>
        <v>Yes</v>
      </c>
      <c r="R457" s="5" t="s">
        <v>51</v>
      </c>
      <c r="S457" s="5" t="s">
        <v>1362</v>
      </c>
      <c r="T457" s="5" t="s">
        <v>1363</v>
      </c>
      <c r="U457" s="5" t="s">
        <v>1364</v>
      </c>
      <c r="V457" s="5" t="s">
        <v>1365</v>
      </c>
      <c r="W457" s="5" t="s">
        <v>43</v>
      </c>
      <c r="X457" s="5"/>
      <c r="Y457" s="5" t="s">
        <v>414</v>
      </c>
    </row>
    <row r="458" spans="1:25" x14ac:dyDescent="0.25">
      <c r="A458" s="5" t="s">
        <v>1366</v>
      </c>
      <c r="B458" s="5"/>
      <c r="C458" s="5"/>
      <c r="D458" s="5"/>
      <c r="E458" s="5" t="s">
        <v>45</v>
      </c>
      <c r="F458" s="5" t="s">
        <v>46</v>
      </c>
      <c r="G458" s="5"/>
      <c r="H458" s="5" t="s">
        <v>559</v>
      </c>
      <c r="I458" s="5"/>
      <c r="J458" s="5"/>
      <c r="K458" s="5"/>
      <c r="L458" s="5"/>
      <c r="M458" s="5"/>
      <c r="N458" s="5" t="s">
        <v>66</v>
      </c>
      <c r="O458" s="5" t="s">
        <v>103</v>
      </c>
      <c r="P458" s="6">
        <f t="shared" si="14"/>
        <v>3</v>
      </c>
      <c r="Q458" s="6" t="str">
        <f t="shared" si="15"/>
        <v>No</v>
      </c>
      <c r="R458" s="5" t="s">
        <v>51</v>
      </c>
      <c r="S458" s="5" t="s">
        <v>1367</v>
      </c>
      <c r="T458" s="5" t="s">
        <v>1368</v>
      </c>
      <c r="U458" s="5" t="s">
        <v>559</v>
      </c>
      <c r="V458" s="5"/>
      <c r="W458" s="5" t="s">
        <v>105</v>
      </c>
      <c r="X458" s="5"/>
      <c r="Y458" s="5" t="s">
        <v>394</v>
      </c>
    </row>
    <row r="459" spans="1:25" x14ac:dyDescent="0.25">
      <c r="A459" s="5" t="s">
        <v>1369</v>
      </c>
      <c r="B459" s="5"/>
      <c r="C459" s="5" t="s">
        <v>70</v>
      </c>
      <c r="D459" s="5" t="s">
        <v>44</v>
      </c>
      <c r="E459" s="5"/>
      <c r="F459" s="5"/>
      <c r="G459" s="5" t="s">
        <v>57</v>
      </c>
      <c r="H459" s="5" t="s">
        <v>702</v>
      </c>
      <c r="I459" s="5" t="s">
        <v>49</v>
      </c>
      <c r="J459" s="5"/>
      <c r="K459" s="5" t="s">
        <v>49</v>
      </c>
      <c r="L459" s="5"/>
      <c r="M459" s="5"/>
      <c r="N459" s="5" t="s">
        <v>124</v>
      </c>
      <c r="O459" s="5"/>
      <c r="P459" s="6">
        <f t="shared" si="14"/>
        <v>4</v>
      </c>
      <c r="Q459" s="6" t="str">
        <f t="shared" si="15"/>
        <v>No</v>
      </c>
      <c r="R459" s="5" t="s">
        <v>125</v>
      </c>
      <c r="S459" s="5"/>
      <c r="T459" s="5"/>
      <c r="U459" s="5" t="s">
        <v>702</v>
      </c>
      <c r="V459" s="5" t="s">
        <v>57</v>
      </c>
      <c r="W459" s="5"/>
      <c r="X459" s="5"/>
      <c r="Y459" s="5" t="s">
        <v>286</v>
      </c>
    </row>
    <row r="460" spans="1:25" x14ac:dyDescent="0.25">
      <c r="A460" s="5" t="s">
        <v>1370</v>
      </c>
      <c r="B460" s="5"/>
      <c r="C460" s="5" t="s">
        <v>70</v>
      </c>
      <c r="D460" s="5" t="s">
        <v>76</v>
      </c>
      <c r="E460" s="5" t="s">
        <v>332</v>
      </c>
      <c r="F460" s="5"/>
      <c r="G460" s="5"/>
      <c r="H460" s="5" t="s">
        <v>333</v>
      </c>
      <c r="I460" s="5"/>
      <c r="J460" s="5"/>
      <c r="K460" s="5"/>
      <c r="L460" s="5"/>
      <c r="M460" s="5"/>
      <c r="N460" s="5" t="s">
        <v>50</v>
      </c>
      <c r="O460" s="5"/>
      <c r="P460" s="6">
        <f t="shared" si="14"/>
        <v>3</v>
      </c>
      <c r="Q460" s="6" t="str">
        <f t="shared" si="15"/>
        <v>No</v>
      </c>
      <c r="R460" s="5" t="s">
        <v>51</v>
      </c>
      <c r="S460" s="5"/>
      <c r="T460" s="5" t="s">
        <v>1371</v>
      </c>
      <c r="U460" s="5" t="s">
        <v>333</v>
      </c>
      <c r="V460" s="5"/>
      <c r="W460" s="5"/>
      <c r="X460" s="5"/>
      <c r="Y460" s="5" t="s">
        <v>334</v>
      </c>
    </row>
    <row r="461" spans="1:25" x14ac:dyDescent="0.25">
      <c r="A461" s="5" t="s">
        <v>1372</v>
      </c>
      <c r="B461" s="5"/>
      <c r="C461" s="5" t="s">
        <v>43</v>
      </c>
      <c r="D461" s="5" t="s">
        <v>44</v>
      </c>
      <c r="E461" s="5"/>
      <c r="F461" s="5"/>
      <c r="G461" s="5" t="s">
        <v>57</v>
      </c>
      <c r="H461" s="5" t="s">
        <v>77</v>
      </c>
      <c r="I461" s="5" t="s">
        <v>192</v>
      </c>
      <c r="J461" s="5" t="s">
        <v>178</v>
      </c>
      <c r="K461" s="5" t="s">
        <v>1373</v>
      </c>
      <c r="L461" s="5"/>
      <c r="M461" s="5"/>
      <c r="N461" s="5" t="s">
        <v>50</v>
      </c>
      <c r="O461" s="5"/>
      <c r="P461" s="6">
        <f t="shared" si="14"/>
        <v>4</v>
      </c>
      <c r="Q461" s="6" t="str">
        <f t="shared" si="15"/>
        <v>No</v>
      </c>
      <c r="R461" s="5" t="s">
        <v>51</v>
      </c>
      <c r="S461" s="5"/>
      <c r="T461" s="5" t="s">
        <v>1374</v>
      </c>
      <c r="U461" s="5" t="s">
        <v>77</v>
      </c>
      <c r="V461" s="5"/>
      <c r="W461" s="5" t="s">
        <v>43</v>
      </c>
      <c r="X461" s="5"/>
      <c r="Y461" s="5" t="s">
        <v>94</v>
      </c>
    </row>
    <row r="462" spans="1:25" x14ac:dyDescent="0.25">
      <c r="A462" s="5" t="s">
        <v>1375</v>
      </c>
      <c r="B462" s="5"/>
      <c r="C462" s="5" t="s">
        <v>43</v>
      </c>
      <c r="D462" s="5"/>
      <c r="E462" s="5" t="s">
        <v>45</v>
      </c>
      <c r="F462" s="5" t="s">
        <v>107</v>
      </c>
      <c r="G462" s="5" t="s">
        <v>47</v>
      </c>
      <c r="H462" s="5"/>
      <c r="I462" s="5"/>
      <c r="J462" s="5"/>
      <c r="K462" s="5"/>
      <c r="L462" s="5"/>
      <c r="M462" s="5"/>
      <c r="N462" s="5" t="s">
        <v>66</v>
      </c>
      <c r="O462" s="5"/>
      <c r="P462" s="6">
        <f t="shared" si="14"/>
        <v>3</v>
      </c>
      <c r="Q462" s="6" t="str">
        <f t="shared" si="15"/>
        <v>No</v>
      </c>
      <c r="R462" s="5" t="s">
        <v>51</v>
      </c>
      <c r="S462" s="5" t="s">
        <v>1376</v>
      </c>
      <c r="T462" s="5"/>
      <c r="U462" s="5"/>
      <c r="V462" s="5" t="s">
        <v>67</v>
      </c>
      <c r="W462" s="5" t="s">
        <v>43</v>
      </c>
      <c r="X462" s="5" t="s">
        <v>68</v>
      </c>
      <c r="Y462" s="5" t="s">
        <v>394</v>
      </c>
    </row>
    <row r="463" spans="1:25" x14ac:dyDescent="0.25">
      <c r="A463" s="5" t="s">
        <v>1377</v>
      </c>
      <c r="B463" s="5"/>
      <c r="C463" s="5" t="s">
        <v>43</v>
      </c>
      <c r="D463" s="5"/>
      <c r="E463" s="5"/>
      <c r="F463" s="5"/>
      <c r="G463" s="5"/>
      <c r="H463" s="5" t="s">
        <v>1378</v>
      </c>
      <c r="I463" s="5" t="s">
        <v>49</v>
      </c>
      <c r="J463" s="5"/>
      <c r="K463" s="5" t="s">
        <v>49</v>
      </c>
      <c r="L463" s="5"/>
      <c r="M463" s="5"/>
      <c r="N463" s="5" t="s">
        <v>50</v>
      </c>
      <c r="O463" s="5"/>
      <c r="P463" s="6">
        <f t="shared" si="14"/>
        <v>2</v>
      </c>
      <c r="Q463" s="6" t="str">
        <f t="shared" si="15"/>
        <v>No</v>
      </c>
      <c r="R463" s="5" t="s">
        <v>51</v>
      </c>
      <c r="S463" s="5"/>
      <c r="T463" s="5" t="s">
        <v>1379</v>
      </c>
      <c r="U463" s="5" t="s">
        <v>1378</v>
      </c>
      <c r="V463" s="5"/>
      <c r="W463" s="5" t="s">
        <v>43</v>
      </c>
      <c r="X463" s="5" t="s">
        <v>1380</v>
      </c>
      <c r="Y463" s="5" t="s">
        <v>589</v>
      </c>
    </row>
    <row r="464" spans="1:25" x14ac:dyDescent="0.25">
      <c r="A464" s="5" t="s">
        <v>1381</v>
      </c>
      <c r="B464" s="5"/>
      <c r="C464" s="5" t="s">
        <v>43</v>
      </c>
      <c r="D464" s="5" t="s">
        <v>76</v>
      </c>
      <c r="E464" s="5"/>
      <c r="F464" s="5" t="s">
        <v>46</v>
      </c>
      <c r="G464" s="5" t="s">
        <v>57</v>
      </c>
      <c r="H464" s="5" t="s">
        <v>83</v>
      </c>
      <c r="I464" s="5" t="s">
        <v>78</v>
      </c>
      <c r="J464" s="5"/>
      <c r="K464" s="5" t="s">
        <v>78</v>
      </c>
      <c r="L464" s="5"/>
      <c r="M464" s="5"/>
      <c r="N464" s="5" t="s">
        <v>50</v>
      </c>
      <c r="O464" s="5"/>
      <c r="P464" s="6">
        <f t="shared" si="14"/>
        <v>5</v>
      </c>
      <c r="Q464" s="6" t="str">
        <f t="shared" si="15"/>
        <v>No</v>
      </c>
      <c r="R464" s="5" t="s">
        <v>51</v>
      </c>
      <c r="S464" s="5"/>
      <c r="T464" s="5" t="s">
        <v>1382</v>
      </c>
      <c r="U464" s="5" t="s">
        <v>83</v>
      </c>
      <c r="V464" s="5"/>
      <c r="W464" s="5" t="s">
        <v>43</v>
      </c>
      <c r="X464" s="5"/>
      <c r="Y464" s="5" t="s">
        <v>81</v>
      </c>
    </row>
    <row r="465" spans="1:25" x14ac:dyDescent="0.25">
      <c r="A465" s="5" t="s">
        <v>1383</v>
      </c>
      <c r="B465" s="5"/>
      <c r="C465" s="5"/>
      <c r="D465" s="5"/>
      <c r="E465" s="5" t="s">
        <v>332</v>
      </c>
      <c r="F465" s="5"/>
      <c r="G465" s="5"/>
      <c r="H465" s="5"/>
      <c r="I465" s="5"/>
      <c r="J465" s="5"/>
      <c r="K465" s="5"/>
      <c r="L465" s="5"/>
      <c r="M465" s="5"/>
      <c r="N465" s="5" t="s">
        <v>66</v>
      </c>
      <c r="O465" s="5"/>
      <c r="P465" s="6">
        <f t="shared" si="14"/>
        <v>1</v>
      </c>
      <c r="Q465" s="6" t="str">
        <f t="shared" si="15"/>
        <v>No</v>
      </c>
      <c r="R465" s="5" t="s">
        <v>51</v>
      </c>
      <c r="S465" s="5"/>
      <c r="T465" s="5" t="s">
        <v>332</v>
      </c>
      <c r="U465" s="5"/>
      <c r="V465" s="5"/>
      <c r="W465" s="5"/>
      <c r="X465" s="5"/>
      <c r="Y465" s="5" t="s">
        <v>1384</v>
      </c>
    </row>
    <row r="466" spans="1:25" x14ac:dyDescent="0.25">
      <c r="A466" s="5" t="s">
        <v>1385</v>
      </c>
      <c r="B466" s="5"/>
      <c r="C466" s="5" t="s">
        <v>70</v>
      </c>
      <c r="D466" s="5"/>
      <c r="E466" s="5"/>
      <c r="F466" s="5"/>
      <c r="G466" s="5" t="s">
        <v>47</v>
      </c>
      <c r="H466" s="5"/>
      <c r="I466" s="5"/>
      <c r="J466" s="5"/>
      <c r="K466" s="5"/>
      <c r="L466" s="5"/>
      <c r="M466" s="5"/>
      <c r="N466" s="5" t="s">
        <v>50</v>
      </c>
      <c r="O466" s="5"/>
      <c r="P466" s="6">
        <f t="shared" si="14"/>
        <v>1</v>
      </c>
      <c r="Q466" s="6" t="str">
        <f t="shared" si="15"/>
        <v>No</v>
      </c>
      <c r="R466" s="5" t="s">
        <v>51</v>
      </c>
      <c r="S466" s="5"/>
      <c r="T466" s="5"/>
      <c r="U466" s="5"/>
      <c r="V466" s="5"/>
      <c r="W466" s="5"/>
      <c r="X466" s="5"/>
      <c r="Y466" s="5" t="s">
        <v>257</v>
      </c>
    </row>
    <row r="467" spans="1:25" x14ac:dyDescent="0.25">
      <c r="A467" s="5" t="s">
        <v>1386</v>
      </c>
      <c r="B467" s="5" t="s">
        <v>1387</v>
      </c>
      <c r="C467" s="5" t="s">
        <v>70</v>
      </c>
      <c r="D467" s="5"/>
      <c r="E467" s="5" t="s">
        <v>595</v>
      </c>
      <c r="F467" s="5"/>
      <c r="G467" s="5" t="s">
        <v>47</v>
      </c>
      <c r="H467" s="5"/>
      <c r="I467" s="5" t="s">
        <v>59</v>
      </c>
      <c r="J467" s="5" t="s">
        <v>133</v>
      </c>
      <c r="K467" s="5" t="s">
        <v>1388</v>
      </c>
      <c r="L467" s="5"/>
      <c r="M467" s="5"/>
      <c r="N467" s="5" t="s">
        <v>255</v>
      </c>
      <c r="O467" s="5"/>
      <c r="P467" s="6">
        <f t="shared" si="14"/>
        <v>3</v>
      </c>
      <c r="Q467" s="6" t="str">
        <f t="shared" si="15"/>
        <v>No</v>
      </c>
      <c r="R467" s="5" t="s">
        <v>256</v>
      </c>
      <c r="S467" s="5"/>
      <c r="T467" s="5"/>
      <c r="U467" s="5"/>
      <c r="V467" s="5"/>
      <c r="W467" s="5"/>
      <c r="X467" s="5"/>
      <c r="Y467" s="5" t="s">
        <v>257</v>
      </c>
    </row>
    <row r="468" spans="1:25" x14ac:dyDescent="0.25">
      <c r="A468" s="5" t="s">
        <v>1389</v>
      </c>
      <c r="B468" s="5"/>
      <c r="C468" s="5" t="s">
        <v>43</v>
      </c>
      <c r="D468" s="5" t="s">
        <v>44</v>
      </c>
      <c r="E468" s="5"/>
      <c r="F468" s="5"/>
      <c r="G468" s="5" t="s">
        <v>47</v>
      </c>
      <c r="H468" s="5" t="s">
        <v>314</v>
      </c>
      <c r="I468" s="5" t="s">
        <v>91</v>
      </c>
      <c r="J468" s="5"/>
      <c r="K468" s="5" t="s">
        <v>91</v>
      </c>
      <c r="L468" s="5"/>
      <c r="M468" s="5"/>
      <c r="N468" s="5" t="s">
        <v>50</v>
      </c>
      <c r="O468" s="5"/>
      <c r="P468" s="6">
        <f t="shared" si="14"/>
        <v>4</v>
      </c>
      <c r="Q468" s="6" t="str">
        <f t="shared" si="15"/>
        <v>No</v>
      </c>
      <c r="R468" s="5" t="s">
        <v>51</v>
      </c>
      <c r="S468" s="5"/>
      <c r="T468" s="5" t="s">
        <v>1390</v>
      </c>
      <c r="U468" s="5" t="s">
        <v>317</v>
      </c>
      <c r="V468" s="5"/>
      <c r="W468" s="5" t="s">
        <v>43</v>
      </c>
      <c r="X468" s="5"/>
      <c r="Y468" s="5" t="s">
        <v>94</v>
      </c>
    </row>
    <row r="469" spans="1:25" x14ac:dyDescent="0.25">
      <c r="A469" s="5" t="s">
        <v>1391</v>
      </c>
      <c r="B469" s="5"/>
      <c r="C469" s="5" t="s">
        <v>43</v>
      </c>
      <c r="D469" s="5"/>
      <c r="E469" s="5"/>
      <c r="F469" s="5"/>
      <c r="G469" s="5"/>
      <c r="H469" s="5" t="s">
        <v>1378</v>
      </c>
      <c r="I469" s="5" t="s">
        <v>49</v>
      </c>
      <c r="J469" s="5"/>
      <c r="K469" s="5" t="s">
        <v>49</v>
      </c>
      <c r="L469" s="5"/>
      <c r="M469" s="5"/>
      <c r="N469" s="5" t="s">
        <v>50</v>
      </c>
      <c r="O469" s="5"/>
      <c r="P469" s="6">
        <f t="shared" si="14"/>
        <v>2</v>
      </c>
      <c r="Q469" s="6" t="str">
        <f t="shared" si="15"/>
        <v>No</v>
      </c>
      <c r="R469" s="5" t="s">
        <v>51</v>
      </c>
      <c r="S469" s="5"/>
      <c r="T469" s="5" t="s">
        <v>1392</v>
      </c>
      <c r="U469" s="5" t="s">
        <v>1378</v>
      </c>
      <c r="V469" s="5"/>
      <c r="W469" s="5" t="s">
        <v>43</v>
      </c>
      <c r="X469" s="5" t="s">
        <v>1380</v>
      </c>
      <c r="Y469" s="5" t="s">
        <v>589</v>
      </c>
    </row>
    <row r="470" spans="1:25" x14ac:dyDescent="0.25">
      <c r="A470" s="5" t="s">
        <v>1393</v>
      </c>
      <c r="B470" s="5"/>
      <c r="C470" s="5"/>
      <c r="D470" s="5"/>
      <c r="E470" s="5"/>
      <c r="F470" s="5"/>
      <c r="G470" s="5"/>
      <c r="H470" s="5" t="s">
        <v>77</v>
      </c>
      <c r="I470" s="5"/>
      <c r="J470" s="5"/>
      <c r="K470" s="5"/>
      <c r="L470" s="5"/>
      <c r="M470" s="5"/>
      <c r="N470" s="5" t="s">
        <v>66</v>
      </c>
      <c r="O470" s="5" t="s">
        <v>103</v>
      </c>
      <c r="P470" s="6">
        <f t="shared" si="14"/>
        <v>1</v>
      </c>
      <c r="Q470" s="6" t="str">
        <f t="shared" si="15"/>
        <v>No</v>
      </c>
      <c r="R470" s="5" t="s">
        <v>51</v>
      </c>
      <c r="S470" s="5"/>
      <c r="T470" s="5" t="s">
        <v>1394</v>
      </c>
      <c r="U470" s="5" t="s">
        <v>77</v>
      </c>
      <c r="V470" s="5"/>
      <c r="W470" s="5" t="s">
        <v>105</v>
      </c>
      <c r="X470" s="5"/>
      <c r="Y470" s="5"/>
    </row>
    <row r="471" spans="1:25" x14ac:dyDescent="0.25">
      <c r="A471" s="5" t="s">
        <v>1395</v>
      </c>
      <c r="B471" s="5"/>
      <c r="C471" s="5" t="s">
        <v>43</v>
      </c>
      <c r="D471" s="5" t="s">
        <v>44</v>
      </c>
      <c r="E471" s="5"/>
      <c r="F471" s="5"/>
      <c r="G471" s="5" t="s">
        <v>57</v>
      </c>
      <c r="H471" s="5" t="s">
        <v>1133</v>
      </c>
      <c r="I471" s="5" t="s">
        <v>119</v>
      </c>
      <c r="J471" s="5"/>
      <c r="K471" s="5" t="s">
        <v>1396</v>
      </c>
      <c r="L471" s="5"/>
      <c r="M471" s="5"/>
      <c r="N471" s="5" t="s">
        <v>50</v>
      </c>
      <c r="O471" s="5"/>
      <c r="P471" s="6">
        <f t="shared" si="14"/>
        <v>4</v>
      </c>
      <c r="Q471" s="6" t="str">
        <f t="shared" si="15"/>
        <v>No</v>
      </c>
      <c r="R471" s="5" t="s">
        <v>51</v>
      </c>
      <c r="S471" s="5"/>
      <c r="T471" s="5" t="s">
        <v>1397</v>
      </c>
      <c r="U471" s="5" t="s">
        <v>1133</v>
      </c>
      <c r="V471" s="5"/>
      <c r="W471" s="5" t="s">
        <v>43</v>
      </c>
      <c r="X471" s="5" t="s">
        <v>1398</v>
      </c>
      <c r="Y471" s="5" t="s">
        <v>238</v>
      </c>
    </row>
    <row r="472" spans="1:25" x14ac:dyDescent="0.25">
      <c r="A472" s="5" t="s">
        <v>1399</v>
      </c>
      <c r="B472" s="5"/>
      <c r="C472" s="5" t="s">
        <v>43</v>
      </c>
      <c r="D472" s="5" t="s">
        <v>76</v>
      </c>
      <c r="E472" s="5"/>
      <c r="F472" s="5" t="s">
        <v>46</v>
      </c>
      <c r="G472" s="5"/>
      <c r="H472" s="5" t="s">
        <v>77</v>
      </c>
      <c r="I472" s="5" t="s">
        <v>91</v>
      </c>
      <c r="J472" s="5"/>
      <c r="K472" s="5" t="s">
        <v>91</v>
      </c>
      <c r="L472" s="5"/>
      <c r="M472" s="5"/>
      <c r="N472" s="5" t="s">
        <v>50</v>
      </c>
      <c r="O472" s="5"/>
      <c r="P472" s="6">
        <f t="shared" si="14"/>
        <v>4</v>
      </c>
      <c r="Q472" s="6" t="str">
        <f t="shared" si="15"/>
        <v>No</v>
      </c>
      <c r="R472" s="5" t="s">
        <v>51</v>
      </c>
      <c r="S472" s="5"/>
      <c r="T472" s="5" t="s">
        <v>1400</v>
      </c>
      <c r="U472" s="5" t="s">
        <v>77</v>
      </c>
      <c r="V472" s="5"/>
      <c r="W472" s="5" t="s">
        <v>43</v>
      </c>
      <c r="X472" s="5"/>
      <c r="Y472" s="5" t="s">
        <v>593</v>
      </c>
    </row>
    <row r="473" spans="1:25" x14ac:dyDescent="0.25">
      <c r="A473" s="5" t="s">
        <v>1401</v>
      </c>
      <c r="B473" s="5"/>
      <c r="C473" s="5" t="s">
        <v>43</v>
      </c>
      <c r="D473" s="5" t="s">
        <v>76</v>
      </c>
      <c r="E473" s="5" t="s">
        <v>45</v>
      </c>
      <c r="F473" s="5" t="s">
        <v>107</v>
      </c>
      <c r="G473" s="5" t="s">
        <v>57</v>
      </c>
      <c r="H473" s="5" t="s">
        <v>83</v>
      </c>
      <c r="I473" s="5" t="s">
        <v>59</v>
      </c>
      <c r="J473" s="5" t="s">
        <v>1010</v>
      </c>
      <c r="K473" s="5" t="s">
        <v>1402</v>
      </c>
      <c r="L473" s="5"/>
      <c r="M473" s="5"/>
      <c r="N473" s="5" t="s">
        <v>110</v>
      </c>
      <c r="O473" s="5"/>
      <c r="P473" s="6">
        <f t="shared" si="14"/>
        <v>6</v>
      </c>
      <c r="Q473" s="6" t="str">
        <f t="shared" si="15"/>
        <v>Yes</v>
      </c>
      <c r="R473" s="5" t="s">
        <v>112</v>
      </c>
      <c r="S473" s="5" t="s">
        <v>1403</v>
      </c>
      <c r="T473" s="5" t="s">
        <v>1404</v>
      </c>
      <c r="U473" s="5" t="s">
        <v>83</v>
      </c>
      <c r="V473" s="5"/>
      <c r="W473" s="5" t="s">
        <v>43</v>
      </c>
      <c r="X473" s="5" t="s">
        <v>468</v>
      </c>
      <c r="Y473" s="5" t="s">
        <v>101</v>
      </c>
    </row>
    <row r="474" spans="1:25" x14ac:dyDescent="0.25">
      <c r="A474" s="5" t="s">
        <v>1405</v>
      </c>
      <c r="B474" s="5"/>
      <c r="C474" s="5" t="s">
        <v>43</v>
      </c>
      <c r="D474" s="5"/>
      <c r="E474" s="5"/>
      <c r="F474" s="5"/>
      <c r="G474" s="5" t="s">
        <v>47</v>
      </c>
      <c r="H474" s="5"/>
      <c r="I474" s="5"/>
      <c r="J474" s="5"/>
      <c r="K474" s="5"/>
      <c r="L474" s="5"/>
      <c r="M474" s="5"/>
      <c r="N474" s="5" t="s">
        <v>50</v>
      </c>
      <c r="O474" s="5"/>
      <c r="P474" s="6">
        <f t="shared" si="14"/>
        <v>1</v>
      </c>
      <c r="Q474" s="6" t="str">
        <f t="shared" si="15"/>
        <v>No</v>
      </c>
      <c r="R474" s="5" t="s">
        <v>51</v>
      </c>
      <c r="S474" s="5"/>
      <c r="T474" s="5"/>
      <c r="U474" s="5"/>
      <c r="V474" s="5"/>
      <c r="W474" s="5" t="s">
        <v>43</v>
      </c>
      <c r="X474" s="5" t="s">
        <v>68</v>
      </c>
      <c r="Y474" s="5" t="s">
        <v>549</v>
      </c>
    </row>
    <row r="475" spans="1:25" x14ac:dyDescent="0.25">
      <c r="A475" s="5" t="s">
        <v>1406</v>
      </c>
      <c r="B475" s="5"/>
      <c r="C475" s="5" t="s">
        <v>43</v>
      </c>
      <c r="D475" s="5" t="s">
        <v>44</v>
      </c>
      <c r="E475" s="5" t="s">
        <v>332</v>
      </c>
      <c r="F475" s="5" t="s">
        <v>107</v>
      </c>
      <c r="G475" s="5" t="s">
        <v>57</v>
      </c>
      <c r="H475" s="5" t="s">
        <v>664</v>
      </c>
      <c r="I475" s="5" t="s">
        <v>49</v>
      </c>
      <c r="J475" s="5"/>
      <c r="K475" s="5" t="s">
        <v>49</v>
      </c>
      <c r="L475" s="5"/>
      <c r="M475" s="5"/>
      <c r="N475" s="5" t="s">
        <v>50</v>
      </c>
      <c r="O475" s="5"/>
      <c r="P475" s="6">
        <f t="shared" si="14"/>
        <v>6</v>
      </c>
      <c r="Q475" s="6" t="str">
        <f t="shared" si="15"/>
        <v>Yes</v>
      </c>
      <c r="R475" s="5" t="s">
        <v>51</v>
      </c>
      <c r="S475" s="5"/>
      <c r="T475" s="5" t="s">
        <v>1407</v>
      </c>
      <c r="U475" s="5" t="s">
        <v>664</v>
      </c>
      <c r="V475" s="5"/>
      <c r="W475" s="5" t="s">
        <v>43</v>
      </c>
      <c r="X475" s="5" t="s">
        <v>423</v>
      </c>
      <c r="Y475" s="5" t="s">
        <v>1408</v>
      </c>
    </row>
    <row r="476" spans="1:25" x14ac:dyDescent="0.25">
      <c r="A476" s="5" t="s">
        <v>1409</v>
      </c>
      <c r="B476" s="5"/>
      <c r="C476" s="5" t="s">
        <v>43</v>
      </c>
      <c r="D476" s="5" t="s">
        <v>44</v>
      </c>
      <c r="E476" s="5" t="s">
        <v>45</v>
      </c>
      <c r="F476" s="5" t="s">
        <v>107</v>
      </c>
      <c r="G476" s="5" t="s">
        <v>47</v>
      </c>
      <c r="H476" s="5" t="s">
        <v>314</v>
      </c>
      <c r="I476" s="5" t="s">
        <v>91</v>
      </c>
      <c r="J476" s="5" t="s">
        <v>108</v>
      </c>
      <c r="K476" s="5" t="s">
        <v>1410</v>
      </c>
      <c r="L476" s="5"/>
      <c r="M476" s="5"/>
      <c r="N476" s="5" t="s">
        <v>50</v>
      </c>
      <c r="O476" s="5"/>
      <c r="P476" s="6">
        <f t="shared" si="14"/>
        <v>6</v>
      </c>
      <c r="Q476" s="6" t="str">
        <f t="shared" si="15"/>
        <v>Yes</v>
      </c>
      <c r="R476" s="5" t="s">
        <v>51</v>
      </c>
      <c r="S476" s="5"/>
      <c r="T476" s="5" t="s">
        <v>1411</v>
      </c>
      <c r="U476" s="5" t="s">
        <v>317</v>
      </c>
      <c r="V476" s="5"/>
      <c r="W476" s="5" t="s">
        <v>43</v>
      </c>
      <c r="X476" s="5"/>
      <c r="Y476" s="5" t="s">
        <v>94</v>
      </c>
    </row>
    <row r="477" spans="1:25" x14ac:dyDescent="0.25">
      <c r="A477" s="5" t="s">
        <v>1412</v>
      </c>
      <c r="B477" s="5"/>
      <c r="C477" s="5"/>
      <c r="D477" s="5"/>
      <c r="E477" s="5" t="s">
        <v>45</v>
      </c>
      <c r="F477" s="5" t="s">
        <v>107</v>
      </c>
      <c r="G477" s="5"/>
      <c r="H477" s="5"/>
      <c r="I477" s="5" t="s">
        <v>72</v>
      </c>
      <c r="J477" s="5"/>
      <c r="K477" s="5" t="s">
        <v>72</v>
      </c>
      <c r="L477" s="5"/>
      <c r="M477" s="5"/>
      <c r="N477" s="5" t="s">
        <v>66</v>
      </c>
      <c r="O477" s="5" t="s">
        <v>163</v>
      </c>
      <c r="P477" s="6">
        <f t="shared" si="14"/>
        <v>3</v>
      </c>
      <c r="Q477" s="6" t="str">
        <f t="shared" si="15"/>
        <v>No</v>
      </c>
      <c r="R477" s="5" t="s">
        <v>51</v>
      </c>
      <c r="S477" s="5" t="s">
        <v>1413</v>
      </c>
      <c r="T477" s="5" t="s">
        <v>1414</v>
      </c>
      <c r="U477" s="5"/>
      <c r="V477" s="5"/>
      <c r="W477" s="5" t="s">
        <v>166</v>
      </c>
      <c r="X477" s="5"/>
      <c r="Y477" s="5" t="s">
        <v>203</v>
      </c>
    </row>
    <row r="478" spans="1:25" x14ac:dyDescent="0.25">
      <c r="A478" s="5" t="s">
        <v>1415</v>
      </c>
      <c r="B478" s="5"/>
      <c r="C478" s="5" t="s">
        <v>43</v>
      </c>
      <c r="D478" s="5"/>
      <c r="E478" s="5"/>
      <c r="F478" s="5"/>
      <c r="G478" s="5"/>
      <c r="H478" s="5" t="s">
        <v>910</v>
      </c>
      <c r="I478" s="5"/>
      <c r="J478" s="5"/>
      <c r="K478" s="5"/>
      <c r="L478" s="5"/>
      <c r="M478" s="5"/>
      <c r="N478" s="5" t="s">
        <v>66</v>
      </c>
      <c r="O478" s="5"/>
      <c r="P478" s="6">
        <f t="shared" si="14"/>
        <v>1</v>
      </c>
      <c r="Q478" s="6" t="str">
        <f t="shared" si="15"/>
        <v>No</v>
      </c>
      <c r="R478" s="5" t="s">
        <v>51</v>
      </c>
      <c r="S478" s="5"/>
      <c r="T478" s="5" t="s">
        <v>1416</v>
      </c>
      <c r="U478" s="5" t="s">
        <v>911</v>
      </c>
      <c r="V478" s="5"/>
      <c r="W478" s="5" t="s">
        <v>43</v>
      </c>
      <c r="X478" s="5"/>
      <c r="Y478" s="5"/>
    </row>
    <row r="479" spans="1:25" x14ac:dyDescent="0.25">
      <c r="A479" s="5" t="s">
        <v>1417</v>
      </c>
      <c r="B479" s="5"/>
      <c r="C479" s="5" t="s">
        <v>43</v>
      </c>
      <c r="D479" s="5" t="s">
        <v>76</v>
      </c>
      <c r="E479" s="5" t="s">
        <v>45</v>
      </c>
      <c r="F479" s="5" t="s">
        <v>46</v>
      </c>
      <c r="G479" s="5" t="s">
        <v>47</v>
      </c>
      <c r="H479" s="5" t="s">
        <v>323</v>
      </c>
      <c r="I479" s="5" t="s">
        <v>91</v>
      </c>
      <c r="J479" s="5" t="s">
        <v>1418</v>
      </c>
      <c r="K479" s="5" t="s">
        <v>1419</v>
      </c>
      <c r="L479" s="5"/>
      <c r="M479" s="5"/>
      <c r="N479" s="5" t="s">
        <v>50</v>
      </c>
      <c r="O479" s="5"/>
      <c r="P479" s="6">
        <f t="shared" si="14"/>
        <v>6</v>
      </c>
      <c r="Q479" s="6" t="str">
        <f t="shared" si="15"/>
        <v>Yes</v>
      </c>
      <c r="R479" s="5" t="s">
        <v>51</v>
      </c>
      <c r="S479" s="5" t="s">
        <v>1420</v>
      </c>
      <c r="T479" s="5" t="s">
        <v>992</v>
      </c>
      <c r="U479" s="5" t="s">
        <v>323</v>
      </c>
      <c r="V479" s="5" t="s">
        <v>67</v>
      </c>
      <c r="W479" s="5" t="s">
        <v>43</v>
      </c>
      <c r="X479" s="5" t="s">
        <v>222</v>
      </c>
      <c r="Y479" s="5" t="s">
        <v>348</v>
      </c>
    </row>
    <row r="480" spans="1:25" x14ac:dyDescent="0.25">
      <c r="A480" s="5" t="s">
        <v>1421</v>
      </c>
      <c r="B480" s="5"/>
      <c r="C480" s="5" t="s">
        <v>128</v>
      </c>
      <c r="D480" s="5"/>
      <c r="E480" s="5"/>
      <c r="F480" s="5"/>
      <c r="G480" s="5" t="s">
        <v>57</v>
      </c>
      <c r="H480" s="5" t="s">
        <v>1422</v>
      </c>
      <c r="I480" s="5"/>
      <c r="J480" s="5"/>
      <c r="K480" s="5"/>
      <c r="L480" s="5"/>
      <c r="M480" s="5"/>
      <c r="N480" s="5" t="s">
        <v>66</v>
      </c>
      <c r="O480" s="5"/>
      <c r="P480" s="6">
        <f t="shared" si="14"/>
        <v>2</v>
      </c>
      <c r="Q480" s="6" t="str">
        <f t="shared" si="15"/>
        <v>No</v>
      </c>
      <c r="R480" s="5" t="s">
        <v>51</v>
      </c>
      <c r="S480" s="5"/>
      <c r="T480" s="5"/>
      <c r="U480" s="5" t="s">
        <v>1422</v>
      </c>
      <c r="V480" s="5" t="s">
        <v>57</v>
      </c>
      <c r="W480" s="5" t="s">
        <v>128</v>
      </c>
      <c r="X480" s="5" t="s">
        <v>1423</v>
      </c>
      <c r="Y480" s="5"/>
    </row>
    <row r="481" spans="1:25" x14ac:dyDescent="0.25">
      <c r="A481" s="5" t="s">
        <v>1424</v>
      </c>
      <c r="B481" s="5"/>
      <c r="C481" s="5" t="s">
        <v>70</v>
      </c>
      <c r="D481" s="5" t="s">
        <v>76</v>
      </c>
      <c r="E481" s="5"/>
      <c r="F481" s="5"/>
      <c r="G481" s="5"/>
      <c r="H481" s="5" t="s">
        <v>77</v>
      </c>
      <c r="I481" s="5" t="s">
        <v>71</v>
      </c>
      <c r="J481" s="5"/>
      <c r="K481" s="5" t="s">
        <v>71</v>
      </c>
      <c r="L481" s="5"/>
      <c r="M481" s="5"/>
      <c r="N481" s="5" t="s">
        <v>50</v>
      </c>
      <c r="O481" s="5"/>
      <c r="P481" s="6">
        <f t="shared" si="14"/>
        <v>3</v>
      </c>
      <c r="Q481" s="6" t="str">
        <f t="shared" si="15"/>
        <v>No</v>
      </c>
      <c r="R481" s="5" t="s">
        <v>51</v>
      </c>
      <c r="S481" s="5"/>
      <c r="T481" s="5" t="s">
        <v>1425</v>
      </c>
      <c r="U481" s="5"/>
      <c r="V481" s="5"/>
      <c r="W481" s="5"/>
      <c r="X481" s="5"/>
      <c r="Y481" s="5" t="s">
        <v>753</v>
      </c>
    </row>
    <row r="482" spans="1:25" x14ac:dyDescent="0.25">
      <c r="A482" s="5" t="s">
        <v>1426</v>
      </c>
      <c r="B482" s="5"/>
      <c r="C482" s="5" t="s">
        <v>70</v>
      </c>
      <c r="D482" s="5"/>
      <c r="E482" s="5"/>
      <c r="F482" s="5"/>
      <c r="G482" s="5"/>
      <c r="H482" s="5" t="s">
        <v>910</v>
      </c>
      <c r="I482" s="5" t="s">
        <v>49</v>
      </c>
      <c r="J482" s="5"/>
      <c r="K482" s="5" t="s">
        <v>49</v>
      </c>
      <c r="L482" s="5"/>
      <c r="M482" s="5"/>
      <c r="N482" s="5" t="s">
        <v>124</v>
      </c>
      <c r="O482" s="5"/>
      <c r="P482" s="6">
        <f t="shared" si="14"/>
        <v>2</v>
      </c>
      <c r="Q482" s="6" t="str">
        <f t="shared" si="15"/>
        <v>No</v>
      </c>
      <c r="R482" s="5" t="s">
        <v>125</v>
      </c>
      <c r="S482" s="5"/>
      <c r="T482" s="5"/>
      <c r="U482" s="5" t="s">
        <v>910</v>
      </c>
      <c r="V482" s="5"/>
      <c r="W482" s="5"/>
      <c r="X482" s="5"/>
      <c r="Y482" s="5" t="s">
        <v>915</v>
      </c>
    </row>
    <row r="483" spans="1:25" x14ac:dyDescent="0.25">
      <c r="A483" s="5" t="s">
        <v>1427</v>
      </c>
      <c r="B483" s="5"/>
      <c r="C483" s="5" t="s">
        <v>43</v>
      </c>
      <c r="D483" s="5" t="s">
        <v>44</v>
      </c>
      <c r="E483" s="5" t="s">
        <v>45</v>
      </c>
      <c r="F483" s="5" t="s">
        <v>107</v>
      </c>
      <c r="G483" s="5" t="s">
        <v>47</v>
      </c>
      <c r="H483" s="5" t="s">
        <v>314</v>
      </c>
      <c r="I483" s="5" t="s">
        <v>192</v>
      </c>
      <c r="J483" s="5"/>
      <c r="K483" s="5" t="s">
        <v>192</v>
      </c>
      <c r="L483" s="5"/>
      <c r="M483" s="5"/>
      <c r="N483" s="5" t="s">
        <v>66</v>
      </c>
      <c r="O483" s="5"/>
      <c r="P483" s="6">
        <f t="shared" si="14"/>
        <v>6</v>
      </c>
      <c r="Q483" s="6" t="str">
        <f t="shared" si="15"/>
        <v>Yes</v>
      </c>
      <c r="R483" s="5" t="s">
        <v>51</v>
      </c>
      <c r="S483" s="5" t="s">
        <v>1428</v>
      </c>
      <c r="T483" s="5" t="s">
        <v>1429</v>
      </c>
      <c r="U483" s="5" t="s">
        <v>317</v>
      </c>
      <c r="V483" s="5" t="s">
        <v>1430</v>
      </c>
      <c r="W483" s="5" t="s">
        <v>43</v>
      </c>
      <c r="X483" s="5"/>
      <c r="Y483" s="5" t="s">
        <v>1431</v>
      </c>
    </row>
    <row r="484" spans="1:25" x14ac:dyDescent="0.25">
      <c r="A484" s="5" t="s">
        <v>1432</v>
      </c>
      <c r="B484" s="5"/>
      <c r="C484" s="5" t="s">
        <v>70</v>
      </c>
      <c r="D484" s="5" t="s">
        <v>44</v>
      </c>
      <c r="E484" s="5"/>
      <c r="F484" s="5"/>
      <c r="G484" s="5"/>
      <c r="H484" s="5" t="s">
        <v>205</v>
      </c>
      <c r="I484" s="5"/>
      <c r="J484" s="5"/>
      <c r="K484" s="5"/>
      <c r="L484" s="5"/>
      <c r="M484" s="5"/>
      <c r="N484" s="5" t="s">
        <v>50</v>
      </c>
      <c r="O484" s="5"/>
      <c r="P484" s="6">
        <f t="shared" si="14"/>
        <v>2</v>
      </c>
      <c r="Q484" s="6" t="str">
        <f t="shared" si="15"/>
        <v>No</v>
      </c>
      <c r="R484" s="5" t="s">
        <v>51</v>
      </c>
      <c r="S484" s="5"/>
      <c r="T484" s="5" t="s">
        <v>1433</v>
      </c>
      <c r="U484" s="5" t="s">
        <v>205</v>
      </c>
      <c r="V484" s="5"/>
      <c r="W484" s="5"/>
      <c r="X484" s="5"/>
      <c r="Y484" s="5" t="s">
        <v>189</v>
      </c>
    </row>
    <row r="485" spans="1:25" x14ac:dyDescent="0.25">
      <c r="A485" s="5" t="s">
        <v>1434</v>
      </c>
      <c r="B485" s="5"/>
      <c r="C485" s="5"/>
      <c r="D485" s="5"/>
      <c r="E485" s="5"/>
      <c r="F485" s="5"/>
      <c r="G485" s="5"/>
      <c r="H485" s="5" t="s">
        <v>260</v>
      </c>
      <c r="I485" s="5"/>
      <c r="J485" s="5"/>
      <c r="K485" s="5"/>
      <c r="L485" s="5"/>
      <c r="M485" s="5"/>
      <c r="N485" s="5" t="s">
        <v>66</v>
      </c>
      <c r="O485" s="5" t="s">
        <v>163</v>
      </c>
      <c r="P485" s="6">
        <f t="shared" si="14"/>
        <v>1</v>
      </c>
      <c r="Q485" s="6" t="str">
        <f t="shared" si="15"/>
        <v>No</v>
      </c>
      <c r="R485" s="5" t="s">
        <v>51</v>
      </c>
      <c r="S485" s="5"/>
      <c r="T485" s="5" t="s">
        <v>1435</v>
      </c>
      <c r="U485" s="5" t="s">
        <v>262</v>
      </c>
      <c r="V485" s="5"/>
      <c r="W485" s="5" t="s">
        <v>166</v>
      </c>
      <c r="X485" s="5"/>
      <c r="Y485" s="5"/>
    </row>
    <row r="486" spans="1:25" x14ac:dyDescent="0.25">
      <c r="A486" s="5" t="s">
        <v>1436</v>
      </c>
      <c r="B486" s="5"/>
      <c r="C486" s="5" t="s">
        <v>70</v>
      </c>
      <c r="D486" s="5"/>
      <c r="E486" s="5"/>
      <c r="F486" s="5"/>
      <c r="G486" s="5" t="s">
        <v>57</v>
      </c>
      <c r="H486" s="5"/>
      <c r="I486" s="5" t="s">
        <v>71</v>
      </c>
      <c r="J486" s="5" t="s">
        <v>91</v>
      </c>
      <c r="K486" s="5" t="s">
        <v>591</v>
      </c>
      <c r="L486" s="5"/>
      <c r="M486" s="5"/>
      <c r="N486" s="5" t="s">
        <v>124</v>
      </c>
      <c r="O486" s="5"/>
      <c r="P486" s="6">
        <f t="shared" si="14"/>
        <v>2</v>
      </c>
      <c r="Q486" s="6" t="str">
        <f t="shared" si="15"/>
        <v>No</v>
      </c>
      <c r="R486" s="5" t="s">
        <v>125</v>
      </c>
      <c r="S486" s="5"/>
      <c r="T486" s="5"/>
      <c r="U486" s="5"/>
      <c r="V486" s="5" t="s">
        <v>57</v>
      </c>
      <c r="W486" s="5"/>
      <c r="X486" s="5"/>
      <c r="Y486" s="5" t="s">
        <v>1280</v>
      </c>
    </row>
    <row r="487" spans="1:25" x14ac:dyDescent="0.25">
      <c r="A487" s="5" t="s">
        <v>1437</v>
      </c>
      <c r="B487" s="5"/>
      <c r="C487" s="5" t="s">
        <v>43</v>
      </c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 t="s">
        <v>66</v>
      </c>
      <c r="O487" s="5"/>
      <c r="P487" s="6">
        <f t="shared" si="14"/>
        <v>0</v>
      </c>
      <c r="Q487" s="6" t="str">
        <f t="shared" si="15"/>
        <v>No</v>
      </c>
      <c r="R487" s="5" t="s">
        <v>51</v>
      </c>
      <c r="S487" s="5"/>
      <c r="T487" s="5" t="s">
        <v>1438</v>
      </c>
      <c r="U487" s="5"/>
      <c r="V487" s="5"/>
      <c r="W487" s="5" t="s">
        <v>43</v>
      </c>
      <c r="X487" s="5"/>
      <c r="Y487" s="5"/>
    </row>
    <row r="488" spans="1:25" x14ac:dyDescent="0.25">
      <c r="A488" s="5" t="s">
        <v>1439</v>
      </c>
      <c r="B488" s="5" t="s">
        <v>1440</v>
      </c>
      <c r="C488" s="5" t="s">
        <v>70</v>
      </c>
      <c r="D488" s="5"/>
      <c r="E488" s="5" t="s">
        <v>253</v>
      </c>
      <c r="F488" s="5"/>
      <c r="G488" s="5" t="s">
        <v>57</v>
      </c>
      <c r="H488" s="5"/>
      <c r="I488" s="5" t="s">
        <v>49</v>
      </c>
      <c r="J488" s="5" t="s">
        <v>597</v>
      </c>
      <c r="K488" s="5" t="s">
        <v>1441</v>
      </c>
      <c r="L488" s="5"/>
      <c r="M488" s="5"/>
      <c r="N488" s="5" t="s">
        <v>255</v>
      </c>
      <c r="O488" s="5"/>
      <c r="P488" s="6">
        <f t="shared" si="14"/>
        <v>3</v>
      </c>
      <c r="Q488" s="6" t="str">
        <f t="shared" si="15"/>
        <v>No</v>
      </c>
      <c r="R488" s="5" t="s">
        <v>256</v>
      </c>
      <c r="S488" s="5"/>
      <c r="T488" s="5"/>
      <c r="U488" s="5"/>
      <c r="V488" s="5"/>
      <c r="W488" s="5"/>
      <c r="X488" s="5"/>
      <c r="Y488" s="5" t="s">
        <v>257</v>
      </c>
    </row>
    <row r="489" spans="1:25" x14ac:dyDescent="0.25">
      <c r="A489" s="5" t="s">
        <v>1442</v>
      </c>
      <c r="B489" s="5"/>
      <c r="C489" s="5" t="s">
        <v>43</v>
      </c>
      <c r="D489" s="5" t="s">
        <v>44</v>
      </c>
      <c r="E489" s="5" t="s">
        <v>45</v>
      </c>
      <c r="F489" s="5" t="s">
        <v>46</v>
      </c>
      <c r="G489" s="5" t="s">
        <v>47</v>
      </c>
      <c r="H489" s="5" t="s">
        <v>1133</v>
      </c>
      <c r="I489" s="5" t="s">
        <v>91</v>
      </c>
      <c r="J489" s="5"/>
      <c r="K489" s="5" t="s">
        <v>1443</v>
      </c>
      <c r="L489" s="5"/>
      <c r="M489" s="5"/>
      <c r="N489" s="5" t="s">
        <v>66</v>
      </c>
      <c r="O489" s="5"/>
      <c r="P489" s="6">
        <f t="shared" si="14"/>
        <v>6</v>
      </c>
      <c r="Q489" s="6" t="str">
        <f t="shared" si="15"/>
        <v>Yes</v>
      </c>
      <c r="R489" s="5" t="s">
        <v>51</v>
      </c>
      <c r="S489" s="5" t="s">
        <v>1444</v>
      </c>
      <c r="T489" s="5" t="s">
        <v>1445</v>
      </c>
      <c r="U489" s="5" t="s">
        <v>1133</v>
      </c>
      <c r="V489" s="5" t="s">
        <v>1446</v>
      </c>
      <c r="W489" s="5" t="s">
        <v>43</v>
      </c>
      <c r="X489" s="5" t="s">
        <v>677</v>
      </c>
      <c r="Y489" s="5" t="s">
        <v>88</v>
      </c>
    </row>
    <row r="490" spans="1:25" x14ac:dyDescent="0.25">
      <c r="A490" s="5" t="s">
        <v>1447</v>
      </c>
      <c r="B490" s="5"/>
      <c r="C490" s="5" t="s">
        <v>43</v>
      </c>
      <c r="D490" s="5" t="s">
        <v>44</v>
      </c>
      <c r="E490" s="5" t="s">
        <v>45</v>
      </c>
      <c r="F490" s="5" t="s">
        <v>46</v>
      </c>
      <c r="G490" s="5"/>
      <c r="H490" s="5" t="s">
        <v>314</v>
      </c>
      <c r="I490" s="5" t="s">
        <v>178</v>
      </c>
      <c r="J490" s="5"/>
      <c r="K490" s="5" t="s">
        <v>178</v>
      </c>
      <c r="L490" s="5"/>
      <c r="M490" s="5"/>
      <c r="N490" s="5" t="s">
        <v>66</v>
      </c>
      <c r="O490" s="5"/>
      <c r="P490" s="6">
        <f t="shared" si="14"/>
        <v>5</v>
      </c>
      <c r="Q490" s="6" t="str">
        <f t="shared" si="15"/>
        <v>No</v>
      </c>
      <c r="R490" s="5" t="s">
        <v>51</v>
      </c>
      <c r="S490" s="5"/>
      <c r="T490" s="5" t="s">
        <v>1448</v>
      </c>
      <c r="U490" s="5" t="s">
        <v>317</v>
      </c>
      <c r="V490" s="5"/>
      <c r="W490" s="5" t="s">
        <v>43</v>
      </c>
      <c r="X490" s="5"/>
      <c r="Y490" s="5" t="s">
        <v>243</v>
      </c>
    </row>
    <row r="491" spans="1:25" x14ac:dyDescent="0.25">
      <c r="A491" s="5" t="s">
        <v>1449</v>
      </c>
      <c r="B491" s="5" t="s">
        <v>1450</v>
      </c>
      <c r="C491" s="5" t="s">
        <v>43</v>
      </c>
      <c r="D491" s="5" t="s">
        <v>76</v>
      </c>
      <c r="E491" s="5" t="s">
        <v>45</v>
      </c>
      <c r="F491" s="5" t="s">
        <v>107</v>
      </c>
      <c r="G491" s="5" t="s">
        <v>57</v>
      </c>
      <c r="H491" s="5" t="s">
        <v>272</v>
      </c>
      <c r="I491" s="5" t="s">
        <v>192</v>
      </c>
      <c r="J491" s="5" t="s">
        <v>49</v>
      </c>
      <c r="K491" s="5" t="s">
        <v>1451</v>
      </c>
      <c r="L491" s="5"/>
      <c r="M491" s="5"/>
      <c r="N491" s="5" t="s">
        <v>110</v>
      </c>
      <c r="O491" s="5" t="s">
        <v>1452</v>
      </c>
      <c r="P491" s="6">
        <f t="shared" si="14"/>
        <v>6</v>
      </c>
      <c r="Q491" s="6" t="str">
        <f t="shared" si="15"/>
        <v>Yes</v>
      </c>
      <c r="R491" s="5" t="s">
        <v>112</v>
      </c>
      <c r="S491" s="5" t="s">
        <v>937</v>
      </c>
      <c r="T491" s="5" t="s">
        <v>1453</v>
      </c>
      <c r="U491" s="5" t="s">
        <v>1454</v>
      </c>
      <c r="V491" s="5" t="s">
        <v>939</v>
      </c>
      <c r="W491" s="5" t="s">
        <v>43</v>
      </c>
      <c r="X491" s="5" t="s">
        <v>269</v>
      </c>
      <c r="Y491" s="5" t="s">
        <v>1455</v>
      </c>
    </row>
    <row r="492" spans="1:25" x14ac:dyDescent="0.25">
      <c r="A492" s="5" t="s">
        <v>1456</v>
      </c>
      <c r="B492" s="5"/>
      <c r="C492" s="5" t="s">
        <v>43</v>
      </c>
      <c r="D492" s="5" t="s">
        <v>44</v>
      </c>
      <c r="E492" s="5" t="s">
        <v>45</v>
      </c>
      <c r="F492" s="5" t="s">
        <v>46</v>
      </c>
      <c r="G492" s="5" t="s">
        <v>57</v>
      </c>
      <c r="H492" s="5" t="s">
        <v>58</v>
      </c>
      <c r="I492" s="5"/>
      <c r="J492" s="5"/>
      <c r="K492" s="5"/>
      <c r="L492" s="5"/>
      <c r="M492" s="5"/>
      <c r="N492" s="5" t="s">
        <v>66</v>
      </c>
      <c r="O492" s="5"/>
      <c r="P492" s="6">
        <f t="shared" si="14"/>
        <v>5</v>
      </c>
      <c r="Q492" s="6" t="str">
        <f t="shared" si="15"/>
        <v>No</v>
      </c>
      <c r="R492" s="5" t="s">
        <v>51</v>
      </c>
      <c r="S492" s="5"/>
      <c r="T492" s="5" t="s">
        <v>1457</v>
      </c>
      <c r="U492" s="5" t="s">
        <v>63</v>
      </c>
      <c r="V492" s="5" t="s">
        <v>57</v>
      </c>
      <c r="W492" s="5" t="s">
        <v>43</v>
      </c>
      <c r="X492" s="5"/>
      <c r="Y492" s="5"/>
    </row>
    <row r="493" spans="1:25" x14ac:dyDescent="0.25">
      <c r="A493" s="5" t="s">
        <v>1458</v>
      </c>
      <c r="B493" s="5"/>
      <c r="C493" s="5" t="s">
        <v>43</v>
      </c>
      <c r="D493" s="5"/>
      <c r="E493" s="5" t="s">
        <v>45</v>
      </c>
      <c r="F493" s="5" t="s">
        <v>107</v>
      </c>
      <c r="G493" s="5" t="s">
        <v>47</v>
      </c>
      <c r="H493" s="5"/>
      <c r="I493" s="5"/>
      <c r="J493" s="5"/>
      <c r="K493" s="5"/>
      <c r="L493" s="5"/>
      <c r="M493" s="5"/>
      <c r="N493" s="5" t="s">
        <v>66</v>
      </c>
      <c r="O493" s="5"/>
      <c r="P493" s="6">
        <f t="shared" si="14"/>
        <v>3</v>
      </c>
      <c r="Q493" s="6" t="str">
        <f t="shared" si="15"/>
        <v>No</v>
      </c>
      <c r="R493" s="5" t="s">
        <v>51</v>
      </c>
      <c r="S493" s="5" t="s">
        <v>1459</v>
      </c>
      <c r="T493" s="5"/>
      <c r="U493" s="5"/>
      <c r="V493" s="5" t="s">
        <v>67</v>
      </c>
      <c r="W493" s="5" t="s">
        <v>43</v>
      </c>
      <c r="X493" s="5"/>
      <c r="Y493" s="5" t="s">
        <v>394</v>
      </c>
    </row>
    <row r="494" spans="1:25" x14ac:dyDescent="0.25">
      <c r="A494" s="5" t="s">
        <v>1460</v>
      </c>
      <c r="B494" s="5"/>
      <c r="C494" s="5" t="s">
        <v>128</v>
      </c>
      <c r="D494" s="5"/>
      <c r="E494" s="5"/>
      <c r="F494" s="5"/>
      <c r="G494" s="5" t="s">
        <v>57</v>
      </c>
      <c r="H494" s="5"/>
      <c r="I494" s="5"/>
      <c r="J494" s="5"/>
      <c r="K494" s="5"/>
      <c r="L494" s="5"/>
      <c r="M494" s="5"/>
      <c r="N494" s="5" t="s">
        <v>66</v>
      </c>
      <c r="O494" s="5"/>
      <c r="P494" s="6">
        <f t="shared" si="14"/>
        <v>1</v>
      </c>
      <c r="Q494" s="6" t="str">
        <f t="shared" si="15"/>
        <v>No</v>
      </c>
      <c r="R494" s="5" t="s">
        <v>51</v>
      </c>
      <c r="S494" s="5"/>
      <c r="T494" s="5"/>
      <c r="U494" s="5"/>
      <c r="V494" s="5" t="s">
        <v>57</v>
      </c>
      <c r="W494" s="5" t="s">
        <v>128</v>
      </c>
      <c r="X494" s="5" t="s">
        <v>294</v>
      </c>
      <c r="Y494" s="5"/>
    </row>
    <row r="495" spans="1:25" x14ac:dyDescent="0.25">
      <c r="A495" s="5" t="s">
        <v>1461</v>
      </c>
      <c r="B495" s="5"/>
      <c r="C495" s="5"/>
      <c r="D495" s="5"/>
      <c r="E495" s="5" t="s">
        <v>45</v>
      </c>
      <c r="F495" s="5" t="s">
        <v>46</v>
      </c>
      <c r="G495" s="5"/>
      <c r="H495" s="5" t="s">
        <v>77</v>
      </c>
      <c r="I495" s="5" t="s">
        <v>91</v>
      </c>
      <c r="J495" s="5" t="s">
        <v>71</v>
      </c>
      <c r="K495" s="5" t="s">
        <v>1462</v>
      </c>
      <c r="L495" s="5"/>
      <c r="M495" s="5"/>
      <c r="N495" s="5" t="s">
        <v>66</v>
      </c>
      <c r="O495" s="5" t="s">
        <v>103</v>
      </c>
      <c r="P495" s="6">
        <f t="shared" si="14"/>
        <v>4</v>
      </c>
      <c r="Q495" s="6" t="str">
        <f t="shared" si="15"/>
        <v>No</v>
      </c>
      <c r="R495" s="5" t="s">
        <v>51</v>
      </c>
      <c r="S495" s="5" t="s">
        <v>1463</v>
      </c>
      <c r="T495" s="5" t="s">
        <v>1464</v>
      </c>
      <c r="U495" s="5" t="s">
        <v>77</v>
      </c>
      <c r="V495" s="5"/>
      <c r="W495" s="5" t="s">
        <v>105</v>
      </c>
      <c r="X495" s="5"/>
      <c r="Y495" s="5" t="s">
        <v>167</v>
      </c>
    </row>
    <row r="496" spans="1:25" x14ac:dyDescent="0.25">
      <c r="A496" s="5" t="s">
        <v>1465</v>
      </c>
      <c r="B496" s="5"/>
      <c r="C496" s="5" t="s">
        <v>43</v>
      </c>
      <c r="D496" s="5"/>
      <c r="E496" s="5" t="s">
        <v>45</v>
      </c>
      <c r="F496" s="5" t="s">
        <v>107</v>
      </c>
      <c r="G496" s="5" t="s">
        <v>47</v>
      </c>
      <c r="H496" s="5"/>
      <c r="I496" s="5"/>
      <c r="J496" s="5"/>
      <c r="K496" s="5"/>
      <c r="L496" s="5"/>
      <c r="M496" s="5"/>
      <c r="N496" s="5" t="s">
        <v>66</v>
      </c>
      <c r="O496" s="5"/>
      <c r="P496" s="6">
        <f t="shared" si="14"/>
        <v>3</v>
      </c>
      <c r="Q496" s="6" t="str">
        <f t="shared" si="15"/>
        <v>No</v>
      </c>
      <c r="R496" s="5" t="s">
        <v>51</v>
      </c>
      <c r="S496" s="5" t="s">
        <v>1466</v>
      </c>
      <c r="T496" s="5"/>
      <c r="U496" s="5"/>
      <c r="V496" s="5" t="s">
        <v>67</v>
      </c>
      <c r="W496" s="5" t="s">
        <v>43</v>
      </c>
      <c r="X496" s="5" t="s">
        <v>68</v>
      </c>
      <c r="Y496" s="5" t="s">
        <v>394</v>
      </c>
    </row>
    <row r="497" spans="1:25" x14ac:dyDescent="0.25">
      <c r="A497" s="5" t="s">
        <v>1467</v>
      </c>
      <c r="B497" s="5"/>
      <c r="C497" s="5" t="s">
        <v>70</v>
      </c>
      <c r="D497" s="5" t="s">
        <v>44</v>
      </c>
      <c r="E497" s="5"/>
      <c r="F497" s="5"/>
      <c r="G497" s="5" t="s">
        <v>47</v>
      </c>
      <c r="H497" s="5" t="s">
        <v>314</v>
      </c>
      <c r="I497" s="5" t="s">
        <v>123</v>
      </c>
      <c r="J497" s="5" t="s">
        <v>91</v>
      </c>
      <c r="K497" s="5" t="s">
        <v>1468</v>
      </c>
      <c r="L497" s="5"/>
      <c r="M497" s="5"/>
      <c r="N497" s="5" t="s">
        <v>124</v>
      </c>
      <c r="O497" s="5"/>
      <c r="P497" s="6">
        <f t="shared" si="14"/>
        <v>4</v>
      </c>
      <c r="Q497" s="6" t="str">
        <f t="shared" si="15"/>
        <v>No</v>
      </c>
      <c r="R497" s="5" t="s">
        <v>125</v>
      </c>
      <c r="S497" s="5" t="s">
        <v>138</v>
      </c>
      <c r="T497" s="5"/>
      <c r="U497" s="5" t="s">
        <v>314</v>
      </c>
      <c r="V497" s="5" t="s">
        <v>47</v>
      </c>
      <c r="W497" s="5"/>
      <c r="X497" s="5"/>
      <c r="Y497" s="5" t="s">
        <v>286</v>
      </c>
    </row>
    <row r="498" spans="1:25" x14ac:dyDescent="0.25">
      <c r="A498" s="5" t="s">
        <v>1469</v>
      </c>
      <c r="B498" s="5"/>
      <c r="C498" s="5"/>
      <c r="D498" s="5"/>
      <c r="E498" s="5" t="s">
        <v>45</v>
      </c>
      <c r="F498" s="5" t="s">
        <v>107</v>
      </c>
      <c r="G498" s="5"/>
      <c r="H498" s="5" t="s">
        <v>77</v>
      </c>
      <c r="I498" s="5" t="s">
        <v>119</v>
      </c>
      <c r="J498" s="5" t="s">
        <v>72</v>
      </c>
      <c r="K498" s="5" t="s">
        <v>1470</v>
      </c>
      <c r="L498" s="5"/>
      <c r="M498" s="5"/>
      <c r="N498" s="5" t="s">
        <v>66</v>
      </c>
      <c r="O498" s="5" t="s">
        <v>103</v>
      </c>
      <c r="P498" s="6">
        <f t="shared" si="14"/>
        <v>4</v>
      </c>
      <c r="Q498" s="6" t="str">
        <f t="shared" si="15"/>
        <v>No</v>
      </c>
      <c r="R498" s="5" t="s">
        <v>51</v>
      </c>
      <c r="S498" s="5" t="s">
        <v>1471</v>
      </c>
      <c r="T498" s="5" t="s">
        <v>1472</v>
      </c>
      <c r="U498" s="5" t="s">
        <v>77</v>
      </c>
      <c r="V498" s="5"/>
      <c r="W498" s="5" t="s">
        <v>105</v>
      </c>
      <c r="X498" s="5"/>
      <c r="Y498" s="5" t="s">
        <v>203</v>
      </c>
    </row>
    <row r="499" spans="1:25" x14ac:dyDescent="0.25">
      <c r="A499" s="5" t="s">
        <v>1473</v>
      </c>
      <c r="B499" s="5"/>
      <c r="C499" s="5" t="s">
        <v>128</v>
      </c>
      <c r="D499" s="5"/>
      <c r="E499" s="5"/>
      <c r="F499" s="5"/>
      <c r="G499" s="5" t="s">
        <v>57</v>
      </c>
      <c r="H499" s="5"/>
      <c r="I499" s="5"/>
      <c r="J499" s="5"/>
      <c r="K499" s="5"/>
      <c r="L499" s="5"/>
      <c r="M499" s="5"/>
      <c r="N499" s="5" t="s">
        <v>66</v>
      </c>
      <c r="O499" s="5"/>
      <c r="P499" s="6">
        <f t="shared" si="14"/>
        <v>1</v>
      </c>
      <c r="Q499" s="6" t="str">
        <f t="shared" si="15"/>
        <v>No</v>
      </c>
      <c r="R499" s="5" t="s">
        <v>51</v>
      </c>
      <c r="S499" s="5"/>
      <c r="T499" s="5"/>
      <c r="U499" s="5"/>
      <c r="V499" s="5" t="s">
        <v>57</v>
      </c>
      <c r="W499" s="5" t="s">
        <v>128</v>
      </c>
      <c r="X499" s="5" t="s">
        <v>1474</v>
      </c>
      <c r="Y499" s="5"/>
    </row>
    <row r="500" spans="1:25" x14ac:dyDescent="0.25">
      <c r="A500" s="5" t="s">
        <v>1475</v>
      </c>
      <c r="B500" s="5"/>
      <c r="C500" s="5" t="s">
        <v>70</v>
      </c>
      <c r="D500" s="5" t="s">
        <v>44</v>
      </c>
      <c r="E500" s="5"/>
      <c r="F500" s="5"/>
      <c r="G500" s="5" t="s">
        <v>57</v>
      </c>
      <c r="H500" s="5" t="s">
        <v>314</v>
      </c>
      <c r="I500" s="5" t="s">
        <v>72</v>
      </c>
      <c r="J500" s="5" t="s">
        <v>1476</v>
      </c>
      <c r="K500" s="5" t="s">
        <v>1477</v>
      </c>
      <c r="L500" s="5"/>
      <c r="M500" s="5"/>
      <c r="N500" s="5" t="s">
        <v>124</v>
      </c>
      <c r="O500" s="5"/>
      <c r="P500" s="6">
        <f t="shared" si="14"/>
        <v>4</v>
      </c>
      <c r="Q500" s="6" t="str">
        <f t="shared" si="15"/>
        <v>No</v>
      </c>
      <c r="R500" s="5" t="s">
        <v>125</v>
      </c>
      <c r="S500" s="5" t="s">
        <v>138</v>
      </c>
      <c r="T500" s="5"/>
      <c r="U500" s="5" t="s">
        <v>314</v>
      </c>
      <c r="V500" s="5" t="s">
        <v>57</v>
      </c>
      <c r="W500" s="5"/>
      <c r="X500" s="5"/>
      <c r="Y500" s="5" t="s">
        <v>286</v>
      </c>
    </row>
    <row r="501" spans="1:25" x14ac:dyDescent="0.25">
      <c r="A501" s="5" t="s">
        <v>1478</v>
      </c>
      <c r="B501" s="5"/>
      <c r="C501" s="5"/>
      <c r="D501" s="5"/>
      <c r="E501" s="5" t="s">
        <v>45</v>
      </c>
      <c r="F501" s="5" t="s">
        <v>107</v>
      </c>
      <c r="G501" s="5"/>
      <c r="H501" s="5" t="s">
        <v>90</v>
      </c>
      <c r="I501" s="5"/>
      <c r="J501" s="5"/>
      <c r="K501" s="5"/>
      <c r="L501" s="5"/>
      <c r="M501" s="5"/>
      <c r="N501" s="5" t="s">
        <v>66</v>
      </c>
      <c r="O501" s="5" t="s">
        <v>103</v>
      </c>
      <c r="P501" s="6">
        <f t="shared" si="14"/>
        <v>3</v>
      </c>
      <c r="Q501" s="6" t="str">
        <f t="shared" si="15"/>
        <v>No</v>
      </c>
      <c r="R501" s="5" t="s">
        <v>51</v>
      </c>
      <c r="S501" s="5" t="s">
        <v>1479</v>
      </c>
      <c r="T501" s="5" t="s">
        <v>1480</v>
      </c>
      <c r="U501" s="5" t="s">
        <v>90</v>
      </c>
      <c r="V501" s="5"/>
      <c r="W501" s="5" t="s">
        <v>105</v>
      </c>
      <c r="X501" s="5"/>
      <c r="Y501" s="5" t="s">
        <v>1481</v>
      </c>
    </row>
    <row r="502" spans="1:25" x14ac:dyDescent="0.25">
      <c r="A502" s="5" t="s">
        <v>1482</v>
      </c>
      <c r="B502" s="5"/>
      <c r="C502" s="5" t="s">
        <v>128</v>
      </c>
      <c r="D502" s="5"/>
      <c r="E502" s="5"/>
      <c r="F502" s="5"/>
      <c r="G502" s="5" t="s">
        <v>57</v>
      </c>
      <c r="H502" s="5" t="s">
        <v>565</v>
      </c>
      <c r="I502" s="5"/>
      <c r="J502" s="5"/>
      <c r="K502" s="5"/>
      <c r="L502" s="5"/>
      <c r="M502" s="5"/>
      <c r="N502" s="5" t="s">
        <v>66</v>
      </c>
      <c r="O502" s="5"/>
      <c r="P502" s="6">
        <f t="shared" si="14"/>
        <v>2</v>
      </c>
      <c r="Q502" s="6" t="str">
        <f t="shared" si="15"/>
        <v>No</v>
      </c>
      <c r="R502" s="5" t="s">
        <v>51</v>
      </c>
      <c r="S502" s="5"/>
      <c r="T502" s="5"/>
      <c r="U502" s="5" t="s">
        <v>565</v>
      </c>
      <c r="V502" s="5" t="s">
        <v>57</v>
      </c>
      <c r="W502" s="5" t="s">
        <v>128</v>
      </c>
      <c r="X502" s="5" t="s">
        <v>130</v>
      </c>
      <c r="Y502" s="5"/>
    </row>
    <row r="503" spans="1:25" x14ac:dyDescent="0.25">
      <c r="A503" s="5" t="s">
        <v>1483</v>
      </c>
      <c r="B503" s="5"/>
      <c r="C503" s="5" t="s">
        <v>70</v>
      </c>
      <c r="D503" s="5" t="s">
        <v>76</v>
      </c>
      <c r="E503" s="5"/>
      <c r="F503" s="5"/>
      <c r="G503" s="5"/>
      <c r="H503" s="5" t="s">
        <v>77</v>
      </c>
      <c r="I503" s="5"/>
      <c r="J503" s="5"/>
      <c r="K503" s="5"/>
      <c r="L503" s="5"/>
      <c r="M503" s="5"/>
      <c r="N503" s="5" t="s">
        <v>50</v>
      </c>
      <c r="O503" s="5"/>
      <c r="P503" s="6">
        <f t="shared" si="14"/>
        <v>2</v>
      </c>
      <c r="Q503" s="6" t="str">
        <f t="shared" si="15"/>
        <v>No</v>
      </c>
      <c r="R503" s="5" t="s">
        <v>51</v>
      </c>
      <c r="S503" s="5"/>
      <c r="T503" s="5"/>
      <c r="U503" s="5" t="s">
        <v>77</v>
      </c>
      <c r="V503" s="5"/>
      <c r="W503" s="5"/>
      <c r="X503" s="5"/>
      <c r="Y503" s="5" t="s">
        <v>189</v>
      </c>
    </row>
    <row r="504" spans="1:25" x14ac:dyDescent="0.25">
      <c r="A504" s="5" t="s">
        <v>1484</v>
      </c>
      <c r="B504" s="5"/>
      <c r="C504" s="5" t="s">
        <v>43</v>
      </c>
      <c r="D504" s="5" t="s">
        <v>44</v>
      </c>
      <c r="E504" s="5" t="s">
        <v>45</v>
      </c>
      <c r="F504" s="5" t="s">
        <v>107</v>
      </c>
      <c r="G504" s="5"/>
      <c r="H504" s="5" t="s">
        <v>664</v>
      </c>
      <c r="I504" s="5" t="s">
        <v>119</v>
      </c>
      <c r="J504" s="5"/>
      <c r="K504" s="5" t="s">
        <v>119</v>
      </c>
      <c r="L504" s="5"/>
      <c r="M504" s="5"/>
      <c r="N504" s="5" t="s">
        <v>50</v>
      </c>
      <c r="O504" s="5"/>
      <c r="P504" s="6">
        <f t="shared" si="14"/>
        <v>5</v>
      </c>
      <c r="Q504" s="6" t="str">
        <f t="shared" si="15"/>
        <v>No</v>
      </c>
      <c r="R504" s="5" t="s">
        <v>51</v>
      </c>
      <c r="S504" s="5" t="s">
        <v>1485</v>
      </c>
      <c r="T504" s="5" t="s">
        <v>1486</v>
      </c>
      <c r="U504" s="5" t="s">
        <v>664</v>
      </c>
      <c r="V504" s="5"/>
      <c r="W504" s="5" t="s">
        <v>43</v>
      </c>
      <c r="X504" s="5" t="s">
        <v>452</v>
      </c>
      <c r="Y504" s="5" t="s">
        <v>348</v>
      </c>
    </row>
    <row r="505" spans="1:25" x14ac:dyDescent="0.25">
      <c r="A505" s="5" t="s">
        <v>1487</v>
      </c>
      <c r="B505" s="5"/>
      <c r="C505" s="5"/>
      <c r="D505" s="5"/>
      <c r="E505" s="5"/>
      <c r="F505" s="5"/>
      <c r="G505" s="5"/>
      <c r="H505" s="5" t="s">
        <v>378</v>
      </c>
      <c r="I505" s="5" t="s">
        <v>91</v>
      </c>
      <c r="J505" s="5" t="s">
        <v>1488</v>
      </c>
      <c r="K505" s="5" t="s">
        <v>1489</v>
      </c>
      <c r="L505" s="5"/>
      <c r="M505" s="5"/>
      <c r="N505" s="5" t="s">
        <v>66</v>
      </c>
      <c r="O505" s="5" t="s">
        <v>103</v>
      </c>
      <c r="P505" s="6">
        <f t="shared" si="14"/>
        <v>2</v>
      </c>
      <c r="Q505" s="6" t="str">
        <f t="shared" si="15"/>
        <v>No</v>
      </c>
      <c r="R505" s="5" t="s">
        <v>51</v>
      </c>
      <c r="S505" s="5"/>
      <c r="T505" s="5" t="s">
        <v>1490</v>
      </c>
      <c r="U505" s="5" t="s">
        <v>378</v>
      </c>
      <c r="V505" s="5"/>
      <c r="W505" s="5" t="s">
        <v>105</v>
      </c>
      <c r="X505" s="5"/>
      <c r="Y505" s="5"/>
    </row>
    <row r="506" spans="1:25" x14ac:dyDescent="0.25">
      <c r="A506" s="5" t="s">
        <v>1491</v>
      </c>
      <c r="B506" s="5"/>
      <c r="C506" s="5" t="s">
        <v>43</v>
      </c>
      <c r="D506" s="5" t="s">
        <v>44</v>
      </c>
      <c r="E506" s="5"/>
      <c r="F506" s="5"/>
      <c r="G506" s="5"/>
      <c r="H506" s="5" t="s">
        <v>132</v>
      </c>
      <c r="I506" s="5" t="s">
        <v>192</v>
      </c>
      <c r="J506" s="5"/>
      <c r="K506" s="5" t="s">
        <v>192</v>
      </c>
      <c r="L506" s="5"/>
      <c r="M506" s="5"/>
      <c r="N506" s="5" t="s">
        <v>50</v>
      </c>
      <c r="O506" s="5"/>
      <c r="P506" s="6">
        <f t="shared" si="14"/>
        <v>3</v>
      </c>
      <c r="Q506" s="6" t="str">
        <f t="shared" si="15"/>
        <v>No</v>
      </c>
      <c r="R506" s="5" t="s">
        <v>51</v>
      </c>
      <c r="S506" s="5"/>
      <c r="T506" s="5" t="s">
        <v>1492</v>
      </c>
      <c r="U506" s="5" t="s">
        <v>132</v>
      </c>
      <c r="V506" s="5"/>
      <c r="W506" s="5" t="s">
        <v>43</v>
      </c>
      <c r="X506" s="5"/>
      <c r="Y506" s="5" t="s">
        <v>353</v>
      </c>
    </row>
    <row r="507" spans="1:25" x14ac:dyDescent="0.25">
      <c r="A507" s="5" t="s">
        <v>1493</v>
      </c>
      <c r="B507" s="5"/>
      <c r="C507" s="5" t="s">
        <v>128</v>
      </c>
      <c r="D507" s="5"/>
      <c r="E507" s="5"/>
      <c r="F507" s="5"/>
      <c r="G507" s="5" t="s">
        <v>57</v>
      </c>
      <c r="H507" s="5" t="s">
        <v>1422</v>
      </c>
      <c r="I507" s="5"/>
      <c r="J507" s="5"/>
      <c r="K507" s="5"/>
      <c r="L507" s="5"/>
      <c r="M507" s="5"/>
      <c r="N507" s="5" t="s">
        <v>66</v>
      </c>
      <c r="O507" s="5"/>
      <c r="P507" s="6">
        <f t="shared" si="14"/>
        <v>2</v>
      </c>
      <c r="Q507" s="6" t="str">
        <f t="shared" si="15"/>
        <v>No</v>
      </c>
      <c r="R507" s="5" t="s">
        <v>51</v>
      </c>
      <c r="S507" s="5"/>
      <c r="T507" s="5"/>
      <c r="U507" s="5" t="s">
        <v>1422</v>
      </c>
      <c r="V507" s="5" t="s">
        <v>57</v>
      </c>
      <c r="W507" s="5" t="s">
        <v>128</v>
      </c>
      <c r="X507" s="5" t="s">
        <v>1423</v>
      </c>
      <c r="Y507" s="5"/>
    </row>
    <row r="508" spans="1:25" x14ac:dyDescent="0.25">
      <c r="A508" s="5" t="s">
        <v>1494</v>
      </c>
      <c r="B508" s="5"/>
      <c r="C508" s="5" t="s">
        <v>43</v>
      </c>
      <c r="D508" s="5" t="s">
        <v>44</v>
      </c>
      <c r="E508" s="5"/>
      <c r="F508" s="5"/>
      <c r="G508" s="5" t="s">
        <v>57</v>
      </c>
      <c r="H508" s="5" t="s">
        <v>439</v>
      </c>
      <c r="I508" s="5"/>
      <c r="J508" s="5"/>
      <c r="K508" s="5"/>
      <c r="L508" s="5"/>
      <c r="M508" s="5"/>
      <c r="N508" s="5" t="s">
        <v>50</v>
      </c>
      <c r="O508" s="5"/>
      <c r="P508" s="6">
        <f t="shared" si="14"/>
        <v>3</v>
      </c>
      <c r="Q508" s="6" t="str">
        <f t="shared" si="15"/>
        <v>No</v>
      </c>
      <c r="R508" s="5" t="s">
        <v>51</v>
      </c>
      <c r="S508" s="5"/>
      <c r="T508" s="5" t="s">
        <v>1495</v>
      </c>
      <c r="U508" s="5" t="s">
        <v>439</v>
      </c>
      <c r="V508" s="5"/>
      <c r="W508" s="5" t="s">
        <v>43</v>
      </c>
      <c r="X508" s="5"/>
      <c r="Y508" s="5" t="s">
        <v>64</v>
      </c>
    </row>
    <row r="509" spans="1:25" x14ac:dyDescent="0.25">
      <c r="A509" s="5" t="s">
        <v>1496</v>
      </c>
      <c r="B509" s="5"/>
      <c r="C509" s="5" t="s">
        <v>70</v>
      </c>
      <c r="D509" s="5" t="s">
        <v>76</v>
      </c>
      <c r="E509" s="5"/>
      <c r="F509" s="5"/>
      <c r="G509" s="5"/>
      <c r="H509" s="5" t="s">
        <v>77</v>
      </c>
      <c r="I509" s="5" t="s">
        <v>49</v>
      </c>
      <c r="J509" s="5"/>
      <c r="K509" s="5" t="s">
        <v>49</v>
      </c>
      <c r="L509" s="5"/>
      <c r="M509" s="5"/>
      <c r="N509" s="5" t="s">
        <v>50</v>
      </c>
      <c r="O509" s="5" t="s">
        <v>225</v>
      </c>
      <c r="P509" s="6">
        <f t="shared" si="14"/>
        <v>3</v>
      </c>
      <c r="Q509" s="6" t="str">
        <f t="shared" si="15"/>
        <v>No</v>
      </c>
      <c r="R509" s="5" t="s">
        <v>51</v>
      </c>
      <c r="S509" s="5"/>
      <c r="T509" s="5" t="s">
        <v>1497</v>
      </c>
      <c r="U509" s="5" t="s">
        <v>115</v>
      </c>
      <c r="V509" s="5"/>
      <c r="W509" s="5"/>
      <c r="X509" s="5"/>
      <c r="Y509" s="5" t="s">
        <v>328</v>
      </c>
    </row>
    <row r="510" spans="1:25" x14ac:dyDescent="0.25">
      <c r="A510" s="5" t="s">
        <v>1498</v>
      </c>
      <c r="B510" s="5"/>
      <c r="C510" s="5" t="s">
        <v>43</v>
      </c>
      <c r="D510" s="5" t="s">
        <v>44</v>
      </c>
      <c r="E510" s="5" t="s">
        <v>45</v>
      </c>
      <c r="F510" s="5" t="s">
        <v>107</v>
      </c>
      <c r="G510" s="5" t="s">
        <v>47</v>
      </c>
      <c r="H510" s="5" t="s">
        <v>1133</v>
      </c>
      <c r="I510" s="5" t="s">
        <v>123</v>
      </c>
      <c r="J510" s="5" t="s">
        <v>71</v>
      </c>
      <c r="K510" s="5" t="s">
        <v>1499</v>
      </c>
      <c r="L510" s="5"/>
      <c r="M510" s="5"/>
      <c r="N510" s="5" t="s">
        <v>50</v>
      </c>
      <c r="O510" s="5"/>
      <c r="P510" s="6">
        <f t="shared" si="14"/>
        <v>6</v>
      </c>
      <c r="Q510" s="6" t="str">
        <f t="shared" si="15"/>
        <v>Yes</v>
      </c>
      <c r="R510" s="5" t="s">
        <v>51</v>
      </c>
      <c r="S510" s="5" t="s">
        <v>1500</v>
      </c>
      <c r="T510" s="5" t="s">
        <v>1501</v>
      </c>
      <c r="U510" s="5" t="s">
        <v>1133</v>
      </c>
      <c r="V510" s="5"/>
      <c r="W510" s="5" t="s">
        <v>43</v>
      </c>
      <c r="X510" s="5" t="s">
        <v>87</v>
      </c>
      <c r="Y510" s="5" t="s">
        <v>101</v>
      </c>
    </row>
    <row r="511" spans="1:25" x14ac:dyDescent="0.25">
      <c r="A511" s="5" t="s">
        <v>1502</v>
      </c>
      <c r="B511" s="5"/>
      <c r="C511" s="5" t="s">
        <v>128</v>
      </c>
      <c r="D511" s="5"/>
      <c r="E511" s="5"/>
      <c r="F511" s="5"/>
      <c r="G511" s="5"/>
      <c r="H511" s="5"/>
      <c r="I511" s="5" t="s">
        <v>49</v>
      </c>
      <c r="J511" s="5"/>
      <c r="K511" s="5" t="s">
        <v>49</v>
      </c>
      <c r="L511" s="5"/>
      <c r="M511" s="5"/>
      <c r="N511" s="5" t="s">
        <v>66</v>
      </c>
      <c r="O511" s="5"/>
      <c r="P511" s="6">
        <f t="shared" si="14"/>
        <v>1</v>
      </c>
      <c r="Q511" s="6" t="str">
        <f t="shared" si="15"/>
        <v>No</v>
      </c>
      <c r="R511" s="5" t="s">
        <v>51</v>
      </c>
      <c r="S511" s="5"/>
      <c r="T511" s="5" t="s">
        <v>1503</v>
      </c>
      <c r="U511" s="5"/>
      <c r="V511" s="5"/>
      <c r="W511" s="5" t="s">
        <v>320</v>
      </c>
      <c r="X511" s="5" t="s">
        <v>545</v>
      </c>
      <c r="Y511" s="5"/>
    </row>
    <row r="512" spans="1:25" x14ac:dyDescent="0.25">
      <c r="A512" s="5" t="s">
        <v>1504</v>
      </c>
      <c r="B512" s="5"/>
      <c r="C512" s="5" t="s">
        <v>70</v>
      </c>
      <c r="D512" s="5" t="s">
        <v>44</v>
      </c>
      <c r="E512" s="5"/>
      <c r="F512" s="5"/>
      <c r="G512" s="5"/>
      <c r="H512" s="5" t="s">
        <v>1133</v>
      </c>
      <c r="I512" s="5"/>
      <c r="J512" s="5"/>
      <c r="K512" s="5"/>
      <c r="L512" s="5"/>
      <c r="M512" s="5"/>
      <c r="N512" s="5" t="s">
        <v>50</v>
      </c>
      <c r="O512" s="5"/>
      <c r="P512" s="6">
        <f t="shared" si="14"/>
        <v>2</v>
      </c>
      <c r="Q512" s="6" t="str">
        <f t="shared" si="15"/>
        <v>No</v>
      </c>
      <c r="R512" s="5" t="s">
        <v>51</v>
      </c>
      <c r="S512" s="5"/>
      <c r="T512" s="5"/>
      <c r="U512" s="5" t="s">
        <v>1133</v>
      </c>
      <c r="V512" s="5"/>
      <c r="W512" s="5"/>
      <c r="X512" s="5" t="s">
        <v>87</v>
      </c>
      <c r="Y512" s="5" t="s">
        <v>189</v>
      </c>
    </row>
    <row r="513" spans="1:25" x14ac:dyDescent="0.25">
      <c r="A513" s="5" t="s">
        <v>1505</v>
      </c>
      <c r="B513" s="5" t="s">
        <v>1506</v>
      </c>
      <c r="C513" s="5" t="s">
        <v>43</v>
      </c>
      <c r="D513" s="5" t="s">
        <v>44</v>
      </c>
      <c r="E513" s="5"/>
      <c r="F513" s="5" t="s">
        <v>107</v>
      </c>
      <c r="G513" s="5"/>
      <c r="H513" s="5" t="s">
        <v>647</v>
      </c>
      <c r="I513" s="5" t="s">
        <v>192</v>
      </c>
      <c r="J513" s="5"/>
      <c r="K513" s="5" t="s">
        <v>192</v>
      </c>
      <c r="L513" s="5"/>
      <c r="M513" s="5"/>
      <c r="N513" s="5" t="s">
        <v>50</v>
      </c>
      <c r="O513" s="5"/>
      <c r="P513" s="6">
        <f t="shared" si="14"/>
        <v>4</v>
      </c>
      <c r="Q513" s="6" t="str">
        <f t="shared" si="15"/>
        <v>No</v>
      </c>
      <c r="R513" s="5" t="s">
        <v>51</v>
      </c>
      <c r="S513" s="5"/>
      <c r="T513" s="5" t="s">
        <v>1507</v>
      </c>
      <c r="U513" s="5" t="s">
        <v>647</v>
      </c>
      <c r="V513" s="5"/>
      <c r="W513" s="5" t="s">
        <v>43</v>
      </c>
      <c r="X513" s="5"/>
      <c r="Y513" s="5" t="s">
        <v>593</v>
      </c>
    </row>
    <row r="514" spans="1:25" x14ac:dyDescent="0.25">
      <c r="A514" s="5" t="s">
        <v>1508</v>
      </c>
      <c r="B514" s="5"/>
      <c r="C514" s="5" t="s">
        <v>70</v>
      </c>
      <c r="D514" s="5" t="s">
        <v>76</v>
      </c>
      <c r="E514" s="5"/>
      <c r="F514" s="5"/>
      <c r="G514" s="5" t="s">
        <v>47</v>
      </c>
      <c r="H514" s="5" t="s">
        <v>77</v>
      </c>
      <c r="I514" s="5"/>
      <c r="J514" s="5"/>
      <c r="K514" s="5"/>
      <c r="L514" s="5"/>
      <c r="M514" s="5"/>
      <c r="N514" s="5" t="s">
        <v>50</v>
      </c>
      <c r="O514" s="5"/>
      <c r="P514" s="6">
        <f t="shared" ref="P514:P577" si="16">IF(A514="","",COUNTA(D514:F514)+COUNTA(G514:G514)+COUNTA(H514:H514)+COUNTA(I514:I514))</f>
        <v>3</v>
      </c>
      <c r="Q514" s="6" t="str">
        <f t="shared" ref="Q514:Q577" si="17">IF(A514="","",IF(AND(P514=6,UPPER(L514)&lt;&gt;"Y",C514&lt;&gt;""),"Yes","No"))</f>
        <v>No</v>
      </c>
      <c r="R514" s="5" t="s">
        <v>51</v>
      </c>
      <c r="S514" s="5"/>
      <c r="T514" s="5"/>
      <c r="U514" s="5" t="s">
        <v>77</v>
      </c>
      <c r="V514" s="5"/>
      <c r="W514" s="5"/>
      <c r="X514" s="5"/>
      <c r="Y514" s="5" t="s">
        <v>894</v>
      </c>
    </row>
    <row r="515" spans="1:25" x14ac:dyDescent="0.25">
      <c r="A515" s="5" t="s">
        <v>1509</v>
      </c>
      <c r="B515" s="5"/>
      <c r="C515" s="5" t="s">
        <v>70</v>
      </c>
      <c r="D515" s="5" t="s">
        <v>44</v>
      </c>
      <c r="E515" s="5"/>
      <c r="F515" s="5"/>
      <c r="G515" s="5"/>
      <c r="H515" s="5" t="s">
        <v>191</v>
      </c>
      <c r="I515" s="5" t="s">
        <v>119</v>
      </c>
      <c r="J515" s="5" t="s">
        <v>91</v>
      </c>
      <c r="K515" s="5" t="s">
        <v>1510</v>
      </c>
      <c r="L515" s="5"/>
      <c r="M515" s="5"/>
      <c r="N515" s="5" t="s">
        <v>124</v>
      </c>
      <c r="O515" s="5"/>
      <c r="P515" s="6">
        <f t="shared" si="16"/>
        <v>3</v>
      </c>
      <c r="Q515" s="6" t="str">
        <f t="shared" si="17"/>
        <v>No</v>
      </c>
      <c r="R515" s="5" t="s">
        <v>125</v>
      </c>
      <c r="S515" s="5"/>
      <c r="T515" s="5"/>
      <c r="U515" s="5" t="s">
        <v>191</v>
      </c>
      <c r="V515" s="5"/>
      <c r="W515" s="5"/>
      <c r="X515" s="5"/>
      <c r="Y515" s="5" t="s">
        <v>155</v>
      </c>
    </row>
    <row r="516" spans="1:25" x14ac:dyDescent="0.25">
      <c r="A516" s="5" t="s">
        <v>1511</v>
      </c>
      <c r="B516" s="5"/>
      <c r="C516" s="5" t="s">
        <v>128</v>
      </c>
      <c r="D516" s="5"/>
      <c r="E516" s="5"/>
      <c r="F516" s="5"/>
      <c r="G516" s="5"/>
      <c r="H516" s="5" t="s">
        <v>319</v>
      </c>
      <c r="I516" s="5"/>
      <c r="J516" s="5"/>
      <c r="K516" s="5"/>
      <c r="L516" s="5"/>
      <c r="M516" s="5"/>
      <c r="N516" s="5" t="s">
        <v>66</v>
      </c>
      <c r="O516" s="5"/>
      <c r="P516" s="6">
        <f t="shared" si="16"/>
        <v>1</v>
      </c>
      <c r="Q516" s="6" t="str">
        <f t="shared" si="17"/>
        <v>No</v>
      </c>
      <c r="R516" s="5" t="s">
        <v>51</v>
      </c>
      <c r="S516" s="5"/>
      <c r="T516" s="5"/>
      <c r="U516" s="5" t="s">
        <v>319</v>
      </c>
      <c r="V516" s="5"/>
      <c r="W516" s="5" t="s">
        <v>320</v>
      </c>
      <c r="X516" s="5" t="s">
        <v>321</v>
      </c>
      <c r="Y516" s="5"/>
    </row>
    <row r="517" spans="1:25" x14ac:dyDescent="0.25">
      <c r="A517" s="5" t="s">
        <v>1512</v>
      </c>
      <c r="B517" s="5"/>
      <c r="C517" s="5" t="s">
        <v>43</v>
      </c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 t="s">
        <v>66</v>
      </c>
      <c r="O517" s="5"/>
      <c r="P517" s="6">
        <f t="shared" si="16"/>
        <v>0</v>
      </c>
      <c r="Q517" s="6" t="str">
        <f t="shared" si="17"/>
        <v>No</v>
      </c>
      <c r="R517" s="5" t="s">
        <v>51</v>
      </c>
      <c r="S517" s="5"/>
      <c r="T517" s="5"/>
      <c r="U517" s="5"/>
      <c r="V517" s="5"/>
      <c r="W517" s="5" t="s">
        <v>43</v>
      </c>
      <c r="X517" s="5"/>
      <c r="Y517" s="5"/>
    </row>
    <row r="518" spans="1:25" x14ac:dyDescent="0.25">
      <c r="A518" s="5" t="s">
        <v>1513</v>
      </c>
      <c r="B518" s="5"/>
      <c r="C518" s="5" t="s">
        <v>43</v>
      </c>
      <c r="D518" s="5" t="s">
        <v>44</v>
      </c>
      <c r="E518" s="5"/>
      <c r="F518" s="5"/>
      <c r="G518" s="5"/>
      <c r="H518" s="5"/>
      <c r="I518" s="5" t="s">
        <v>123</v>
      </c>
      <c r="J518" s="5"/>
      <c r="K518" s="5" t="s">
        <v>123</v>
      </c>
      <c r="L518" s="5"/>
      <c r="M518" s="5"/>
      <c r="N518" s="5" t="s">
        <v>50</v>
      </c>
      <c r="O518" s="5"/>
      <c r="P518" s="6">
        <f t="shared" si="16"/>
        <v>2</v>
      </c>
      <c r="Q518" s="6" t="str">
        <f t="shared" si="17"/>
        <v>No</v>
      </c>
      <c r="R518" s="5" t="s">
        <v>51</v>
      </c>
      <c r="S518" s="5"/>
      <c r="T518" s="5" t="s">
        <v>1514</v>
      </c>
      <c r="U518" s="5"/>
      <c r="V518" s="5"/>
      <c r="W518" s="5" t="s">
        <v>43</v>
      </c>
      <c r="X518" s="5" t="s">
        <v>1515</v>
      </c>
      <c r="Y518" s="5" t="s">
        <v>136</v>
      </c>
    </row>
    <row r="519" spans="1:25" x14ac:dyDescent="0.25">
      <c r="A519" s="5" t="s">
        <v>1516</v>
      </c>
      <c r="B519" s="5"/>
      <c r="C519" s="5" t="s">
        <v>43</v>
      </c>
      <c r="D519" s="5" t="s">
        <v>44</v>
      </c>
      <c r="E519" s="5"/>
      <c r="F519" s="5"/>
      <c r="G519" s="5"/>
      <c r="H519" s="5" t="s">
        <v>96</v>
      </c>
      <c r="I519" s="5" t="s">
        <v>91</v>
      </c>
      <c r="J519" s="5" t="s">
        <v>1517</v>
      </c>
      <c r="K519" s="5" t="s">
        <v>1518</v>
      </c>
      <c r="L519" s="5"/>
      <c r="M519" s="5"/>
      <c r="N519" s="5" t="s">
        <v>50</v>
      </c>
      <c r="O519" s="5"/>
      <c r="P519" s="6">
        <f t="shared" si="16"/>
        <v>3</v>
      </c>
      <c r="Q519" s="6" t="str">
        <f t="shared" si="17"/>
        <v>No</v>
      </c>
      <c r="R519" s="5" t="s">
        <v>51</v>
      </c>
      <c r="S519" s="5"/>
      <c r="T519" s="5" t="s">
        <v>1519</v>
      </c>
      <c r="U519" s="5" t="s">
        <v>99</v>
      </c>
      <c r="V519" s="5"/>
      <c r="W519" s="5" t="s">
        <v>43</v>
      </c>
      <c r="X519" s="5" t="s">
        <v>510</v>
      </c>
      <c r="Y519" s="5" t="s">
        <v>353</v>
      </c>
    </row>
    <row r="520" spans="1:25" x14ac:dyDescent="0.25">
      <c r="A520" s="5" t="s">
        <v>1520</v>
      </c>
      <c r="B520" s="5"/>
      <c r="C520" s="5" t="s">
        <v>70</v>
      </c>
      <c r="D520" s="5" t="s">
        <v>76</v>
      </c>
      <c r="E520" s="5"/>
      <c r="F520" s="5"/>
      <c r="G520" s="5"/>
      <c r="H520" s="5" t="s">
        <v>83</v>
      </c>
      <c r="I520" s="5"/>
      <c r="J520" s="5"/>
      <c r="K520" s="5"/>
      <c r="L520" s="5"/>
      <c r="M520" s="5"/>
      <c r="N520" s="5" t="s">
        <v>124</v>
      </c>
      <c r="O520" s="5"/>
      <c r="P520" s="6">
        <f t="shared" si="16"/>
        <v>2</v>
      </c>
      <c r="Q520" s="6" t="str">
        <f t="shared" si="17"/>
        <v>No</v>
      </c>
      <c r="R520" s="5" t="s">
        <v>125</v>
      </c>
      <c r="S520" s="5"/>
      <c r="T520" s="5"/>
      <c r="U520" s="5" t="s">
        <v>83</v>
      </c>
      <c r="V520" s="5"/>
      <c r="W520" s="5"/>
      <c r="X520" s="5"/>
      <c r="Y520" s="5" t="s">
        <v>155</v>
      </c>
    </row>
    <row r="521" spans="1:25" x14ac:dyDescent="0.25">
      <c r="A521" s="5" t="s">
        <v>1521</v>
      </c>
      <c r="B521" s="5"/>
      <c r="C521" s="5" t="s">
        <v>43</v>
      </c>
      <c r="D521" s="5" t="s">
        <v>76</v>
      </c>
      <c r="E521" s="5" t="s">
        <v>45</v>
      </c>
      <c r="F521" s="5" t="s">
        <v>46</v>
      </c>
      <c r="G521" s="5" t="s">
        <v>47</v>
      </c>
      <c r="H521" s="5" t="s">
        <v>58</v>
      </c>
      <c r="I521" s="5" t="s">
        <v>71</v>
      </c>
      <c r="J521" s="5"/>
      <c r="K521" s="5" t="s">
        <v>71</v>
      </c>
      <c r="L521" s="5"/>
      <c r="M521" s="5"/>
      <c r="N521" s="5" t="s">
        <v>50</v>
      </c>
      <c r="O521" s="5"/>
      <c r="P521" s="6">
        <f t="shared" si="16"/>
        <v>6</v>
      </c>
      <c r="Q521" s="6" t="str">
        <f t="shared" si="17"/>
        <v>Yes</v>
      </c>
      <c r="R521" s="5" t="s">
        <v>51</v>
      </c>
      <c r="S521" s="5" t="s">
        <v>1522</v>
      </c>
      <c r="T521" s="5" t="s">
        <v>1523</v>
      </c>
      <c r="U521" s="5" t="s">
        <v>63</v>
      </c>
      <c r="V521" s="5" t="s">
        <v>67</v>
      </c>
      <c r="W521" s="5" t="s">
        <v>43</v>
      </c>
      <c r="X521" s="5" t="s">
        <v>222</v>
      </c>
      <c r="Y521" s="5" t="s">
        <v>55</v>
      </c>
    </row>
    <row r="522" spans="1:25" x14ac:dyDescent="0.25">
      <c r="A522" s="5" t="s">
        <v>1524</v>
      </c>
      <c r="B522" s="5"/>
      <c r="C522" s="5" t="s">
        <v>43</v>
      </c>
      <c r="D522" s="5" t="s">
        <v>44</v>
      </c>
      <c r="E522" s="5"/>
      <c r="F522" s="5"/>
      <c r="G522" s="5" t="s">
        <v>47</v>
      </c>
      <c r="H522" s="5" t="s">
        <v>58</v>
      </c>
      <c r="I522" s="5" t="s">
        <v>123</v>
      </c>
      <c r="J522" s="5"/>
      <c r="K522" s="5" t="s">
        <v>123</v>
      </c>
      <c r="L522" s="5"/>
      <c r="M522" s="5"/>
      <c r="N522" s="5" t="s">
        <v>50</v>
      </c>
      <c r="O522" s="5"/>
      <c r="P522" s="6">
        <f t="shared" si="16"/>
        <v>4</v>
      </c>
      <c r="Q522" s="6" t="str">
        <f t="shared" si="17"/>
        <v>No</v>
      </c>
      <c r="R522" s="5" t="s">
        <v>51</v>
      </c>
      <c r="S522" s="5"/>
      <c r="T522" s="5" t="s">
        <v>1525</v>
      </c>
      <c r="U522" s="5" t="s">
        <v>63</v>
      </c>
      <c r="V522" s="5"/>
      <c r="W522" s="5" t="s">
        <v>43</v>
      </c>
      <c r="X522" s="5"/>
      <c r="Y522" s="5" t="s">
        <v>64</v>
      </c>
    </row>
    <row r="523" spans="1:25" x14ac:dyDescent="0.25">
      <c r="A523" s="5" t="s">
        <v>1526</v>
      </c>
      <c r="B523" s="5"/>
      <c r="C523" s="5" t="s">
        <v>70</v>
      </c>
      <c r="D523" s="5" t="s">
        <v>44</v>
      </c>
      <c r="E523" s="5"/>
      <c r="F523" s="5"/>
      <c r="G523" s="5"/>
      <c r="H523" s="5"/>
      <c r="I523" s="5"/>
      <c r="J523" s="5"/>
      <c r="K523" s="5"/>
      <c r="L523" s="5"/>
      <c r="M523" s="5"/>
      <c r="N523" s="5" t="s">
        <v>124</v>
      </c>
      <c r="O523" s="5"/>
      <c r="P523" s="6">
        <f t="shared" si="16"/>
        <v>1</v>
      </c>
      <c r="Q523" s="6" t="str">
        <f t="shared" si="17"/>
        <v>No</v>
      </c>
      <c r="R523" s="5" t="s">
        <v>125</v>
      </c>
      <c r="S523" s="5"/>
      <c r="T523" s="5"/>
      <c r="U523" s="5"/>
      <c r="V523" s="5"/>
      <c r="W523" s="5"/>
      <c r="X523" s="5"/>
      <c r="Y523" s="5" t="s">
        <v>555</v>
      </c>
    </row>
    <row r="524" spans="1:25" x14ac:dyDescent="0.25">
      <c r="A524" s="5" t="s">
        <v>1527</v>
      </c>
      <c r="B524" s="5"/>
      <c r="C524" s="5" t="s">
        <v>43</v>
      </c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 t="s">
        <v>66</v>
      </c>
      <c r="O524" s="5"/>
      <c r="P524" s="6">
        <f t="shared" si="16"/>
        <v>0</v>
      </c>
      <c r="Q524" s="6" t="str">
        <f t="shared" si="17"/>
        <v>No</v>
      </c>
      <c r="R524" s="5" t="s">
        <v>51</v>
      </c>
      <c r="S524" s="5"/>
      <c r="T524" s="5" t="s">
        <v>1528</v>
      </c>
      <c r="U524" s="5"/>
      <c r="V524" s="5"/>
      <c r="W524" s="5" t="s">
        <v>43</v>
      </c>
      <c r="X524" s="5"/>
      <c r="Y524" s="5"/>
    </row>
    <row r="525" spans="1:25" x14ac:dyDescent="0.25">
      <c r="A525" s="5" t="s">
        <v>1529</v>
      </c>
      <c r="B525" s="5"/>
      <c r="C525" s="5" t="s">
        <v>43</v>
      </c>
      <c r="D525" s="5"/>
      <c r="E525" s="5" t="s">
        <v>332</v>
      </c>
      <c r="F525" s="5" t="s">
        <v>46</v>
      </c>
      <c r="G525" s="5"/>
      <c r="H525" s="5" t="s">
        <v>458</v>
      </c>
      <c r="I525" s="5"/>
      <c r="J525" s="5"/>
      <c r="K525" s="5"/>
      <c r="L525" s="5"/>
      <c r="M525" s="5"/>
      <c r="N525" s="5" t="s">
        <v>50</v>
      </c>
      <c r="O525" s="5"/>
      <c r="P525" s="6">
        <f t="shared" si="16"/>
        <v>3</v>
      </c>
      <c r="Q525" s="6" t="str">
        <f t="shared" si="17"/>
        <v>No</v>
      </c>
      <c r="R525" s="5" t="s">
        <v>51</v>
      </c>
      <c r="S525" s="5" t="s">
        <v>1530</v>
      </c>
      <c r="T525" s="5" t="s">
        <v>1531</v>
      </c>
      <c r="U525" s="5" t="s">
        <v>458</v>
      </c>
      <c r="V525" s="5"/>
      <c r="W525" s="5" t="s">
        <v>43</v>
      </c>
      <c r="X525" s="5"/>
      <c r="Y525" s="5" t="s">
        <v>1532</v>
      </c>
    </row>
    <row r="526" spans="1:25" x14ac:dyDescent="0.25">
      <c r="A526" s="5" t="s">
        <v>1533</v>
      </c>
      <c r="B526" s="5"/>
      <c r="C526" s="5" t="s">
        <v>43</v>
      </c>
      <c r="D526" s="5" t="s">
        <v>44</v>
      </c>
      <c r="E526" s="5" t="s">
        <v>45</v>
      </c>
      <c r="F526" s="5" t="s">
        <v>107</v>
      </c>
      <c r="G526" s="5" t="s">
        <v>57</v>
      </c>
      <c r="H526" s="5" t="s">
        <v>214</v>
      </c>
      <c r="I526" s="5" t="s">
        <v>119</v>
      </c>
      <c r="J526" s="5"/>
      <c r="K526" s="5" t="s">
        <v>119</v>
      </c>
      <c r="L526" s="5"/>
      <c r="M526" s="5"/>
      <c r="N526" s="5" t="s">
        <v>50</v>
      </c>
      <c r="O526" s="5"/>
      <c r="P526" s="6">
        <f t="shared" si="16"/>
        <v>6</v>
      </c>
      <c r="Q526" s="6" t="str">
        <f t="shared" si="17"/>
        <v>Yes</v>
      </c>
      <c r="R526" s="5" t="s">
        <v>51</v>
      </c>
      <c r="S526" s="5" t="s">
        <v>1534</v>
      </c>
      <c r="T526" s="5" t="s">
        <v>1535</v>
      </c>
      <c r="U526" s="5" t="s">
        <v>214</v>
      </c>
      <c r="V526" s="5"/>
      <c r="W526" s="5" t="s">
        <v>43</v>
      </c>
      <c r="X526" s="5" t="s">
        <v>1536</v>
      </c>
      <c r="Y526" s="5" t="s">
        <v>219</v>
      </c>
    </row>
    <row r="527" spans="1:25" x14ac:dyDescent="0.25">
      <c r="A527" s="5" t="s">
        <v>734</v>
      </c>
      <c r="B527" s="5"/>
      <c r="C527" s="5" t="s">
        <v>70</v>
      </c>
      <c r="D527" s="5" t="s">
        <v>44</v>
      </c>
      <c r="E527" s="5" t="s">
        <v>332</v>
      </c>
      <c r="F527" s="5" t="s">
        <v>107</v>
      </c>
      <c r="G527" s="5" t="s">
        <v>57</v>
      </c>
      <c r="H527" s="5" t="s">
        <v>333</v>
      </c>
      <c r="I527" s="5" t="s">
        <v>72</v>
      </c>
      <c r="J527" s="5"/>
      <c r="K527" s="5" t="s">
        <v>72</v>
      </c>
      <c r="L527" s="5"/>
      <c r="M527" s="5"/>
      <c r="N527" s="5" t="s">
        <v>124</v>
      </c>
      <c r="O527" s="5"/>
      <c r="P527" s="6">
        <f t="shared" si="16"/>
        <v>6</v>
      </c>
      <c r="Q527" s="6" t="str">
        <f t="shared" si="17"/>
        <v>Yes</v>
      </c>
      <c r="R527" s="5" t="s">
        <v>125</v>
      </c>
      <c r="S527" s="5" t="s">
        <v>285</v>
      </c>
      <c r="T527" s="5"/>
      <c r="U527" s="5" t="s">
        <v>333</v>
      </c>
      <c r="V527" s="5" t="s">
        <v>57</v>
      </c>
      <c r="W527" s="5"/>
      <c r="X527" s="5"/>
      <c r="Y527" s="5" t="s">
        <v>1537</v>
      </c>
    </row>
    <row r="528" spans="1:25" x14ac:dyDescent="0.25">
      <c r="A528" s="5" t="s">
        <v>1538</v>
      </c>
      <c r="B528" s="5"/>
      <c r="C528" s="5"/>
      <c r="D528" s="5"/>
      <c r="E528" s="5" t="s">
        <v>332</v>
      </c>
      <c r="F528" s="5"/>
      <c r="G528" s="5"/>
      <c r="H528" s="5"/>
      <c r="I528" s="5"/>
      <c r="J528" s="5"/>
      <c r="K528" s="5"/>
      <c r="L528" s="5"/>
      <c r="M528" s="5"/>
      <c r="N528" s="5" t="s">
        <v>66</v>
      </c>
      <c r="O528" s="5"/>
      <c r="P528" s="6">
        <f t="shared" si="16"/>
        <v>1</v>
      </c>
      <c r="Q528" s="6" t="str">
        <f t="shared" si="17"/>
        <v>No</v>
      </c>
      <c r="R528" s="5" t="s">
        <v>51</v>
      </c>
      <c r="S528" s="5"/>
      <c r="T528" s="5" t="s">
        <v>332</v>
      </c>
      <c r="U528" s="5"/>
      <c r="V528" s="5"/>
      <c r="W528" s="5"/>
      <c r="X528" s="5"/>
      <c r="Y528" s="5" t="s">
        <v>1384</v>
      </c>
    </row>
    <row r="529" spans="1:25" x14ac:dyDescent="0.25">
      <c r="A529" s="5" t="s">
        <v>1539</v>
      </c>
      <c r="B529" s="5"/>
      <c r="C529" s="5" t="s">
        <v>128</v>
      </c>
      <c r="D529" s="5"/>
      <c r="E529" s="5"/>
      <c r="F529" s="5"/>
      <c r="G529" s="5" t="s">
        <v>57</v>
      </c>
      <c r="H529" s="5" t="s">
        <v>1422</v>
      </c>
      <c r="I529" s="5"/>
      <c r="J529" s="5"/>
      <c r="K529" s="5"/>
      <c r="L529" s="5"/>
      <c r="M529" s="5"/>
      <c r="N529" s="5" t="s">
        <v>66</v>
      </c>
      <c r="O529" s="5"/>
      <c r="P529" s="6">
        <f t="shared" si="16"/>
        <v>2</v>
      </c>
      <c r="Q529" s="6" t="str">
        <f t="shared" si="17"/>
        <v>No</v>
      </c>
      <c r="R529" s="5" t="s">
        <v>51</v>
      </c>
      <c r="S529" s="5"/>
      <c r="T529" s="5"/>
      <c r="U529" s="5" t="s">
        <v>1422</v>
      </c>
      <c r="V529" s="5" t="s">
        <v>57</v>
      </c>
      <c r="W529" s="5" t="s">
        <v>128</v>
      </c>
      <c r="X529" s="5" t="s">
        <v>1423</v>
      </c>
      <c r="Y529" s="5"/>
    </row>
    <row r="530" spans="1:25" x14ac:dyDescent="0.25">
      <c r="A530" s="5" t="s">
        <v>1540</v>
      </c>
      <c r="B530" s="5"/>
      <c r="C530" s="5" t="s">
        <v>43</v>
      </c>
      <c r="D530" s="5" t="s">
        <v>44</v>
      </c>
      <c r="E530" s="5" t="s">
        <v>45</v>
      </c>
      <c r="F530" s="5" t="s">
        <v>107</v>
      </c>
      <c r="G530" s="5" t="s">
        <v>57</v>
      </c>
      <c r="H530" s="5" t="s">
        <v>272</v>
      </c>
      <c r="I530" s="5" t="s">
        <v>49</v>
      </c>
      <c r="J530" s="5"/>
      <c r="K530" s="5" t="s">
        <v>1541</v>
      </c>
      <c r="L530" s="5"/>
      <c r="M530" s="5"/>
      <c r="N530" s="5" t="s">
        <v>110</v>
      </c>
      <c r="O530" s="5"/>
      <c r="P530" s="6">
        <f t="shared" si="16"/>
        <v>6</v>
      </c>
      <c r="Q530" s="6" t="str">
        <f t="shared" si="17"/>
        <v>Yes</v>
      </c>
      <c r="R530" s="5" t="s">
        <v>112</v>
      </c>
      <c r="S530" s="5" t="s">
        <v>1542</v>
      </c>
      <c r="T530" s="5" t="s">
        <v>1543</v>
      </c>
      <c r="U530" s="5" t="s">
        <v>272</v>
      </c>
      <c r="V530" s="5" t="s">
        <v>57</v>
      </c>
      <c r="W530" s="5" t="s">
        <v>43</v>
      </c>
      <c r="X530" s="5" t="s">
        <v>276</v>
      </c>
      <c r="Y530" s="5" t="s">
        <v>55</v>
      </c>
    </row>
    <row r="531" spans="1:25" x14ac:dyDescent="0.25">
      <c r="A531" s="5" t="s">
        <v>1378</v>
      </c>
      <c r="B531" s="5"/>
      <c r="C531" s="5" t="s">
        <v>43</v>
      </c>
      <c r="D531" s="5" t="s">
        <v>44</v>
      </c>
      <c r="E531" s="5" t="s">
        <v>45</v>
      </c>
      <c r="F531" s="5" t="s">
        <v>46</v>
      </c>
      <c r="G531" s="5" t="s">
        <v>57</v>
      </c>
      <c r="H531" s="5" t="s">
        <v>1544</v>
      </c>
      <c r="I531" s="5" t="s">
        <v>192</v>
      </c>
      <c r="J531" s="5" t="s">
        <v>133</v>
      </c>
      <c r="K531" s="5" t="s">
        <v>234</v>
      </c>
      <c r="L531" s="5"/>
      <c r="M531" s="5"/>
      <c r="N531" s="5" t="s">
        <v>50</v>
      </c>
      <c r="O531" s="5"/>
      <c r="P531" s="6">
        <f t="shared" si="16"/>
        <v>6</v>
      </c>
      <c r="Q531" s="6" t="str">
        <f t="shared" si="17"/>
        <v>Yes</v>
      </c>
      <c r="R531" s="5" t="s">
        <v>51</v>
      </c>
      <c r="S531" s="5"/>
      <c r="T531" s="5" t="s">
        <v>1545</v>
      </c>
      <c r="U531" s="5"/>
      <c r="V531" s="5" t="s">
        <v>57</v>
      </c>
      <c r="W531" s="5" t="s">
        <v>43</v>
      </c>
      <c r="X531" s="5"/>
      <c r="Y531" s="5" t="s">
        <v>1546</v>
      </c>
    </row>
    <row r="532" spans="1:25" x14ac:dyDescent="0.25">
      <c r="A532" s="5" t="s">
        <v>1547</v>
      </c>
      <c r="B532" s="5"/>
      <c r="C532" s="5" t="s">
        <v>43</v>
      </c>
      <c r="D532" s="5" t="s">
        <v>76</v>
      </c>
      <c r="E532" s="5" t="s">
        <v>45</v>
      </c>
      <c r="F532" s="5" t="s">
        <v>46</v>
      </c>
      <c r="G532" s="5"/>
      <c r="H532" s="5" t="s">
        <v>83</v>
      </c>
      <c r="I532" s="5" t="s">
        <v>123</v>
      </c>
      <c r="J532" s="5" t="s">
        <v>49</v>
      </c>
      <c r="K532" s="5" t="s">
        <v>1548</v>
      </c>
      <c r="L532" s="5"/>
      <c r="M532" s="5"/>
      <c r="N532" s="5" t="s">
        <v>66</v>
      </c>
      <c r="O532" s="5"/>
      <c r="P532" s="6">
        <f t="shared" si="16"/>
        <v>5</v>
      </c>
      <c r="Q532" s="6" t="str">
        <f t="shared" si="17"/>
        <v>No</v>
      </c>
      <c r="R532" s="5" t="s">
        <v>51</v>
      </c>
      <c r="S532" s="5" t="s">
        <v>1549</v>
      </c>
      <c r="T532" s="5" t="s">
        <v>1550</v>
      </c>
      <c r="U532" s="5" t="s">
        <v>83</v>
      </c>
      <c r="V532" s="5"/>
      <c r="W532" s="5" t="s">
        <v>43</v>
      </c>
      <c r="X532" s="5"/>
      <c r="Y532" s="5" t="s">
        <v>88</v>
      </c>
    </row>
    <row r="533" spans="1:25" x14ac:dyDescent="0.25">
      <c r="A533" s="5" t="s">
        <v>1551</v>
      </c>
      <c r="B533" s="5"/>
      <c r="C533" s="5" t="s">
        <v>128</v>
      </c>
      <c r="D533" s="5"/>
      <c r="E533" s="5"/>
      <c r="F533" s="5"/>
      <c r="G533" s="5" t="s">
        <v>57</v>
      </c>
      <c r="H533" s="5" t="s">
        <v>720</v>
      </c>
      <c r="I533" s="5"/>
      <c r="J533" s="5"/>
      <c r="K533" s="5"/>
      <c r="L533" s="5"/>
      <c r="M533" s="5"/>
      <c r="N533" s="5" t="s">
        <v>66</v>
      </c>
      <c r="O533" s="5"/>
      <c r="P533" s="6">
        <f t="shared" si="16"/>
        <v>2</v>
      </c>
      <c r="Q533" s="6" t="str">
        <f t="shared" si="17"/>
        <v>No</v>
      </c>
      <c r="R533" s="5" t="s">
        <v>51</v>
      </c>
      <c r="S533" s="5"/>
      <c r="T533" s="5"/>
      <c r="U533" s="5" t="s">
        <v>720</v>
      </c>
      <c r="V533" s="5" t="s">
        <v>57</v>
      </c>
      <c r="W533" s="5" t="s">
        <v>128</v>
      </c>
      <c r="X533" s="5" t="s">
        <v>1039</v>
      </c>
      <c r="Y533" s="5"/>
    </row>
    <row r="534" spans="1:25" x14ac:dyDescent="0.25">
      <c r="A534" s="5" t="s">
        <v>1552</v>
      </c>
      <c r="B534" s="5"/>
      <c r="C534" s="5" t="s">
        <v>70</v>
      </c>
      <c r="D534" s="5" t="s">
        <v>76</v>
      </c>
      <c r="E534" s="5"/>
      <c r="F534" s="5"/>
      <c r="G534" s="5" t="s">
        <v>47</v>
      </c>
      <c r="H534" s="5"/>
      <c r="I534" s="5"/>
      <c r="J534" s="5"/>
      <c r="K534" s="5"/>
      <c r="L534" s="5"/>
      <c r="M534" s="5"/>
      <c r="N534" s="5" t="s">
        <v>124</v>
      </c>
      <c r="O534" s="5"/>
      <c r="P534" s="6">
        <f t="shared" si="16"/>
        <v>2</v>
      </c>
      <c r="Q534" s="6" t="str">
        <f t="shared" si="17"/>
        <v>No</v>
      </c>
      <c r="R534" s="5" t="s">
        <v>125</v>
      </c>
      <c r="S534" s="5"/>
      <c r="T534" s="5"/>
      <c r="U534" s="5"/>
      <c r="V534" s="5" t="s">
        <v>47</v>
      </c>
      <c r="W534" s="5"/>
      <c r="X534" s="5"/>
      <c r="Y534" s="5" t="s">
        <v>126</v>
      </c>
    </row>
    <row r="535" spans="1:25" x14ac:dyDescent="0.25">
      <c r="A535" s="5" t="s">
        <v>1553</v>
      </c>
      <c r="B535" s="5"/>
      <c r="C535" s="5" t="s">
        <v>43</v>
      </c>
      <c r="D535" s="5"/>
      <c r="E535" s="5"/>
      <c r="F535" s="5"/>
      <c r="G535" s="5"/>
      <c r="H535" s="5" t="s">
        <v>910</v>
      </c>
      <c r="I535" s="5"/>
      <c r="J535" s="5"/>
      <c r="K535" s="5"/>
      <c r="L535" s="5"/>
      <c r="M535" s="5"/>
      <c r="N535" s="5" t="s">
        <v>66</v>
      </c>
      <c r="O535" s="5"/>
      <c r="P535" s="6">
        <f t="shared" si="16"/>
        <v>1</v>
      </c>
      <c r="Q535" s="6" t="str">
        <f t="shared" si="17"/>
        <v>No</v>
      </c>
      <c r="R535" s="5" t="s">
        <v>51</v>
      </c>
      <c r="S535" s="5"/>
      <c r="T535" s="5" t="s">
        <v>1554</v>
      </c>
      <c r="U535" s="5" t="s">
        <v>911</v>
      </c>
      <c r="V535" s="5"/>
      <c r="W535" s="5" t="s">
        <v>43</v>
      </c>
      <c r="X535" s="5"/>
      <c r="Y535" s="5"/>
    </row>
    <row r="536" spans="1:25" x14ac:dyDescent="0.25">
      <c r="A536" s="5" t="s">
        <v>1555</v>
      </c>
      <c r="B536" s="5"/>
      <c r="C536" s="5" t="s">
        <v>43</v>
      </c>
      <c r="D536" s="5"/>
      <c r="E536" s="5"/>
      <c r="F536" s="5"/>
      <c r="G536" s="5"/>
      <c r="H536" s="5" t="s">
        <v>910</v>
      </c>
      <c r="I536" s="5"/>
      <c r="J536" s="5"/>
      <c r="K536" s="5"/>
      <c r="L536" s="5"/>
      <c r="M536" s="5"/>
      <c r="N536" s="5" t="s">
        <v>66</v>
      </c>
      <c r="O536" s="5"/>
      <c r="P536" s="6">
        <f t="shared" si="16"/>
        <v>1</v>
      </c>
      <c r="Q536" s="6" t="str">
        <f t="shared" si="17"/>
        <v>No</v>
      </c>
      <c r="R536" s="5" t="s">
        <v>51</v>
      </c>
      <c r="S536" s="5"/>
      <c r="T536" s="5" t="s">
        <v>1556</v>
      </c>
      <c r="U536" s="5" t="s">
        <v>911</v>
      </c>
      <c r="V536" s="5"/>
      <c r="W536" s="5" t="s">
        <v>43</v>
      </c>
      <c r="X536" s="5"/>
      <c r="Y536" s="5"/>
    </row>
    <row r="537" spans="1:25" x14ac:dyDescent="0.25">
      <c r="A537" s="5" t="s">
        <v>1557</v>
      </c>
      <c r="B537" s="5"/>
      <c r="C537" s="5" t="s">
        <v>43</v>
      </c>
      <c r="D537" s="5"/>
      <c r="E537" s="5"/>
      <c r="F537" s="5"/>
      <c r="G537" s="5"/>
      <c r="H537" s="5" t="s">
        <v>910</v>
      </c>
      <c r="I537" s="5"/>
      <c r="J537" s="5"/>
      <c r="K537" s="5"/>
      <c r="L537" s="5"/>
      <c r="M537" s="5"/>
      <c r="N537" s="5" t="s">
        <v>66</v>
      </c>
      <c r="O537" s="5"/>
      <c r="P537" s="6">
        <f t="shared" si="16"/>
        <v>1</v>
      </c>
      <c r="Q537" s="6" t="str">
        <f t="shared" si="17"/>
        <v>No</v>
      </c>
      <c r="R537" s="5" t="s">
        <v>51</v>
      </c>
      <c r="S537" s="5"/>
      <c r="T537" s="5" t="s">
        <v>1558</v>
      </c>
      <c r="U537" s="5" t="s">
        <v>911</v>
      </c>
      <c r="V537" s="5"/>
      <c r="W537" s="5" t="s">
        <v>43</v>
      </c>
      <c r="X537" s="5"/>
      <c r="Y537" s="5"/>
    </row>
    <row r="538" spans="1:25" x14ac:dyDescent="0.25">
      <c r="A538" s="5" t="s">
        <v>1559</v>
      </c>
      <c r="B538" s="5"/>
      <c r="C538" s="5" t="s">
        <v>70</v>
      </c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 t="s">
        <v>124</v>
      </c>
      <c r="O538" s="5"/>
      <c r="P538" s="6">
        <f t="shared" si="16"/>
        <v>0</v>
      </c>
      <c r="Q538" s="6" t="str">
        <f t="shared" si="17"/>
        <v>No</v>
      </c>
      <c r="R538" s="5" t="s">
        <v>125</v>
      </c>
      <c r="S538" s="5"/>
      <c r="T538" s="5"/>
      <c r="U538" s="5"/>
      <c r="V538" s="5"/>
      <c r="W538" s="5"/>
      <c r="X538" s="5"/>
      <c r="Y538" s="5" t="s">
        <v>1113</v>
      </c>
    </row>
    <row r="539" spans="1:25" x14ac:dyDescent="0.25">
      <c r="A539" s="5" t="s">
        <v>1560</v>
      </c>
      <c r="B539" s="5"/>
      <c r="C539" s="5" t="s">
        <v>70</v>
      </c>
      <c r="D539" s="5" t="s">
        <v>76</v>
      </c>
      <c r="E539" s="5"/>
      <c r="F539" s="5"/>
      <c r="G539" s="5"/>
      <c r="H539" s="5" t="s">
        <v>83</v>
      </c>
      <c r="I539" s="5" t="s">
        <v>192</v>
      </c>
      <c r="J539" s="5"/>
      <c r="K539" s="5" t="s">
        <v>192</v>
      </c>
      <c r="L539" s="5"/>
      <c r="M539" s="5"/>
      <c r="N539" s="5" t="s">
        <v>50</v>
      </c>
      <c r="O539" s="5"/>
      <c r="P539" s="6">
        <f t="shared" si="16"/>
        <v>3</v>
      </c>
      <c r="Q539" s="6" t="str">
        <f t="shared" si="17"/>
        <v>No</v>
      </c>
      <c r="R539" s="5" t="s">
        <v>51</v>
      </c>
      <c r="S539" s="5"/>
      <c r="T539" s="5"/>
      <c r="U539" s="5" t="s">
        <v>83</v>
      </c>
      <c r="V539" s="5"/>
      <c r="W539" s="5"/>
      <c r="X539" s="5"/>
      <c r="Y539" s="5" t="s">
        <v>430</v>
      </c>
    </row>
    <row r="540" spans="1:25" x14ac:dyDescent="0.25">
      <c r="A540" s="5" t="s">
        <v>1561</v>
      </c>
      <c r="B540" s="5"/>
      <c r="C540" s="5" t="s">
        <v>70</v>
      </c>
      <c r="D540" s="5"/>
      <c r="E540" s="5" t="s">
        <v>253</v>
      </c>
      <c r="F540" s="5"/>
      <c r="G540" s="5" t="s">
        <v>57</v>
      </c>
      <c r="H540" s="5"/>
      <c r="I540" s="5"/>
      <c r="J540" s="5"/>
      <c r="K540" s="5"/>
      <c r="L540" s="5"/>
      <c r="M540" s="5"/>
      <c r="N540" s="5" t="s">
        <v>124</v>
      </c>
      <c r="O540" s="5" t="s">
        <v>309</v>
      </c>
      <c r="P540" s="6">
        <f t="shared" si="16"/>
        <v>2</v>
      </c>
      <c r="Q540" s="6" t="str">
        <f t="shared" si="17"/>
        <v>No</v>
      </c>
      <c r="R540" s="5" t="s">
        <v>125</v>
      </c>
      <c r="S540" s="5" t="s">
        <v>138</v>
      </c>
      <c r="T540" s="5"/>
      <c r="U540" s="5" t="s">
        <v>310</v>
      </c>
      <c r="V540" s="5" t="s">
        <v>311</v>
      </c>
      <c r="W540" s="5"/>
      <c r="X540" s="5"/>
      <c r="Y540" s="5" t="s">
        <v>312</v>
      </c>
    </row>
    <row r="541" spans="1:25" x14ac:dyDescent="0.25">
      <c r="A541" s="5" t="s">
        <v>1562</v>
      </c>
      <c r="B541" s="5"/>
      <c r="C541" s="5"/>
      <c r="D541" s="5"/>
      <c r="E541" s="5"/>
      <c r="F541" s="5" t="s">
        <v>46</v>
      </c>
      <c r="G541" s="5"/>
      <c r="H541" s="5" t="s">
        <v>77</v>
      </c>
      <c r="I541" s="5"/>
      <c r="J541" s="5"/>
      <c r="K541" s="5"/>
      <c r="L541" s="5"/>
      <c r="M541" s="5"/>
      <c r="N541" s="5" t="s">
        <v>66</v>
      </c>
      <c r="O541" s="5" t="s">
        <v>103</v>
      </c>
      <c r="P541" s="6">
        <f t="shared" si="16"/>
        <v>2</v>
      </c>
      <c r="Q541" s="6" t="str">
        <f t="shared" si="17"/>
        <v>No</v>
      </c>
      <c r="R541" s="5" t="s">
        <v>51</v>
      </c>
      <c r="S541" s="5"/>
      <c r="T541" s="5" t="s">
        <v>1563</v>
      </c>
      <c r="U541" s="5" t="s">
        <v>77</v>
      </c>
      <c r="V541" s="5"/>
      <c r="W541" s="5" t="s">
        <v>105</v>
      </c>
      <c r="X541" s="5"/>
      <c r="Y541" s="5" t="s">
        <v>585</v>
      </c>
    </row>
    <row r="542" spans="1:25" x14ac:dyDescent="0.25">
      <c r="A542" s="5" t="s">
        <v>1564</v>
      </c>
      <c r="B542" s="5" t="s">
        <v>1565</v>
      </c>
      <c r="C542" s="5" t="s">
        <v>43</v>
      </c>
      <c r="D542" s="5"/>
      <c r="E542" s="5"/>
      <c r="F542" s="5"/>
      <c r="G542" s="5"/>
      <c r="H542" s="5" t="s">
        <v>910</v>
      </c>
      <c r="I542" s="5" t="s">
        <v>91</v>
      </c>
      <c r="J542" s="5"/>
      <c r="K542" s="5" t="s">
        <v>91</v>
      </c>
      <c r="L542" s="5"/>
      <c r="M542" s="5"/>
      <c r="N542" s="5" t="s">
        <v>50</v>
      </c>
      <c r="O542" s="5"/>
      <c r="P542" s="6">
        <f t="shared" si="16"/>
        <v>2</v>
      </c>
      <c r="Q542" s="6" t="str">
        <f t="shared" si="17"/>
        <v>No</v>
      </c>
      <c r="R542" s="5" t="s">
        <v>51</v>
      </c>
      <c r="S542" s="5"/>
      <c r="T542" s="5" t="s">
        <v>1566</v>
      </c>
      <c r="U542" s="5" t="s">
        <v>911</v>
      </c>
      <c r="V542" s="5"/>
      <c r="W542" s="5" t="s">
        <v>43</v>
      </c>
      <c r="X542" s="5"/>
      <c r="Y542" s="5" t="s">
        <v>589</v>
      </c>
    </row>
    <row r="543" spans="1:25" x14ac:dyDescent="0.25">
      <c r="A543" s="5" t="s">
        <v>1567</v>
      </c>
      <c r="B543" s="5"/>
      <c r="C543" s="5" t="s">
        <v>43</v>
      </c>
      <c r="D543" s="5" t="s">
        <v>44</v>
      </c>
      <c r="E543" s="5" t="s">
        <v>45</v>
      </c>
      <c r="F543" s="5" t="s">
        <v>46</v>
      </c>
      <c r="G543" s="5"/>
      <c r="H543" s="5" t="s">
        <v>1097</v>
      </c>
      <c r="I543" s="5" t="s">
        <v>91</v>
      </c>
      <c r="J543" s="5"/>
      <c r="K543" s="5" t="s">
        <v>91</v>
      </c>
      <c r="L543" s="5"/>
      <c r="M543" s="5"/>
      <c r="N543" s="5" t="s">
        <v>50</v>
      </c>
      <c r="O543" s="5"/>
      <c r="P543" s="6">
        <f t="shared" si="16"/>
        <v>5</v>
      </c>
      <c r="Q543" s="6" t="str">
        <f t="shared" si="17"/>
        <v>No</v>
      </c>
      <c r="R543" s="5" t="s">
        <v>51</v>
      </c>
      <c r="S543" s="5" t="s">
        <v>1568</v>
      </c>
      <c r="T543" s="5" t="s">
        <v>1569</v>
      </c>
      <c r="U543" s="5" t="s">
        <v>1101</v>
      </c>
      <c r="V543" s="5"/>
      <c r="W543" s="5" t="s">
        <v>43</v>
      </c>
      <c r="X543" s="5"/>
      <c r="Y543" s="5" t="s">
        <v>348</v>
      </c>
    </row>
    <row r="544" spans="1:25" x14ac:dyDescent="0.25">
      <c r="A544" s="5" t="s">
        <v>1570</v>
      </c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 t="s">
        <v>66</v>
      </c>
      <c r="O544" s="5" t="s">
        <v>103</v>
      </c>
      <c r="P544" s="6">
        <f t="shared" si="16"/>
        <v>0</v>
      </c>
      <c r="Q544" s="6" t="str">
        <f t="shared" si="17"/>
        <v>No</v>
      </c>
      <c r="R544" s="5" t="s">
        <v>51</v>
      </c>
      <c r="S544" s="5"/>
      <c r="T544" s="5" t="s">
        <v>1571</v>
      </c>
      <c r="U544" s="5"/>
      <c r="V544" s="5"/>
      <c r="W544" s="5" t="s">
        <v>105</v>
      </c>
      <c r="X544" s="5"/>
      <c r="Y544" s="5"/>
    </row>
    <row r="545" spans="1:25" x14ac:dyDescent="0.25">
      <c r="A545" s="5" t="s">
        <v>1572</v>
      </c>
      <c r="B545" s="5"/>
      <c r="C545" s="5" t="s">
        <v>70</v>
      </c>
      <c r="D545" s="5" t="s">
        <v>245</v>
      </c>
      <c r="E545" s="5"/>
      <c r="F545" s="5"/>
      <c r="G545" s="5" t="s">
        <v>47</v>
      </c>
      <c r="H545" s="5" t="s">
        <v>246</v>
      </c>
      <c r="I545" s="5" t="s">
        <v>123</v>
      </c>
      <c r="J545" s="5"/>
      <c r="K545" s="5" t="s">
        <v>123</v>
      </c>
      <c r="L545" s="5"/>
      <c r="M545" s="5"/>
      <c r="N545" s="5" t="s">
        <v>124</v>
      </c>
      <c r="O545" s="5"/>
      <c r="P545" s="6">
        <f t="shared" si="16"/>
        <v>4</v>
      </c>
      <c r="Q545" s="6" t="str">
        <f t="shared" si="17"/>
        <v>No</v>
      </c>
      <c r="R545" s="5" t="s">
        <v>125</v>
      </c>
      <c r="S545" s="5"/>
      <c r="T545" s="5"/>
      <c r="U545" s="5" t="s">
        <v>1573</v>
      </c>
      <c r="V545" s="5" t="s">
        <v>47</v>
      </c>
      <c r="W545" s="5"/>
      <c r="X545" s="5"/>
      <c r="Y545" s="5" t="s">
        <v>286</v>
      </c>
    </row>
    <row r="546" spans="1:25" x14ac:dyDescent="0.25">
      <c r="A546" s="5" t="s">
        <v>1574</v>
      </c>
      <c r="B546" s="5"/>
      <c r="C546" s="5" t="s">
        <v>43</v>
      </c>
      <c r="D546" s="5" t="s">
        <v>44</v>
      </c>
      <c r="E546" s="5" t="s">
        <v>332</v>
      </c>
      <c r="F546" s="5" t="s">
        <v>46</v>
      </c>
      <c r="G546" s="5" t="s">
        <v>47</v>
      </c>
      <c r="H546" s="5" t="s">
        <v>1575</v>
      </c>
      <c r="I546" s="5" t="s">
        <v>123</v>
      </c>
      <c r="J546" s="5"/>
      <c r="K546" s="5" t="s">
        <v>123</v>
      </c>
      <c r="L546" s="5"/>
      <c r="M546" s="5"/>
      <c r="N546" s="5" t="s">
        <v>50</v>
      </c>
      <c r="O546" s="5" t="s">
        <v>225</v>
      </c>
      <c r="P546" s="6">
        <f t="shared" si="16"/>
        <v>6</v>
      </c>
      <c r="Q546" s="6" t="str">
        <f t="shared" si="17"/>
        <v>Yes</v>
      </c>
      <c r="R546" s="5" t="s">
        <v>51</v>
      </c>
      <c r="S546" s="5"/>
      <c r="T546" s="5" t="s">
        <v>1576</v>
      </c>
      <c r="U546" s="5" t="s">
        <v>1575</v>
      </c>
      <c r="V546" s="5" t="s">
        <v>1446</v>
      </c>
      <c r="W546" s="5" t="s">
        <v>43</v>
      </c>
      <c r="X546" s="5" t="s">
        <v>87</v>
      </c>
      <c r="Y546" s="5" t="s">
        <v>1577</v>
      </c>
    </row>
    <row r="547" spans="1:25" x14ac:dyDescent="0.25">
      <c r="A547" s="5" t="s">
        <v>1578</v>
      </c>
      <c r="B547" s="5"/>
      <c r="C547" s="5" t="s">
        <v>128</v>
      </c>
      <c r="D547" s="5"/>
      <c r="E547" s="5"/>
      <c r="F547" s="5"/>
      <c r="G547" s="5"/>
      <c r="H547" s="5" t="s">
        <v>319</v>
      </c>
      <c r="I547" s="5"/>
      <c r="J547" s="5"/>
      <c r="K547" s="5"/>
      <c r="L547" s="5"/>
      <c r="M547" s="5"/>
      <c r="N547" s="5" t="s">
        <v>66</v>
      </c>
      <c r="O547" s="5"/>
      <c r="P547" s="6">
        <f t="shared" si="16"/>
        <v>1</v>
      </c>
      <c r="Q547" s="6" t="str">
        <f t="shared" si="17"/>
        <v>No</v>
      </c>
      <c r="R547" s="5" t="s">
        <v>51</v>
      </c>
      <c r="S547" s="5"/>
      <c r="T547" s="5"/>
      <c r="U547" s="5" t="s">
        <v>319</v>
      </c>
      <c r="V547" s="5"/>
      <c r="W547" s="5" t="s">
        <v>320</v>
      </c>
      <c r="X547" s="5" t="s">
        <v>321</v>
      </c>
      <c r="Y547" s="5"/>
    </row>
    <row r="548" spans="1:25" x14ac:dyDescent="0.25">
      <c r="A548" s="5" t="s">
        <v>1579</v>
      </c>
      <c r="B548" s="5"/>
      <c r="C548" s="5" t="s">
        <v>43</v>
      </c>
      <c r="D548" s="5" t="s">
        <v>44</v>
      </c>
      <c r="E548" s="5" t="s">
        <v>45</v>
      </c>
      <c r="F548" s="5" t="s">
        <v>46</v>
      </c>
      <c r="G548" s="5" t="s">
        <v>47</v>
      </c>
      <c r="H548" s="5" t="s">
        <v>214</v>
      </c>
      <c r="I548" s="5" t="s">
        <v>71</v>
      </c>
      <c r="J548" s="5"/>
      <c r="K548" s="5" t="s">
        <v>71</v>
      </c>
      <c r="L548" s="5"/>
      <c r="M548" s="5"/>
      <c r="N548" s="5" t="s">
        <v>50</v>
      </c>
      <c r="O548" s="5"/>
      <c r="P548" s="6">
        <f t="shared" si="16"/>
        <v>6</v>
      </c>
      <c r="Q548" s="6" t="str">
        <f t="shared" si="17"/>
        <v>Yes</v>
      </c>
      <c r="R548" s="5" t="s">
        <v>51</v>
      </c>
      <c r="S548" s="5" t="s">
        <v>1580</v>
      </c>
      <c r="T548" s="5" t="s">
        <v>1581</v>
      </c>
      <c r="U548" s="5" t="s">
        <v>214</v>
      </c>
      <c r="V548" s="5" t="s">
        <v>181</v>
      </c>
      <c r="W548" s="5" t="s">
        <v>43</v>
      </c>
      <c r="X548" s="5" t="s">
        <v>677</v>
      </c>
      <c r="Y548" s="5" t="s">
        <v>55</v>
      </c>
    </row>
    <row r="549" spans="1:25" x14ac:dyDescent="0.25">
      <c r="A549" s="5" t="s">
        <v>1582</v>
      </c>
      <c r="B549" s="5"/>
      <c r="C549" s="5" t="s">
        <v>43</v>
      </c>
      <c r="D549" s="5" t="s">
        <v>76</v>
      </c>
      <c r="E549" s="5" t="s">
        <v>45</v>
      </c>
      <c r="F549" s="5" t="s">
        <v>46</v>
      </c>
      <c r="G549" s="5"/>
      <c r="H549" s="5" t="s">
        <v>77</v>
      </c>
      <c r="I549" s="5" t="s">
        <v>119</v>
      </c>
      <c r="J549" s="5" t="s">
        <v>91</v>
      </c>
      <c r="K549" s="5" t="s">
        <v>1583</v>
      </c>
      <c r="L549" s="5"/>
      <c r="M549" s="5"/>
      <c r="N549" s="5" t="s">
        <v>66</v>
      </c>
      <c r="O549" s="5"/>
      <c r="P549" s="6">
        <f t="shared" si="16"/>
        <v>5</v>
      </c>
      <c r="Q549" s="6" t="str">
        <f t="shared" si="17"/>
        <v>No</v>
      </c>
      <c r="R549" s="5" t="s">
        <v>51</v>
      </c>
      <c r="S549" s="5" t="s">
        <v>1584</v>
      </c>
      <c r="T549" s="5" t="s">
        <v>1585</v>
      </c>
      <c r="U549" s="5" t="s">
        <v>77</v>
      </c>
      <c r="V549" s="5"/>
      <c r="W549" s="5" t="s">
        <v>43</v>
      </c>
      <c r="X549" s="5" t="s">
        <v>473</v>
      </c>
      <c r="Y549" s="5" t="s">
        <v>243</v>
      </c>
    </row>
    <row r="550" spans="1:25" x14ac:dyDescent="0.25">
      <c r="A550" s="5" t="s">
        <v>1586</v>
      </c>
      <c r="B550" s="5"/>
      <c r="C550" s="5"/>
      <c r="D550" s="5"/>
      <c r="E550" s="5"/>
      <c r="F550" s="5"/>
      <c r="G550" s="5"/>
      <c r="H550" s="5" t="s">
        <v>559</v>
      </c>
      <c r="I550" s="5" t="s">
        <v>119</v>
      </c>
      <c r="J550" s="5" t="s">
        <v>91</v>
      </c>
      <c r="K550" s="5" t="s">
        <v>1587</v>
      </c>
      <c r="L550" s="5"/>
      <c r="M550" s="5"/>
      <c r="N550" s="5" t="s">
        <v>66</v>
      </c>
      <c r="O550" s="5" t="s">
        <v>103</v>
      </c>
      <c r="P550" s="6">
        <f t="shared" si="16"/>
        <v>2</v>
      </c>
      <c r="Q550" s="6" t="str">
        <f t="shared" si="17"/>
        <v>No</v>
      </c>
      <c r="R550" s="5" t="s">
        <v>51</v>
      </c>
      <c r="S550" s="5"/>
      <c r="T550" s="5" t="s">
        <v>1588</v>
      </c>
      <c r="U550" s="5" t="s">
        <v>559</v>
      </c>
      <c r="V550" s="5"/>
      <c r="W550" s="5" t="s">
        <v>105</v>
      </c>
      <c r="X550" s="5"/>
      <c r="Y550" s="5"/>
    </row>
    <row r="551" spans="1:25" x14ac:dyDescent="0.25">
      <c r="A551" s="5" t="s">
        <v>1589</v>
      </c>
      <c r="B551" s="5"/>
      <c r="C551" s="5" t="s">
        <v>70</v>
      </c>
      <c r="D551" s="5"/>
      <c r="E551" s="5"/>
      <c r="F551" s="5"/>
      <c r="G551" s="5"/>
      <c r="H551" s="5" t="s">
        <v>205</v>
      </c>
      <c r="I551" s="5"/>
      <c r="J551" s="5"/>
      <c r="K551" s="5"/>
      <c r="L551" s="5"/>
      <c r="M551" s="5"/>
      <c r="N551" s="5" t="s">
        <v>50</v>
      </c>
      <c r="O551" s="5"/>
      <c r="P551" s="6">
        <f t="shared" si="16"/>
        <v>1</v>
      </c>
      <c r="Q551" s="6" t="str">
        <f t="shared" si="17"/>
        <v>No</v>
      </c>
      <c r="R551" s="5" t="s">
        <v>51</v>
      </c>
      <c r="S551" s="5"/>
      <c r="T551" s="5" t="s">
        <v>1590</v>
      </c>
      <c r="U551" s="5" t="s">
        <v>205</v>
      </c>
      <c r="V551" s="5"/>
      <c r="W551" s="5"/>
      <c r="X551" s="5"/>
      <c r="Y551" s="5" t="s">
        <v>74</v>
      </c>
    </row>
    <row r="552" spans="1:25" x14ac:dyDescent="0.25">
      <c r="A552" s="5" t="s">
        <v>1591</v>
      </c>
      <c r="B552" s="5"/>
      <c r="C552" s="5" t="s">
        <v>43</v>
      </c>
      <c r="D552" s="5"/>
      <c r="E552" s="5"/>
      <c r="F552" s="5"/>
      <c r="G552" s="5"/>
      <c r="H552" s="5" t="s">
        <v>910</v>
      </c>
      <c r="I552" s="5"/>
      <c r="J552" s="5"/>
      <c r="K552" s="5"/>
      <c r="L552" s="5"/>
      <c r="M552" s="5"/>
      <c r="N552" s="5" t="s">
        <v>66</v>
      </c>
      <c r="O552" s="5"/>
      <c r="P552" s="6">
        <f t="shared" si="16"/>
        <v>1</v>
      </c>
      <c r="Q552" s="6" t="str">
        <f t="shared" si="17"/>
        <v>No</v>
      </c>
      <c r="R552" s="5" t="s">
        <v>51</v>
      </c>
      <c r="S552" s="5"/>
      <c r="T552" s="5" t="s">
        <v>1592</v>
      </c>
      <c r="U552" s="5" t="s">
        <v>911</v>
      </c>
      <c r="V552" s="5"/>
      <c r="W552" s="5" t="s">
        <v>43</v>
      </c>
      <c r="X552" s="5"/>
      <c r="Y552" s="5"/>
    </row>
    <row r="553" spans="1:25" x14ac:dyDescent="0.25">
      <c r="A553" s="5" t="s">
        <v>1593</v>
      </c>
      <c r="B553" s="5"/>
      <c r="C553" s="5" t="s">
        <v>43</v>
      </c>
      <c r="D553" s="5"/>
      <c r="E553" s="5"/>
      <c r="F553" s="5"/>
      <c r="G553" s="5"/>
      <c r="H553" s="5" t="s">
        <v>910</v>
      </c>
      <c r="I553" s="5" t="s">
        <v>133</v>
      </c>
      <c r="J553" s="5"/>
      <c r="K553" s="5" t="s">
        <v>133</v>
      </c>
      <c r="L553" s="5"/>
      <c r="M553" s="5"/>
      <c r="N553" s="5" t="s">
        <v>66</v>
      </c>
      <c r="O553" s="5"/>
      <c r="P553" s="6">
        <f t="shared" si="16"/>
        <v>2</v>
      </c>
      <c r="Q553" s="6" t="str">
        <f t="shared" si="17"/>
        <v>No</v>
      </c>
      <c r="R553" s="5" t="s">
        <v>51</v>
      </c>
      <c r="S553" s="5"/>
      <c r="T553" s="5" t="s">
        <v>1594</v>
      </c>
      <c r="U553" s="5" t="s">
        <v>911</v>
      </c>
      <c r="V553" s="5"/>
      <c r="W553" s="5" t="s">
        <v>43</v>
      </c>
      <c r="X553" s="5"/>
      <c r="Y553" s="5"/>
    </row>
    <row r="554" spans="1:25" x14ac:dyDescent="0.25">
      <c r="A554" s="5" t="s">
        <v>1595</v>
      </c>
      <c r="B554" s="5"/>
      <c r="C554" s="5" t="s">
        <v>128</v>
      </c>
      <c r="D554" s="5"/>
      <c r="E554" s="5"/>
      <c r="F554" s="5"/>
      <c r="G554" s="5" t="s">
        <v>57</v>
      </c>
      <c r="H554" s="5" t="s">
        <v>1338</v>
      </c>
      <c r="I554" s="5"/>
      <c r="J554" s="5"/>
      <c r="K554" s="5"/>
      <c r="L554" s="5"/>
      <c r="M554" s="5"/>
      <c r="N554" s="5" t="s">
        <v>66</v>
      </c>
      <c r="O554" s="5"/>
      <c r="P554" s="6">
        <f t="shared" si="16"/>
        <v>2</v>
      </c>
      <c r="Q554" s="6" t="str">
        <f t="shared" si="17"/>
        <v>No</v>
      </c>
      <c r="R554" s="5" t="s">
        <v>51</v>
      </c>
      <c r="S554" s="5"/>
      <c r="T554" s="5"/>
      <c r="U554" s="5" t="s">
        <v>1338</v>
      </c>
      <c r="V554" s="5" t="s">
        <v>57</v>
      </c>
      <c r="W554" s="5" t="s">
        <v>128</v>
      </c>
      <c r="X554" s="5" t="s">
        <v>1339</v>
      </c>
      <c r="Y554" s="5"/>
    </row>
    <row r="555" spans="1:25" x14ac:dyDescent="0.25">
      <c r="A555" s="5" t="s">
        <v>1596</v>
      </c>
      <c r="B555" s="5"/>
      <c r="C555" s="5" t="s">
        <v>43</v>
      </c>
      <c r="D555" s="5" t="s">
        <v>44</v>
      </c>
      <c r="E555" s="5"/>
      <c r="F555" s="5"/>
      <c r="G555" s="5" t="s">
        <v>47</v>
      </c>
      <c r="H555" s="5" t="s">
        <v>314</v>
      </c>
      <c r="I555" s="5" t="s">
        <v>72</v>
      </c>
      <c r="J555" s="5" t="s">
        <v>1597</v>
      </c>
      <c r="K555" s="5" t="s">
        <v>1598</v>
      </c>
      <c r="L555" s="5"/>
      <c r="M555" s="5"/>
      <c r="N555" s="5" t="s">
        <v>50</v>
      </c>
      <c r="O555" s="5"/>
      <c r="P555" s="6">
        <f t="shared" si="16"/>
        <v>4</v>
      </c>
      <c r="Q555" s="6" t="str">
        <f t="shared" si="17"/>
        <v>No</v>
      </c>
      <c r="R555" s="5" t="s">
        <v>51</v>
      </c>
      <c r="S555" s="5"/>
      <c r="T555" s="5" t="s">
        <v>1599</v>
      </c>
      <c r="U555" s="5" t="s">
        <v>317</v>
      </c>
      <c r="V555" s="5"/>
      <c r="W555" s="5" t="s">
        <v>43</v>
      </c>
      <c r="X555" s="5"/>
      <c r="Y555" s="5" t="s">
        <v>94</v>
      </c>
    </row>
    <row r="556" spans="1:25" x14ac:dyDescent="0.25">
      <c r="A556" s="5" t="s">
        <v>1600</v>
      </c>
      <c r="B556" s="5"/>
      <c r="C556" s="5" t="s">
        <v>43</v>
      </c>
      <c r="D556" s="5"/>
      <c r="E556" s="5"/>
      <c r="F556" s="5" t="s">
        <v>46</v>
      </c>
      <c r="G556" s="5"/>
      <c r="H556" s="5" t="s">
        <v>58</v>
      </c>
      <c r="I556" s="5"/>
      <c r="J556" s="5"/>
      <c r="K556" s="5"/>
      <c r="L556" s="5"/>
      <c r="M556" s="5"/>
      <c r="N556" s="5" t="s">
        <v>66</v>
      </c>
      <c r="O556" s="5"/>
      <c r="P556" s="6">
        <f t="shared" si="16"/>
        <v>2</v>
      </c>
      <c r="Q556" s="6" t="str">
        <f t="shared" si="17"/>
        <v>No</v>
      </c>
      <c r="R556" s="5" t="s">
        <v>51</v>
      </c>
      <c r="S556" s="5"/>
      <c r="T556" s="5" t="s">
        <v>1601</v>
      </c>
      <c r="U556" s="5" t="s">
        <v>63</v>
      </c>
      <c r="V556" s="5"/>
      <c r="W556" s="5" t="s">
        <v>43</v>
      </c>
      <c r="X556" s="5" t="s">
        <v>130</v>
      </c>
      <c r="Y556" s="5" t="s">
        <v>839</v>
      </c>
    </row>
    <row r="557" spans="1:25" x14ac:dyDescent="0.25">
      <c r="A557" s="5" t="s">
        <v>1602</v>
      </c>
      <c r="B557" s="5"/>
      <c r="C557" s="5" t="s">
        <v>43</v>
      </c>
      <c r="D557" s="5"/>
      <c r="E557" s="5"/>
      <c r="F557" s="5"/>
      <c r="G557" s="5" t="s">
        <v>47</v>
      </c>
      <c r="H557" s="5"/>
      <c r="I557" s="5"/>
      <c r="J557" s="5"/>
      <c r="K557" s="5"/>
      <c r="L557" s="5"/>
      <c r="M557" s="5"/>
      <c r="N557" s="5" t="s">
        <v>50</v>
      </c>
      <c r="O557" s="5"/>
      <c r="P557" s="6">
        <f t="shared" si="16"/>
        <v>1</v>
      </c>
      <c r="Q557" s="6" t="str">
        <f t="shared" si="17"/>
        <v>No</v>
      </c>
      <c r="R557" s="5" t="s">
        <v>51</v>
      </c>
      <c r="S557" s="5"/>
      <c r="T557" s="5"/>
      <c r="U557" s="5"/>
      <c r="V557" s="5"/>
      <c r="W557" s="5" t="s">
        <v>43</v>
      </c>
      <c r="X557" s="5" t="s">
        <v>68</v>
      </c>
      <c r="Y557" s="5" t="s">
        <v>549</v>
      </c>
    </row>
    <row r="558" spans="1:25" x14ac:dyDescent="0.25">
      <c r="A558" s="5" t="s">
        <v>1603</v>
      </c>
      <c r="B558" s="5"/>
      <c r="C558" s="5"/>
      <c r="D558" s="5"/>
      <c r="E558" s="5"/>
      <c r="F558" s="5"/>
      <c r="G558" s="5"/>
      <c r="H558" s="5" t="s">
        <v>90</v>
      </c>
      <c r="I558" s="5"/>
      <c r="J558" s="5"/>
      <c r="K558" s="5"/>
      <c r="L558" s="5"/>
      <c r="M558" s="5"/>
      <c r="N558" s="5" t="s">
        <v>66</v>
      </c>
      <c r="O558" s="5" t="s">
        <v>103</v>
      </c>
      <c r="P558" s="6">
        <f t="shared" si="16"/>
        <v>1</v>
      </c>
      <c r="Q558" s="6" t="str">
        <f t="shared" si="17"/>
        <v>No</v>
      </c>
      <c r="R558" s="5" t="s">
        <v>51</v>
      </c>
      <c r="S558" s="5"/>
      <c r="T558" s="5"/>
      <c r="U558" s="5" t="s">
        <v>90</v>
      </c>
      <c r="V558" s="5"/>
      <c r="W558" s="5" t="s">
        <v>105</v>
      </c>
      <c r="X558" s="5"/>
      <c r="Y558" s="5"/>
    </row>
    <row r="559" spans="1:25" x14ac:dyDescent="0.25">
      <c r="A559" s="5" t="s">
        <v>1604</v>
      </c>
      <c r="B559" s="5"/>
      <c r="C559" s="5"/>
      <c r="D559" s="5"/>
      <c r="E559" s="5" t="s">
        <v>45</v>
      </c>
      <c r="F559" s="5" t="s">
        <v>46</v>
      </c>
      <c r="G559" s="5"/>
      <c r="H559" s="5" t="s">
        <v>90</v>
      </c>
      <c r="I559" s="5" t="s">
        <v>133</v>
      </c>
      <c r="J559" s="5"/>
      <c r="K559" s="5" t="s">
        <v>133</v>
      </c>
      <c r="L559" s="5"/>
      <c r="M559" s="5"/>
      <c r="N559" s="5" t="s">
        <v>66</v>
      </c>
      <c r="O559" s="5" t="s">
        <v>103</v>
      </c>
      <c r="P559" s="6">
        <f t="shared" si="16"/>
        <v>4</v>
      </c>
      <c r="Q559" s="6" t="str">
        <f t="shared" si="17"/>
        <v>No</v>
      </c>
      <c r="R559" s="5" t="s">
        <v>51</v>
      </c>
      <c r="S559" s="5" t="s">
        <v>1605</v>
      </c>
      <c r="T559" s="5" t="s">
        <v>1606</v>
      </c>
      <c r="U559" s="5" t="s">
        <v>90</v>
      </c>
      <c r="V559" s="5"/>
      <c r="W559" s="5" t="s">
        <v>105</v>
      </c>
      <c r="X559" s="5"/>
      <c r="Y559" s="5" t="s">
        <v>203</v>
      </c>
    </row>
    <row r="560" spans="1:25" x14ac:dyDescent="0.25">
      <c r="A560" s="5" t="s">
        <v>1607</v>
      </c>
      <c r="B560" s="5"/>
      <c r="C560" s="5"/>
      <c r="D560" s="5"/>
      <c r="E560" s="5"/>
      <c r="F560" s="5"/>
      <c r="G560" s="5"/>
      <c r="H560" s="5" t="s">
        <v>260</v>
      </c>
      <c r="I560" s="5"/>
      <c r="J560" s="5"/>
      <c r="K560" s="5"/>
      <c r="L560" s="5"/>
      <c r="M560" s="5"/>
      <c r="N560" s="5" t="s">
        <v>66</v>
      </c>
      <c r="O560" s="5" t="s">
        <v>103</v>
      </c>
      <c r="P560" s="6">
        <f t="shared" si="16"/>
        <v>1</v>
      </c>
      <c r="Q560" s="6" t="str">
        <f t="shared" si="17"/>
        <v>No</v>
      </c>
      <c r="R560" s="5" t="s">
        <v>51</v>
      </c>
      <c r="S560" s="5"/>
      <c r="T560" s="5"/>
      <c r="U560" s="5" t="s">
        <v>262</v>
      </c>
      <c r="V560" s="5"/>
      <c r="W560" s="5" t="s">
        <v>105</v>
      </c>
      <c r="X560" s="5"/>
      <c r="Y560" s="5"/>
    </row>
    <row r="561" spans="1:25" x14ac:dyDescent="0.25">
      <c r="A561" s="5" t="s">
        <v>1608</v>
      </c>
      <c r="B561" s="5"/>
      <c r="C561" s="5" t="s">
        <v>43</v>
      </c>
      <c r="D561" s="5" t="s">
        <v>76</v>
      </c>
      <c r="E561" s="5"/>
      <c r="F561" s="5"/>
      <c r="G561" s="5" t="s">
        <v>57</v>
      </c>
      <c r="H561" s="5" t="s">
        <v>77</v>
      </c>
      <c r="I561" s="5" t="s">
        <v>192</v>
      </c>
      <c r="J561" s="5"/>
      <c r="K561" s="5" t="s">
        <v>192</v>
      </c>
      <c r="L561" s="5"/>
      <c r="M561" s="5"/>
      <c r="N561" s="5" t="s">
        <v>50</v>
      </c>
      <c r="O561" s="5"/>
      <c r="P561" s="6">
        <f t="shared" si="16"/>
        <v>4</v>
      </c>
      <c r="Q561" s="6" t="str">
        <f t="shared" si="17"/>
        <v>No</v>
      </c>
      <c r="R561" s="5" t="s">
        <v>51</v>
      </c>
      <c r="S561" s="5"/>
      <c r="T561" s="5" t="s">
        <v>1609</v>
      </c>
      <c r="U561" s="5" t="s">
        <v>77</v>
      </c>
      <c r="V561" s="5" t="s">
        <v>57</v>
      </c>
      <c r="W561" s="5" t="s">
        <v>43</v>
      </c>
      <c r="X561" s="5"/>
      <c r="Y561" s="5" t="s">
        <v>353</v>
      </c>
    </row>
    <row r="562" spans="1:25" x14ac:dyDescent="0.25">
      <c r="A562" s="5" t="s">
        <v>1610</v>
      </c>
      <c r="B562" s="5"/>
      <c r="C562" s="5" t="s">
        <v>43</v>
      </c>
      <c r="D562" s="5" t="s">
        <v>76</v>
      </c>
      <c r="E562" s="5"/>
      <c r="F562" s="5"/>
      <c r="G562" s="5" t="s">
        <v>57</v>
      </c>
      <c r="H562" s="5" t="s">
        <v>77</v>
      </c>
      <c r="I562" s="5" t="s">
        <v>133</v>
      </c>
      <c r="J562" s="5"/>
      <c r="K562" s="5" t="s">
        <v>133</v>
      </c>
      <c r="L562" s="5"/>
      <c r="M562" s="5"/>
      <c r="N562" s="5" t="s">
        <v>50</v>
      </c>
      <c r="O562" s="5"/>
      <c r="P562" s="6">
        <f t="shared" si="16"/>
        <v>4</v>
      </c>
      <c r="Q562" s="6" t="str">
        <f t="shared" si="17"/>
        <v>No</v>
      </c>
      <c r="R562" s="5" t="s">
        <v>51</v>
      </c>
      <c r="S562" s="5"/>
      <c r="T562" s="5" t="s">
        <v>1611</v>
      </c>
      <c r="U562" s="5" t="s">
        <v>77</v>
      </c>
      <c r="V562" s="5"/>
      <c r="W562" s="5" t="s">
        <v>43</v>
      </c>
      <c r="X562" s="5"/>
      <c r="Y562" s="5" t="s">
        <v>64</v>
      </c>
    </row>
    <row r="563" spans="1:25" x14ac:dyDescent="0.25">
      <c r="A563" s="5" t="s">
        <v>1612</v>
      </c>
      <c r="B563" s="5"/>
      <c r="C563" s="5" t="s">
        <v>43</v>
      </c>
      <c r="D563" s="5" t="s">
        <v>44</v>
      </c>
      <c r="E563" s="5" t="s">
        <v>45</v>
      </c>
      <c r="F563" s="5" t="s">
        <v>46</v>
      </c>
      <c r="G563" s="5" t="s">
        <v>57</v>
      </c>
      <c r="H563" s="5" t="s">
        <v>635</v>
      </c>
      <c r="I563" s="5" t="s">
        <v>192</v>
      </c>
      <c r="J563" s="5" t="s">
        <v>193</v>
      </c>
      <c r="K563" s="5" t="s">
        <v>1613</v>
      </c>
      <c r="L563" s="5"/>
      <c r="M563" s="5"/>
      <c r="N563" s="5" t="s">
        <v>50</v>
      </c>
      <c r="O563" s="5" t="s">
        <v>1614</v>
      </c>
      <c r="P563" s="6">
        <f t="shared" si="16"/>
        <v>6</v>
      </c>
      <c r="Q563" s="6" t="str">
        <f t="shared" si="17"/>
        <v>Yes</v>
      </c>
      <c r="R563" s="5" t="s">
        <v>51</v>
      </c>
      <c r="S563" s="5"/>
      <c r="T563" s="5" t="s">
        <v>1615</v>
      </c>
      <c r="U563" s="5" t="s">
        <v>637</v>
      </c>
      <c r="V563" s="5" t="s">
        <v>1616</v>
      </c>
      <c r="W563" s="5" t="s">
        <v>43</v>
      </c>
      <c r="X563" s="5"/>
      <c r="Y563" s="5" t="s">
        <v>391</v>
      </c>
    </row>
    <row r="564" spans="1:25" x14ac:dyDescent="0.25">
      <c r="A564" s="5" t="s">
        <v>1617</v>
      </c>
      <c r="B564" s="5"/>
      <c r="C564" s="5" t="s">
        <v>70</v>
      </c>
      <c r="D564" s="5" t="s">
        <v>76</v>
      </c>
      <c r="E564" s="5"/>
      <c r="F564" s="5"/>
      <c r="G564" s="5"/>
      <c r="H564" s="5" t="s">
        <v>77</v>
      </c>
      <c r="I564" s="5" t="s">
        <v>72</v>
      </c>
      <c r="J564" s="5" t="s">
        <v>71</v>
      </c>
      <c r="K564" s="5" t="s">
        <v>1618</v>
      </c>
      <c r="L564" s="5"/>
      <c r="M564" s="5"/>
      <c r="N564" s="5" t="s">
        <v>50</v>
      </c>
      <c r="O564" s="5"/>
      <c r="P564" s="6">
        <f t="shared" si="16"/>
        <v>3</v>
      </c>
      <c r="Q564" s="6" t="str">
        <f t="shared" si="17"/>
        <v>No</v>
      </c>
      <c r="R564" s="5" t="s">
        <v>51</v>
      </c>
      <c r="S564" s="5"/>
      <c r="T564" s="5" t="s">
        <v>1619</v>
      </c>
      <c r="U564" s="5" t="s">
        <v>77</v>
      </c>
      <c r="V564" s="5"/>
      <c r="W564" s="5"/>
      <c r="X564" s="5"/>
      <c r="Y564" s="5" t="s">
        <v>430</v>
      </c>
    </row>
    <row r="565" spans="1:25" x14ac:dyDescent="0.25">
      <c r="A565" s="5" t="s">
        <v>1620</v>
      </c>
      <c r="B565" s="5"/>
      <c r="C565" s="5"/>
      <c r="D565" s="5"/>
      <c r="E565" s="5" t="s">
        <v>45</v>
      </c>
      <c r="F565" s="5" t="s">
        <v>107</v>
      </c>
      <c r="G565" s="5"/>
      <c r="H565" s="5" t="s">
        <v>83</v>
      </c>
      <c r="I565" s="5" t="s">
        <v>59</v>
      </c>
      <c r="J565" s="5" t="s">
        <v>1621</v>
      </c>
      <c r="K565" s="5" t="s">
        <v>1622</v>
      </c>
      <c r="L565" s="5"/>
      <c r="M565" s="5"/>
      <c r="N565" s="5" t="s">
        <v>66</v>
      </c>
      <c r="O565" s="5" t="s">
        <v>103</v>
      </c>
      <c r="P565" s="6">
        <f t="shared" si="16"/>
        <v>4</v>
      </c>
      <c r="Q565" s="6" t="str">
        <f t="shared" si="17"/>
        <v>No</v>
      </c>
      <c r="R565" s="5" t="s">
        <v>51</v>
      </c>
      <c r="S565" s="5" t="s">
        <v>1623</v>
      </c>
      <c r="T565" s="5" t="s">
        <v>1624</v>
      </c>
      <c r="U565" s="5" t="s">
        <v>83</v>
      </c>
      <c r="V565" s="5"/>
      <c r="W565" s="5" t="s">
        <v>105</v>
      </c>
      <c r="X565" s="5"/>
      <c r="Y565" s="5" t="s">
        <v>203</v>
      </c>
    </row>
    <row r="566" spans="1:25" x14ac:dyDescent="0.25">
      <c r="A566" s="5" t="s">
        <v>1625</v>
      </c>
      <c r="B566" s="5"/>
      <c r="C566" s="5" t="s">
        <v>43</v>
      </c>
      <c r="D566" s="5" t="s">
        <v>76</v>
      </c>
      <c r="E566" s="5" t="s">
        <v>45</v>
      </c>
      <c r="F566" s="5" t="s">
        <v>46</v>
      </c>
      <c r="G566" s="5" t="s">
        <v>47</v>
      </c>
      <c r="H566" s="5" t="s">
        <v>77</v>
      </c>
      <c r="I566" s="5" t="s">
        <v>71</v>
      </c>
      <c r="J566" s="5"/>
      <c r="K566" s="5" t="s">
        <v>71</v>
      </c>
      <c r="L566" s="5"/>
      <c r="M566" s="5"/>
      <c r="N566" s="5" t="s">
        <v>66</v>
      </c>
      <c r="O566" s="5"/>
      <c r="P566" s="6">
        <f t="shared" si="16"/>
        <v>6</v>
      </c>
      <c r="Q566" s="6" t="str">
        <f t="shared" si="17"/>
        <v>Yes</v>
      </c>
      <c r="R566" s="5" t="s">
        <v>51</v>
      </c>
      <c r="S566" s="5" t="s">
        <v>1626</v>
      </c>
      <c r="T566" s="5" t="s">
        <v>1627</v>
      </c>
      <c r="U566" s="5" t="s">
        <v>77</v>
      </c>
      <c r="V566" s="5" t="s">
        <v>67</v>
      </c>
      <c r="W566" s="5" t="s">
        <v>43</v>
      </c>
      <c r="X566" s="5" t="s">
        <v>187</v>
      </c>
      <c r="Y566" s="5" t="s">
        <v>88</v>
      </c>
    </row>
    <row r="567" spans="1:25" x14ac:dyDescent="0.25">
      <c r="A567" s="5" t="s">
        <v>1628</v>
      </c>
      <c r="B567" s="5"/>
      <c r="C567" s="5"/>
      <c r="D567" s="5"/>
      <c r="E567" s="5" t="s">
        <v>45</v>
      </c>
      <c r="F567" s="5" t="s">
        <v>107</v>
      </c>
      <c r="G567" s="5" t="s">
        <v>57</v>
      </c>
      <c r="H567" s="5" t="s">
        <v>58</v>
      </c>
      <c r="I567" s="5"/>
      <c r="J567" s="5"/>
      <c r="K567" s="5"/>
      <c r="L567" s="5"/>
      <c r="M567" s="5"/>
      <c r="N567" s="5" t="s">
        <v>66</v>
      </c>
      <c r="O567" s="5" t="s">
        <v>103</v>
      </c>
      <c r="P567" s="6">
        <f t="shared" si="16"/>
        <v>4</v>
      </c>
      <c r="Q567" s="6" t="str">
        <f t="shared" si="17"/>
        <v>No</v>
      </c>
      <c r="R567" s="5" t="s">
        <v>51</v>
      </c>
      <c r="S567" s="5" t="s">
        <v>1629</v>
      </c>
      <c r="T567" s="5" t="s">
        <v>1630</v>
      </c>
      <c r="U567" s="5" t="s">
        <v>63</v>
      </c>
      <c r="V567" s="5" t="s">
        <v>57</v>
      </c>
      <c r="W567" s="5" t="s">
        <v>105</v>
      </c>
      <c r="X567" s="5"/>
      <c r="Y567" s="5" t="s">
        <v>1481</v>
      </c>
    </row>
    <row r="568" spans="1:25" x14ac:dyDescent="0.25">
      <c r="A568" s="5" t="s">
        <v>1631</v>
      </c>
      <c r="B568" s="5"/>
      <c r="C568" s="5" t="s">
        <v>70</v>
      </c>
      <c r="D568" s="5" t="s">
        <v>44</v>
      </c>
      <c r="E568" s="5"/>
      <c r="F568" s="5"/>
      <c r="G568" s="5"/>
      <c r="H568" s="5" t="s">
        <v>132</v>
      </c>
      <c r="I568" s="5" t="s">
        <v>91</v>
      </c>
      <c r="J568" s="5"/>
      <c r="K568" s="5" t="s">
        <v>91</v>
      </c>
      <c r="L568" s="5"/>
      <c r="M568" s="5"/>
      <c r="N568" s="5" t="s">
        <v>50</v>
      </c>
      <c r="O568" s="5"/>
      <c r="P568" s="6">
        <f t="shared" si="16"/>
        <v>3</v>
      </c>
      <c r="Q568" s="6" t="str">
        <f t="shared" si="17"/>
        <v>No</v>
      </c>
      <c r="R568" s="5" t="s">
        <v>51</v>
      </c>
      <c r="S568" s="5"/>
      <c r="T568" s="5" t="s">
        <v>1632</v>
      </c>
      <c r="U568" s="5" t="s">
        <v>132</v>
      </c>
      <c r="V568" s="5"/>
      <c r="W568" s="5"/>
      <c r="X568" s="5"/>
      <c r="Y568" s="5" t="s">
        <v>430</v>
      </c>
    </row>
    <row r="569" spans="1:25" x14ac:dyDescent="0.25">
      <c r="A569" s="5" t="s">
        <v>1633</v>
      </c>
      <c r="B569" s="5"/>
      <c r="C569" s="5" t="s">
        <v>43</v>
      </c>
      <c r="D569" s="5" t="s">
        <v>44</v>
      </c>
      <c r="E569" s="5" t="s">
        <v>45</v>
      </c>
      <c r="F569" s="5" t="s">
        <v>46</v>
      </c>
      <c r="G569" s="5" t="s">
        <v>57</v>
      </c>
      <c r="H569" s="5" t="s">
        <v>96</v>
      </c>
      <c r="I569" s="5" t="s">
        <v>133</v>
      </c>
      <c r="J569" s="5"/>
      <c r="K569" s="5" t="s">
        <v>133</v>
      </c>
      <c r="L569" s="5"/>
      <c r="M569" s="5"/>
      <c r="N569" s="5" t="s">
        <v>50</v>
      </c>
      <c r="O569" s="5"/>
      <c r="P569" s="6">
        <f t="shared" si="16"/>
        <v>6</v>
      </c>
      <c r="Q569" s="6" t="str">
        <f t="shared" si="17"/>
        <v>Yes</v>
      </c>
      <c r="R569" s="5" t="s">
        <v>51</v>
      </c>
      <c r="S569" s="5"/>
      <c r="T569" s="5" t="s">
        <v>1634</v>
      </c>
      <c r="U569" s="5" t="s">
        <v>99</v>
      </c>
      <c r="V569" s="5"/>
      <c r="W569" s="5" t="s">
        <v>43</v>
      </c>
      <c r="X569" s="5" t="s">
        <v>68</v>
      </c>
      <c r="Y569" s="5" t="s">
        <v>81</v>
      </c>
    </row>
    <row r="570" spans="1:25" x14ac:dyDescent="0.25">
      <c r="A570" s="5" t="s">
        <v>1635</v>
      </c>
      <c r="B570" s="5"/>
      <c r="C570" s="5" t="s">
        <v>43</v>
      </c>
      <c r="D570" s="5" t="s">
        <v>76</v>
      </c>
      <c r="E570" s="5" t="s">
        <v>45</v>
      </c>
      <c r="F570" s="5" t="s">
        <v>46</v>
      </c>
      <c r="G570" s="5" t="s">
        <v>47</v>
      </c>
      <c r="H570" s="5"/>
      <c r="I570" s="5"/>
      <c r="J570" s="5"/>
      <c r="K570" s="5"/>
      <c r="L570" s="5"/>
      <c r="M570" s="5"/>
      <c r="N570" s="5" t="s">
        <v>50</v>
      </c>
      <c r="O570" s="5"/>
      <c r="P570" s="6">
        <f t="shared" si="16"/>
        <v>4</v>
      </c>
      <c r="Q570" s="6" t="str">
        <f t="shared" si="17"/>
        <v>No</v>
      </c>
      <c r="R570" s="5" t="s">
        <v>51</v>
      </c>
      <c r="S570" s="5"/>
      <c r="T570" s="5"/>
      <c r="U570" s="5"/>
      <c r="V570" s="5" t="s">
        <v>47</v>
      </c>
      <c r="W570" s="5" t="s">
        <v>43</v>
      </c>
      <c r="X570" s="5"/>
      <c r="Y570" s="5" t="s">
        <v>136</v>
      </c>
    </row>
    <row r="571" spans="1:25" x14ac:dyDescent="0.25">
      <c r="A571" s="5" t="s">
        <v>1636</v>
      </c>
      <c r="B571" s="5"/>
      <c r="C571" s="5"/>
      <c r="D571" s="5"/>
      <c r="E571" s="5"/>
      <c r="F571" s="5"/>
      <c r="G571" s="5"/>
      <c r="H571" s="5" t="s">
        <v>559</v>
      </c>
      <c r="I571" s="5" t="s">
        <v>71</v>
      </c>
      <c r="J571" s="5" t="s">
        <v>1637</v>
      </c>
      <c r="K571" s="5" t="s">
        <v>1638</v>
      </c>
      <c r="L571" s="5"/>
      <c r="M571" s="5"/>
      <c r="N571" s="5" t="s">
        <v>66</v>
      </c>
      <c r="O571" s="5" t="s">
        <v>103</v>
      </c>
      <c r="P571" s="6">
        <f t="shared" si="16"/>
        <v>2</v>
      </c>
      <c r="Q571" s="6" t="str">
        <f t="shared" si="17"/>
        <v>No</v>
      </c>
      <c r="R571" s="5" t="s">
        <v>51</v>
      </c>
      <c r="S571" s="5"/>
      <c r="T571" s="5" t="s">
        <v>1639</v>
      </c>
      <c r="U571" s="5" t="s">
        <v>559</v>
      </c>
      <c r="V571" s="5"/>
      <c r="W571" s="5" t="s">
        <v>105</v>
      </c>
      <c r="X571" s="5"/>
      <c r="Y571" s="5"/>
    </row>
    <row r="572" spans="1:25" x14ac:dyDescent="0.25">
      <c r="A572" s="5" t="s">
        <v>1640</v>
      </c>
      <c r="B572" s="5"/>
      <c r="C572" s="5" t="s">
        <v>43</v>
      </c>
      <c r="D572" s="5" t="s">
        <v>76</v>
      </c>
      <c r="E572" s="5" t="s">
        <v>45</v>
      </c>
      <c r="F572" s="5" t="s">
        <v>107</v>
      </c>
      <c r="G572" s="5" t="s">
        <v>57</v>
      </c>
      <c r="H572" s="5" t="s">
        <v>83</v>
      </c>
      <c r="I572" s="5" t="s">
        <v>91</v>
      </c>
      <c r="J572" s="5"/>
      <c r="K572" s="5" t="s">
        <v>1641</v>
      </c>
      <c r="L572" s="5"/>
      <c r="M572" s="5"/>
      <c r="N572" s="5" t="s">
        <v>110</v>
      </c>
      <c r="O572" s="5" t="s">
        <v>225</v>
      </c>
      <c r="P572" s="6">
        <f t="shared" si="16"/>
        <v>6</v>
      </c>
      <c r="Q572" s="6" t="str">
        <f t="shared" si="17"/>
        <v>Yes</v>
      </c>
      <c r="R572" s="5" t="s">
        <v>112</v>
      </c>
      <c r="S572" s="5" t="s">
        <v>1642</v>
      </c>
      <c r="T572" s="5" t="s">
        <v>1643</v>
      </c>
      <c r="U572" s="5" t="s">
        <v>1644</v>
      </c>
      <c r="V572" s="5" t="s">
        <v>57</v>
      </c>
      <c r="W572" s="5" t="s">
        <v>43</v>
      </c>
      <c r="X572" s="5" t="s">
        <v>473</v>
      </c>
      <c r="Y572" s="5" t="s">
        <v>117</v>
      </c>
    </row>
    <row r="573" spans="1:25" x14ac:dyDescent="0.25">
      <c r="A573" s="5" t="s">
        <v>1645</v>
      </c>
      <c r="B573" s="5"/>
      <c r="C573" s="5" t="s">
        <v>43</v>
      </c>
      <c r="D573" s="5"/>
      <c r="E573" s="5"/>
      <c r="F573" s="5"/>
      <c r="G573" s="5" t="s">
        <v>47</v>
      </c>
      <c r="H573" s="5"/>
      <c r="I573" s="5"/>
      <c r="J573" s="5"/>
      <c r="K573" s="5"/>
      <c r="L573" s="5"/>
      <c r="M573" s="5"/>
      <c r="N573" s="5" t="s">
        <v>66</v>
      </c>
      <c r="O573" s="5"/>
      <c r="P573" s="6">
        <f t="shared" si="16"/>
        <v>1</v>
      </c>
      <c r="Q573" s="6" t="str">
        <f t="shared" si="17"/>
        <v>No</v>
      </c>
      <c r="R573" s="5" t="s">
        <v>51</v>
      </c>
      <c r="S573" s="5"/>
      <c r="T573" s="5"/>
      <c r="U573" s="5"/>
      <c r="V573" s="5" t="s">
        <v>67</v>
      </c>
      <c r="W573" s="5" t="s">
        <v>43</v>
      </c>
      <c r="X573" s="5" t="s">
        <v>68</v>
      </c>
      <c r="Y573" s="5"/>
    </row>
    <row r="574" spans="1:25" x14ac:dyDescent="0.25">
      <c r="A574" s="5" t="s">
        <v>1646</v>
      </c>
      <c r="B574" s="5"/>
      <c r="C574" s="5" t="s">
        <v>43</v>
      </c>
      <c r="D574" s="5"/>
      <c r="E574" s="5"/>
      <c r="F574" s="5"/>
      <c r="G574" s="5" t="s">
        <v>47</v>
      </c>
      <c r="H574" s="5"/>
      <c r="I574" s="5"/>
      <c r="J574" s="5"/>
      <c r="K574" s="5"/>
      <c r="L574" s="5"/>
      <c r="M574" s="5"/>
      <c r="N574" s="5" t="s">
        <v>50</v>
      </c>
      <c r="O574" s="5"/>
      <c r="P574" s="6">
        <f t="shared" si="16"/>
        <v>1</v>
      </c>
      <c r="Q574" s="6" t="str">
        <f t="shared" si="17"/>
        <v>No</v>
      </c>
      <c r="R574" s="5" t="s">
        <v>51</v>
      </c>
      <c r="S574" s="5"/>
      <c r="T574" s="5"/>
      <c r="U574" s="5"/>
      <c r="V574" s="5"/>
      <c r="W574" s="5" t="s">
        <v>43</v>
      </c>
      <c r="X574" s="5" t="s">
        <v>68</v>
      </c>
      <c r="Y574" s="5" t="s">
        <v>549</v>
      </c>
    </row>
    <row r="575" spans="1:25" x14ac:dyDescent="0.25">
      <c r="A575" s="5" t="s">
        <v>1647</v>
      </c>
      <c r="B575" s="5"/>
      <c r="C575" s="5" t="s">
        <v>70</v>
      </c>
      <c r="D575" s="5" t="s">
        <v>76</v>
      </c>
      <c r="E575" s="5"/>
      <c r="F575" s="5"/>
      <c r="G575" s="5"/>
      <c r="H575" s="5" t="s">
        <v>1648</v>
      </c>
      <c r="I575" s="5" t="s">
        <v>192</v>
      </c>
      <c r="J575" s="5"/>
      <c r="K575" s="5" t="s">
        <v>192</v>
      </c>
      <c r="L575" s="5"/>
      <c r="M575" s="5"/>
      <c r="N575" s="5" t="s">
        <v>50</v>
      </c>
      <c r="O575" s="5"/>
      <c r="P575" s="6">
        <f t="shared" si="16"/>
        <v>3</v>
      </c>
      <c r="Q575" s="6" t="str">
        <f t="shared" si="17"/>
        <v>No</v>
      </c>
      <c r="R575" s="5" t="s">
        <v>51</v>
      </c>
      <c r="S575" s="5"/>
      <c r="T575" s="5"/>
      <c r="U575" s="5" t="s">
        <v>1648</v>
      </c>
      <c r="V575" s="5"/>
      <c r="W575" s="5"/>
      <c r="X575" s="5"/>
      <c r="Y575" s="5" t="s">
        <v>189</v>
      </c>
    </row>
    <row r="576" spans="1:25" x14ac:dyDescent="0.25">
      <c r="A576" s="5" t="s">
        <v>1649</v>
      </c>
      <c r="B576" s="5"/>
      <c r="C576" s="5" t="s">
        <v>43</v>
      </c>
      <c r="D576" s="5" t="s">
        <v>76</v>
      </c>
      <c r="E576" s="5"/>
      <c r="F576" s="5"/>
      <c r="G576" s="5"/>
      <c r="H576" s="5" t="s">
        <v>83</v>
      </c>
      <c r="I576" s="5" t="s">
        <v>59</v>
      </c>
      <c r="J576" s="5" t="s">
        <v>193</v>
      </c>
      <c r="K576" s="5" t="s">
        <v>1650</v>
      </c>
      <c r="L576" s="5"/>
      <c r="M576" s="5"/>
      <c r="N576" s="5" t="s">
        <v>50</v>
      </c>
      <c r="O576" s="5"/>
      <c r="P576" s="6">
        <f t="shared" si="16"/>
        <v>3</v>
      </c>
      <c r="Q576" s="6" t="str">
        <f t="shared" si="17"/>
        <v>No</v>
      </c>
      <c r="R576" s="5" t="s">
        <v>51</v>
      </c>
      <c r="S576" s="5"/>
      <c r="T576" s="5" t="s">
        <v>1651</v>
      </c>
      <c r="U576" s="5" t="s">
        <v>83</v>
      </c>
      <c r="V576" s="5"/>
      <c r="W576" s="5" t="s">
        <v>43</v>
      </c>
      <c r="X576" s="5"/>
      <c r="Y576" s="5" t="s">
        <v>136</v>
      </c>
    </row>
    <row r="577" spans="1:25" x14ac:dyDescent="0.25">
      <c r="A577" s="5" t="s">
        <v>1652</v>
      </c>
      <c r="B577" s="5"/>
      <c r="C577" s="5" t="s">
        <v>70</v>
      </c>
      <c r="D577" s="5" t="s">
        <v>44</v>
      </c>
      <c r="E577" s="5"/>
      <c r="F577" s="5"/>
      <c r="G577" s="5"/>
      <c r="H577" s="5" t="s">
        <v>58</v>
      </c>
      <c r="I577" s="5" t="s">
        <v>49</v>
      </c>
      <c r="J577" s="5" t="s">
        <v>1653</v>
      </c>
      <c r="K577" s="5" t="s">
        <v>1654</v>
      </c>
      <c r="L577" s="5"/>
      <c r="M577" s="5"/>
      <c r="N577" s="5" t="s">
        <v>50</v>
      </c>
      <c r="O577" s="5"/>
      <c r="P577" s="6">
        <f t="shared" si="16"/>
        <v>3</v>
      </c>
      <c r="Q577" s="6" t="str">
        <f t="shared" si="17"/>
        <v>No</v>
      </c>
      <c r="R577" s="5" t="s">
        <v>51</v>
      </c>
      <c r="S577" s="5"/>
      <c r="T577" s="5" t="s">
        <v>1655</v>
      </c>
      <c r="U577" s="5" t="s">
        <v>63</v>
      </c>
      <c r="V577" s="5"/>
      <c r="W577" s="5"/>
      <c r="X577" s="5"/>
      <c r="Y577" s="5" t="s">
        <v>430</v>
      </c>
    </row>
    <row r="578" spans="1:25" x14ac:dyDescent="0.25">
      <c r="A578" s="5" t="s">
        <v>1656</v>
      </c>
      <c r="B578" s="5"/>
      <c r="C578" s="5" t="s">
        <v>43</v>
      </c>
      <c r="D578" s="5"/>
      <c r="E578" s="5"/>
      <c r="F578" s="5"/>
      <c r="G578" s="5" t="s">
        <v>47</v>
      </c>
      <c r="H578" s="5"/>
      <c r="I578" s="5"/>
      <c r="J578" s="5"/>
      <c r="K578" s="5"/>
      <c r="L578" s="5"/>
      <c r="M578" s="5"/>
      <c r="N578" s="5" t="s">
        <v>66</v>
      </c>
      <c r="O578" s="5"/>
      <c r="P578" s="6">
        <f t="shared" ref="P578:P641" si="18">IF(A578="","",COUNTA(D578:F578)+COUNTA(G578:G578)+COUNTA(H578:H578)+COUNTA(I578:I578))</f>
        <v>1</v>
      </c>
      <c r="Q578" s="6" t="str">
        <f t="shared" ref="Q578:Q641" si="19">IF(A578="","",IF(AND(P578=6,UPPER(L578)&lt;&gt;"Y",C578&lt;&gt;""),"Yes","No"))</f>
        <v>No</v>
      </c>
      <c r="R578" s="5" t="s">
        <v>51</v>
      </c>
      <c r="S578" s="5"/>
      <c r="T578" s="5"/>
      <c r="U578" s="5"/>
      <c r="V578" s="5" t="s">
        <v>67</v>
      </c>
      <c r="W578" s="5" t="s">
        <v>43</v>
      </c>
      <c r="X578" s="5" t="s">
        <v>68</v>
      </c>
      <c r="Y578" s="5"/>
    </row>
    <row r="579" spans="1:25" x14ac:dyDescent="0.25">
      <c r="A579" s="5" t="s">
        <v>1657</v>
      </c>
      <c r="B579" s="5"/>
      <c r="C579" s="5" t="s">
        <v>43</v>
      </c>
      <c r="D579" s="5" t="s">
        <v>76</v>
      </c>
      <c r="E579" s="5" t="s">
        <v>332</v>
      </c>
      <c r="F579" s="5" t="s">
        <v>46</v>
      </c>
      <c r="G579" s="5" t="s">
        <v>57</v>
      </c>
      <c r="H579" s="5" t="s">
        <v>333</v>
      </c>
      <c r="I579" s="5" t="s">
        <v>72</v>
      </c>
      <c r="J579" s="5" t="s">
        <v>178</v>
      </c>
      <c r="K579" s="5" t="s">
        <v>1658</v>
      </c>
      <c r="L579" s="5"/>
      <c r="M579" s="5"/>
      <c r="N579" s="5" t="s">
        <v>110</v>
      </c>
      <c r="O579" s="5" t="s">
        <v>225</v>
      </c>
      <c r="P579" s="6">
        <f t="shared" si="18"/>
        <v>6</v>
      </c>
      <c r="Q579" s="6" t="str">
        <f t="shared" si="19"/>
        <v>Yes</v>
      </c>
      <c r="R579" s="5" t="s">
        <v>112</v>
      </c>
      <c r="S579" s="5"/>
      <c r="T579" s="5" t="s">
        <v>1659</v>
      </c>
      <c r="U579" s="5" t="s">
        <v>752</v>
      </c>
      <c r="V579" s="5"/>
      <c r="W579" s="5" t="s">
        <v>43</v>
      </c>
      <c r="X579" s="5" t="s">
        <v>1660</v>
      </c>
      <c r="Y579" s="5" t="s">
        <v>1661</v>
      </c>
    </row>
    <row r="580" spans="1:25" x14ac:dyDescent="0.25">
      <c r="A580" s="5" t="s">
        <v>1662</v>
      </c>
      <c r="B580" s="5"/>
      <c r="C580" s="5"/>
      <c r="D580" s="5"/>
      <c r="E580" s="5" t="s">
        <v>332</v>
      </c>
      <c r="F580" s="5"/>
      <c r="G580" s="5"/>
      <c r="H580" s="5"/>
      <c r="I580" s="5"/>
      <c r="J580" s="5"/>
      <c r="K580" s="5"/>
      <c r="L580" s="5"/>
      <c r="M580" s="5"/>
      <c r="N580" s="5" t="s">
        <v>66</v>
      </c>
      <c r="O580" s="5" t="s">
        <v>103</v>
      </c>
      <c r="P580" s="6">
        <f t="shared" si="18"/>
        <v>1</v>
      </c>
      <c r="Q580" s="6" t="str">
        <f t="shared" si="19"/>
        <v>No</v>
      </c>
      <c r="R580" s="5" t="s">
        <v>51</v>
      </c>
      <c r="S580" s="5"/>
      <c r="T580" s="5" t="s">
        <v>332</v>
      </c>
      <c r="U580" s="5"/>
      <c r="V580" s="5"/>
      <c r="W580" s="5" t="s">
        <v>105</v>
      </c>
      <c r="X580" s="5"/>
      <c r="Y580" s="5" t="s">
        <v>1384</v>
      </c>
    </row>
    <row r="581" spans="1:25" x14ac:dyDescent="0.25">
      <c r="A581" s="5" t="s">
        <v>1663</v>
      </c>
      <c r="B581" s="5"/>
      <c r="C581" s="5"/>
      <c r="D581" s="5"/>
      <c r="E581" s="5"/>
      <c r="F581" s="5"/>
      <c r="G581" s="5"/>
      <c r="H581" s="5" t="s">
        <v>439</v>
      </c>
      <c r="I581" s="5"/>
      <c r="J581" s="5"/>
      <c r="K581" s="5"/>
      <c r="L581" s="5"/>
      <c r="M581" s="5"/>
      <c r="N581" s="5" t="s">
        <v>66</v>
      </c>
      <c r="O581" s="5"/>
      <c r="P581" s="6">
        <f t="shared" si="18"/>
        <v>1</v>
      </c>
      <c r="Q581" s="6" t="str">
        <f t="shared" si="19"/>
        <v>No</v>
      </c>
      <c r="R581" s="5" t="s">
        <v>51</v>
      </c>
      <c r="S581" s="5"/>
      <c r="T581" s="5"/>
      <c r="U581" s="5" t="s">
        <v>439</v>
      </c>
      <c r="V581" s="5"/>
      <c r="W581" s="5"/>
      <c r="X581" s="5"/>
      <c r="Y581" s="5"/>
    </row>
    <row r="582" spans="1:25" x14ac:dyDescent="0.25">
      <c r="A582" s="5" t="s">
        <v>1664</v>
      </c>
      <c r="B582" s="5"/>
      <c r="C582" s="5" t="s">
        <v>43</v>
      </c>
      <c r="D582" s="5" t="s">
        <v>44</v>
      </c>
      <c r="E582" s="5"/>
      <c r="F582" s="5" t="s">
        <v>107</v>
      </c>
      <c r="G582" s="5" t="s">
        <v>47</v>
      </c>
      <c r="H582" s="5" t="s">
        <v>1133</v>
      </c>
      <c r="I582" s="5" t="s">
        <v>78</v>
      </c>
      <c r="J582" s="5"/>
      <c r="K582" s="5" t="s">
        <v>78</v>
      </c>
      <c r="L582" s="5"/>
      <c r="M582" s="5"/>
      <c r="N582" s="5" t="s">
        <v>50</v>
      </c>
      <c r="O582" s="5"/>
      <c r="P582" s="6">
        <f t="shared" si="18"/>
        <v>5</v>
      </c>
      <c r="Q582" s="6" t="str">
        <f t="shared" si="19"/>
        <v>No</v>
      </c>
      <c r="R582" s="5" t="s">
        <v>51</v>
      </c>
      <c r="S582" s="5"/>
      <c r="T582" s="5" t="s">
        <v>1665</v>
      </c>
      <c r="U582" s="5" t="s">
        <v>1133</v>
      </c>
      <c r="V582" s="5"/>
      <c r="W582" s="5" t="s">
        <v>43</v>
      </c>
      <c r="X582" s="5" t="s">
        <v>68</v>
      </c>
      <c r="Y582" s="5" t="s">
        <v>81</v>
      </c>
    </row>
    <row r="583" spans="1:25" x14ac:dyDescent="0.25">
      <c r="A583" s="5" t="s">
        <v>1666</v>
      </c>
      <c r="B583" s="5"/>
      <c r="C583" s="5" t="s">
        <v>128</v>
      </c>
      <c r="D583" s="5"/>
      <c r="E583" s="5"/>
      <c r="F583" s="5"/>
      <c r="G583" s="5"/>
      <c r="H583" s="5" t="s">
        <v>58</v>
      </c>
      <c r="I583" s="5"/>
      <c r="J583" s="5"/>
      <c r="K583" s="5"/>
      <c r="L583" s="5"/>
      <c r="M583" s="5"/>
      <c r="N583" s="5" t="s">
        <v>66</v>
      </c>
      <c r="O583" s="5"/>
      <c r="P583" s="6">
        <f t="shared" si="18"/>
        <v>1</v>
      </c>
      <c r="Q583" s="6" t="str">
        <f t="shared" si="19"/>
        <v>No</v>
      </c>
      <c r="R583" s="5" t="s">
        <v>51</v>
      </c>
      <c r="S583" s="5"/>
      <c r="T583" s="5"/>
      <c r="U583" s="5" t="s">
        <v>63</v>
      </c>
      <c r="V583" s="5"/>
      <c r="W583" s="5" t="s">
        <v>128</v>
      </c>
      <c r="X583" s="5" t="s">
        <v>269</v>
      </c>
      <c r="Y583" s="5"/>
    </row>
    <row r="584" spans="1:25" x14ac:dyDescent="0.25">
      <c r="A584" s="5" t="s">
        <v>1667</v>
      </c>
      <c r="B584" s="5"/>
      <c r="C584" s="5" t="s">
        <v>128</v>
      </c>
      <c r="D584" s="5"/>
      <c r="E584" s="5"/>
      <c r="F584" s="5"/>
      <c r="G584" s="5" t="s">
        <v>57</v>
      </c>
      <c r="H584" s="5"/>
      <c r="I584" s="5"/>
      <c r="J584" s="5"/>
      <c r="K584" s="5"/>
      <c r="L584" s="5"/>
      <c r="M584" s="5"/>
      <c r="N584" s="5" t="s">
        <v>66</v>
      </c>
      <c r="O584" s="5"/>
      <c r="P584" s="6">
        <f t="shared" si="18"/>
        <v>1</v>
      </c>
      <c r="Q584" s="6" t="str">
        <f t="shared" si="19"/>
        <v>No</v>
      </c>
      <c r="R584" s="5" t="s">
        <v>51</v>
      </c>
      <c r="S584" s="5"/>
      <c r="T584" s="5" t="s">
        <v>1668</v>
      </c>
      <c r="U584" s="5"/>
      <c r="V584" s="5" t="s">
        <v>57</v>
      </c>
      <c r="W584" s="5" t="s">
        <v>128</v>
      </c>
      <c r="X584" s="5" t="s">
        <v>130</v>
      </c>
      <c r="Y584" s="5"/>
    </row>
    <row r="585" spans="1:25" x14ac:dyDescent="0.25">
      <c r="A585" s="5" t="s">
        <v>1428</v>
      </c>
      <c r="B585" s="5"/>
      <c r="C585" s="5" t="s">
        <v>70</v>
      </c>
      <c r="D585" s="5" t="s">
        <v>44</v>
      </c>
      <c r="E585" s="5" t="s">
        <v>45</v>
      </c>
      <c r="F585" s="5" t="s">
        <v>46</v>
      </c>
      <c r="G585" s="5" t="s">
        <v>47</v>
      </c>
      <c r="H585" s="5" t="s">
        <v>314</v>
      </c>
      <c r="I585" s="5" t="s">
        <v>192</v>
      </c>
      <c r="J585" s="5"/>
      <c r="K585" s="5" t="s">
        <v>192</v>
      </c>
      <c r="L585" s="5"/>
      <c r="M585" s="5"/>
      <c r="N585" s="5" t="s">
        <v>124</v>
      </c>
      <c r="O585" s="5"/>
      <c r="P585" s="6">
        <f t="shared" si="18"/>
        <v>6</v>
      </c>
      <c r="Q585" s="6" t="str">
        <f t="shared" si="19"/>
        <v>Yes</v>
      </c>
      <c r="R585" s="5" t="s">
        <v>125</v>
      </c>
      <c r="S585" s="5"/>
      <c r="T585" s="5"/>
      <c r="U585" s="5" t="s">
        <v>1669</v>
      </c>
      <c r="V585" s="5" t="s">
        <v>47</v>
      </c>
      <c r="W585" s="5"/>
      <c r="X585" s="5"/>
      <c r="Y585" s="5" t="s">
        <v>577</v>
      </c>
    </row>
    <row r="586" spans="1:25" x14ac:dyDescent="0.25">
      <c r="A586" s="5" t="s">
        <v>1670</v>
      </c>
      <c r="B586" s="5"/>
      <c r="C586" s="5" t="s">
        <v>43</v>
      </c>
      <c r="D586" s="5" t="s">
        <v>44</v>
      </c>
      <c r="E586" s="5"/>
      <c r="F586" s="5" t="s">
        <v>107</v>
      </c>
      <c r="G586" s="5" t="s">
        <v>47</v>
      </c>
      <c r="H586" s="5" t="s">
        <v>314</v>
      </c>
      <c r="I586" s="5" t="s">
        <v>91</v>
      </c>
      <c r="J586" s="5"/>
      <c r="K586" s="5" t="s">
        <v>91</v>
      </c>
      <c r="L586" s="5"/>
      <c r="M586" s="5"/>
      <c r="N586" s="5" t="s">
        <v>50</v>
      </c>
      <c r="O586" s="5"/>
      <c r="P586" s="6">
        <f t="shared" si="18"/>
        <v>5</v>
      </c>
      <c r="Q586" s="6" t="str">
        <f t="shared" si="19"/>
        <v>No</v>
      </c>
      <c r="R586" s="5" t="s">
        <v>51</v>
      </c>
      <c r="S586" s="5"/>
      <c r="T586" s="5" t="s">
        <v>1671</v>
      </c>
      <c r="U586" s="5" t="s">
        <v>317</v>
      </c>
      <c r="V586" s="5"/>
      <c r="W586" s="5" t="s">
        <v>43</v>
      </c>
      <c r="X586" s="5"/>
      <c r="Y586" s="5" t="s">
        <v>1672</v>
      </c>
    </row>
    <row r="587" spans="1:25" x14ac:dyDescent="0.25">
      <c r="A587" s="5" t="s">
        <v>1673</v>
      </c>
      <c r="B587" s="5"/>
      <c r="C587" s="5" t="s">
        <v>43</v>
      </c>
      <c r="D587" s="5"/>
      <c r="E587" s="5"/>
      <c r="F587" s="5"/>
      <c r="G587" s="5" t="s">
        <v>47</v>
      </c>
      <c r="H587" s="5"/>
      <c r="I587" s="5"/>
      <c r="J587" s="5"/>
      <c r="K587" s="5"/>
      <c r="L587" s="5"/>
      <c r="M587" s="5"/>
      <c r="N587" s="5" t="s">
        <v>66</v>
      </c>
      <c r="O587" s="5"/>
      <c r="P587" s="6">
        <f t="shared" si="18"/>
        <v>1</v>
      </c>
      <c r="Q587" s="6" t="str">
        <f t="shared" si="19"/>
        <v>No</v>
      </c>
      <c r="R587" s="5" t="s">
        <v>51</v>
      </c>
      <c r="S587" s="5"/>
      <c r="T587" s="5"/>
      <c r="U587" s="5"/>
      <c r="V587" s="5" t="s">
        <v>67</v>
      </c>
      <c r="W587" s="5" t="s">
        <v>43</v>
      </c>
      <c r="X587" s="5" t="s">
        <v>68</v>
      </c>
      <c r="Y587" s="5"/>
    </row>
    <row r="588" spans="1:25" x14ac:dyDescent="0.25">
      <c r="A588" s="5" t="s">
        <v>43</v>
      </c>
      <c r="B588" s="5"/>
      <c r="C588" s="5"/>
      <c r="D588" s="5"/>
      <c r="E588" s="5"/>
      <c r="F588" s="5"/>
      <c r="G588" s="5" t="s">
        <v>47</v>
      </c>
      <c r="H588" s="5"/>
      <c r="I588" s="5"/>
      <c r="J588" s="5"/>
      <c r="K588" s="5"/>
      <c r="L588" s="5"/>
      <c r="M588" s="5"/>
      <c r="N588" s="5" t="s">
        <v>66</v>
      </c>
      <c r="O588" s="5"/>
      <c r="P588" s="6">
        <f t="shared" si="18"/>
        <v>1</v>
      </c>
      <c r="Q588" s="6" t="str">
        <f t="shared" si="19"/>
        <v>No</v>
      </c>
      <c r="R588" s="5" t="s">
        <v>51</v>
      </c>
      <c r="S588" s="5"/>
      <c r="T588" s="5"/>
      <c r="U588" s="5"/>
      <c r="V588" s="5" t="s">
        <v>67</v>
      </c>
      <c r="W588" s="5"/>
      <c r="X588" s="5"/>
      <c r="Y588" s="5"/>
    </row>
    <row r="589" spans="1:25" x14ac:dyDescent="0.25">
      <c r="A589" s="5" t="s">
        <v>1674</v>
      </c>
      <c r="B589" s="5"/>
      <c r="C589" s="5" t="s">
        <v>43</v>
      </c>
      <c r="D589" s="5" t="s">
        <v>76</v>
      </c>
      <c r="E589" s="5"/>
      <c r="F589" s="5"/>
      <c r="G589" s="5"/>
      <c r="H589" s="5" t="s">
        <v>83</v>
      </c>
      <c r="I589" s="5" t="s">
        <v>59</v>
      </c>
      <c r="J589" s="5" t="s">
        <v>71</v>
      </c>
      <c r="K589" s="5" t="s">
        <v>1675</v>
      </c>
      <c r="L589" s="5"/>
      <c r="M589" s="5"/>
      <c r="N589" s="5" t="s">
        <v>50</v>
      </c>
      <c r="O589" s="5"/>
      <c r="P589" s="6">
        <f t="shared" si="18"/>
        <v>3</v>
      </c>
      <c r="Q589" s="6" t="str">
        <f t="shared" si="19"/>
        <v>No</v>
      </c>
      <c r="R589" s="5" t="s">
        <v>51</v>
      </c>
      <c r="S589" s="5"/>
      <c r="T589" s="5"/>
      <c r="U589" s="5" t="s">
        <v>83</v>
      </c>
      <c r="V589" s="5"/>
      <c r="W589" s="5" t="s">
        <v>43</v>
      </c>
      <c r="X589" s="5"/>
      <c r="Y589" s="5" t="s">
        <v>353</v>
      </c>
    </row>
    <row r="590" spans="1:25" x14ac:dyDescent="0.25">
      <c r="A590" s="5" t="s">
        <v>1676</v>
      </c>
      <c r="B590" s="5"/>
      <c r="C590" s="5" t="s">
        <v>43</v>
      </c>
      <c r="D590" s="5"/>
      <c r="E590" s="5" t="s">
        <v>45</v>
      </c>
      <c r="F590" s="5"/>
      <c r="G590" s="5" t="s">
        <v>47</v>
      </c>
      <c r="H590" s="5"/>
      <c r="I590" s="5"/>
      <c r="J590" s="5"/>
      <c r="K590" s="5"/>
      <c r="L590" s="5"/>
      <c r="M590" s="5"/>
      <c r="N590" s="5" t="s">
        <v>66</v>
      </c>
      <c r="O590" s="5"/>
      <c r="P590" s="6">
        <f t="shared" si="18"/>
        <v>2</v>
      </c>
      <c r="Q590" s="6" t="str">
        <f t="shared" si="19"/>
        <v>No</v>
      </c>
      <c r="R590" s="5" t="s">
        <v>51</v>
      </c>
      <c r="S590" s="5" t="s">
        <v>1677</v>
      </c>
      <c r="T590" s="5"/>
      <c r="U590" s="5"/>
      <c r="V590" s="5" t="s">
        <v>67</v>
      </c>
      <c r="W590" s="5" t="s">
        <v>43</v>
      </c>
      <c r="X590" s="5" t="s">
        <v>68</v>
      </c>
      <c r="Y590" s="5" t="s">
        <v>337</v>
      </c>
    </row>
    <row r="591" spans="1:25" x14ac:dyDescent="0.25">
      <c r="A591" s="5" t="s">
        <v>1678</v>
      </c>
      <c r="B591" s="5"/>
      <c r="C591" s="5" t="s">
        <v>70</v>
      </c>
      <c r="D591" s="5" t="s">
        <v>44</v>
      </c>
      <c r="E591" s="5"/>
      <c r="F591" s="5" t="s">
        <v>46</v>
      </c>
      <c r="G591" s="5"/>
      <c r="H591" s="5"/>
      <c r="I591" s="5" t="s">
        <v>49</v>
      </c>
      <c r="J591" s="5"/>
      <c r="K591" s="5" t="s">
        <v>49</v>
      </c>
      <c r="L591" s="5"/>
      <c r="M591" s="5"/>
      <c r="N591" s="5" t="s">
        <v>124</v>
      </c>
      <c r="O591" s="5"/>
      <c r="P591" s="6">
        <f t="shared" si="18"/>
        <v>3</v>
      </c>
      <c r="Q591" s="6" t="str">
        <f t="shared" si="19"/>
        <v>No</v>
      </c>
      <c r="R591" s="5" t="s">
        <v>125</v>
      </c>
      <c r="S591" s="5"/>
      <c r="T591" s="5"/>
      <c r="U591" s="5" t="s">
        <v>1679</v>
      </c>
      <c r="V591" s="5"/>
      <c r="W591" s="5"/>
      <c r="X591" s="5"/>
      <c r="Y591" s="5" t="s">
        <v>1680</v>
      </c>
    </row>
    <row r="592" spans="1:25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6" t="str">
        <f t="shared" si="18"/>
        <v/>
      </c>
      <c r="Q592" s="6" t="str">
        <f t="shared" si="19"/>
        <v/>
      </c>
      <c r="R592" s="5"/>
      <c r="S592" s="5"/>
      <c r="T592" s="5"/>
      <c r="U592" s="5"/>
      <c r="V592" s="5"/>
      <c r="W592" s="5"/>
      <c r="X592" s="5"/>
      <c r="Y592" s="5"/>
    </row>
    <row r="593" spans="1:25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6" t="str">
        <f t="shared" si="18"/>
        <v/>
      </c>
      <c r="Q593" s="6" t="str">
        <f t="shared" si="19"/>
        <v/>
      </c>
      <c r="R593" s="5"/>
      <c r="S593" s="5"/>
      <c r="T593" s="5"/>
      <c r="U593" s="5"/>
      <c r="V593" s="5"/>
      <c r="W593" s="5"/>
      <c r="X593" s="5"/>
      <c r="Y593" s="5"/>
    </row>
    <row r="594" spans="1:25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6" t="str">
        <f t="shared" si="18"/>
        <v/>
      </c>
      <c r="Q594" s="6" t="str">
        <f t="shared" si="19"/>
        <v/>
      </c>
      <c r="R594" s="5"/>
      <c r="S594" s="5"/>
      <c r="T594" s="5"/>
      <c r="U594" s="5"/>
      <c r="V594" s="5"/>
      <c r="W594" s="5"/>
      <c r="X594" s="5"/>
      <c r="Y594" s="5"/>
    </row>
    <row r="595" spans="1:25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6" t="str">
        <f t="shared" si="18"/>
        <v/>
      </c>
      <c r="Q595" s="6" t="str">
        <f t="shared" si="19"/>
        <v/>
      </c>
      <c r="R595" s="5"/>
      <c r="S595" s="5"/>
      <c r="T595" s="5"/>
      <c r="U595" s="5"/>
      <c r="V595" s="5"/>
      <c r="W595" s="5"/>
      <c r="X595" s="5"/>
      <c r="Y595" s="5"/>
    </row>
    <row r="596" spans="1:25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6" t="str">
        <f t="shared" si="18"/>
        <v/>
      </c>
      <c r="Q596" s="6" t="str">
        <f t="shared" si="19"/>
        <v/>
      </c>
      <c r="R596" s="5"/>
      <c r="S596" s="5"/>
      <c r="T596" s="5"/>
      <c r="U596" s="5"/>
      <c r="V596" s="5"/>
      <c r="W596" s="5"/>
      <c r="X596" s="5"/>
      <c r="Y596" s="5"/>
    </row>
    <row r="597" spans="1:25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6" t="str">
        <f t="shared" si="18"/>
        <v/>
      </c>
      <c r="Q597" s="6" t="str">
        <f t="shared" si="19"/>
        <v/>
      </c>
      <c r="R597" s="5"/>
      <c r="S597" s="5"/>
      <c r="T597" s="5"/>
      <c r="U597" s="5"/>
      <c r="V597" s="5"/>
      <c r="W597" s="5"/>
      <c r="X597" s="5"/>
      <c r="Y597" s="5"/>
    </row>
    <row r="598" spans="1:25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6" t="str">
        <f t="shared" si="18"/>
        <v/>
      </c>
      <c r="Q598" s="6" t="str">
        <f t="shared" si="19"/>
        <v/>
      </c>
      <c r="R598" s="5"/>
      <c r="S598" s="5"/>
      <c r="T598" s="5"/>
      <c r="U598" s="5"/>
      <c r="V598" s="5"/>
      <c r="W598" s="5"/>
      <c r="X598" s="5"/>
      <c r="Y598" s="5"/>
    </row>
    <row r="599" spans="1:25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6" t="str">
        <f t="shared" si="18"/>
        <v/>
      </c>
      <c r="Q599" s="6" t="str">
        <f t="shared" si="19"/>
        <v/>
      </c>
      <c r="R599" s="5"/>
      <c r="S599" s="5"/>
      <c r="T599" s="5"/>
      <c r="U599" s="5"/>
      <c r="V599" s="5"/>
      <c r="W599" s="5"/>
      <c r="X599" s="5"/>
      <c r="Y599" s="5"/>
    </row>
    <row r="600" spans="1:25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6" t="str">
        <f t="shared" si="18"/>
        <v/>
      </c>
      <c r="Q600" s="6" t="str">
        <f t="shared" si="19"/>
        <v/>
      </c>
      <c r="R600" s="5"/>
      <c r="S600" s="5"/>
      <c r="T600" s="5"/>
      <c r="U600" s="5"/>
      <c r="V600" s="5"/>
      <c r="W600" s="5"/>
      <c r="X600" s="5"/>
      <c r="Y600" s="5"/>
    </row>
    <row r="601" spans="1:25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6" t="str">
        <f t="shared" si="18"/>
        <v/>
      </c>
      <c r="Q601" s="6" t="str">
        <f t="shared" si="19"/>
        <v/>
      </c>
      <c r="R601" s="5"/>
      <c r="S601" s="5"/>
      <c r="T601" s="5"/>
      <c r="U601" s="5"/>
      <c r="V601" s="5"/>
      <c r="W601" s="5"/>
      <c r="X601" s="5"/>
      <c r="Y601" s="5"/>
    </row>
    <row r="602" spans="1:25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6" t="str">
        <f t="shared" si="18"/>
        <v/>
      </c>
      <c r="Q602" s="6" t="str">
        <f t="shared" si="19"/>
        <v/>
      </c>
      <c r="R602" s="5"/>
      <c r="S602" s="5"/>
      <c r="T602" s="5"/>
      <c r="U602" s="5"/>
      <c r="V602" s="5"/>
      <c r="W602" s="5"/>
      <c r="X602" s="5"/>
      <c r="Y602" s="5"/>
    </row>
    <row r="603" spans="1:25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6" t="str">
        <f t="shared" si="18"/>
        <v/>
      </c>
      <c r="Q603" s="6" t="str">
        <f t="shared" si="19"/>
        <v/>
      </c>
      <c r="R603" s="5"/>
      <c r="S603" s="5"/>
      <c r="T603" s="5"/>
      <c r="U603" s="5"/>
      <c r="V603" s="5"/>
      <c r="W603" s="5"/>
      <c r="X603" s="5"/>
      <c r="Y603" s="5"/>
    </row>
    <row r="604" spans="1:25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6" t="str">
        <f t="shared" si="18"/>
        <v/>
      </c>
      <c r="Q604" s="6" t="str">
        <f t="shared" si="19"/>
        <v/>
      </c>
      <c r="R604" s="5"/>
      <c r="S604" s="5"/>
      <c r="T604" s="5"/>
      <c r="U604" s="5"/>
      <c r="V604" s="5"/>
      <c r="W604" s="5"/>
      <c r="X604" s="5"/>
      <c r="Y604" s="5"/>
    </row>
    <row r="605" spans="1:25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6" t="str">
        <f t="shared" si="18"/>
        <v/>
      </c>
      <c r="Q605" s="6" t="str">
        <f t="shared" si="19"/>
        <v/>
      </c>
      <c r="R605" s="5"/>
      <c r="S605" s="5"/>
      <c r="T605" s="5"/>
      <c r="U605" s="5"/>
      <c r="V605" s="5"/>
      <c r="W605" s="5"/>
      <c r="X605" s="5"/>
      <c r="Y605" s="5"/>
    </row>
    <row r="606" spans="1:25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6" t="str">
        <f t="shared" si="18"/>
        <v/>
      </c>
      <c r="Q606" s="6" t="str">
        <f t="shared" si="19"/>
        <v/>
      </c>
      <c r="R606" s="5"/>
      <c r="S606" s="5"/>
      <c r="T606" s="5"/>
      <c r="U606" s="5"/>
      <c r="V606" s="5"/>
      <c r="W606" s="5"/>
      <c r="X606" s="5"/>
      <c r="Y606" s="5"/>
    </row>
    <row r="607" spans="1:25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6" t="str">
        <f t="shared" si="18"/>
        <v/>
      </c>
      <c r="Q607" s="6" t="str">
        <f t="shared" si="19"/>
        <v/>
      </c>
      <c r="R607" s="5"/>
      <c r="S607" s="5"/>
      <c r="T607" s="5"/>
      <c r="U607" s="5"/>
      <c r="V607" s="5"/>
      <c r="W607" s="5"/>
      <c r="X607" s="5"/>
      <c r="Y607" s="5"/>
    </row>
    <row r="608" spans="1:25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6" t="str">
        <f t="shared" si="18"/>
        <v/>
      </c>
      <c r="Q608" s="6" t="str">
        <f t="shared" si="19"/>
        <v/>
      </c>
      <c r="R608" s="5"/>
      <c r="S608" s="5"/>
      <c r="T608" s="5"/>
      <c r="U608" s="5"/>
      <c r="V608" s="5"/>
      <c r="W608" s="5"/>
      <c r="X608" s="5"/>
      <c r="Y608" s="5"/>
    </row>
    <row r="609" spans="1:25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6" t="str">
        <f t="shared" si="18"/>
        <v/>
      </c>
      <c r="Q609" s="6" t="str">
        <f t="shared" si="19"/>
        <v/>
      </c>
      <c r="R609" s="5"/>
      <c r="S609" s="5"/>
      <c r="T609" s="5"/>
      <c r="U609" s="5"/>
      <c r="V609" s="5"/>
      <c r="W609" s="5"/>
      <c r="X609" s="5"/>
      <c r="Y609" s="5"/>
    </row>
    <row r="610" spans="1:25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6" t="str">
        <f t="shared" si="18"/>
        <v/>
      </c>
      <c r="Q610" s="6" t="str">
        <f t="shared" si="19"/>
        <v/>
      </c>
      <c r="R610" s="5"/>
      <c r="S610" s="5"/>
      <c r="T610" s="5"/>
      <c r="U610" s="5"/>
      <c r="V610" s="5"/>
      <c r="W610" s="5"/>
      <c r="X610" s="5"/>
      <c r="Y610" s="5"/>
    </row>
    <row r="611" spans="1:25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6" t="str">
        <f t="shared" si="18"/>
        <v/>
      </c>
      <c r="Q611" s="6" t="str">
        <f t="shared" si="19"/>
        <v/>
      </c>
      <c r="R611" s="5"/>
      <c r="S611" s="5"/>
      <c r="T611" s="5"/>
      <c r="U611" s="5"/>
      <c r="V611" s="5"/>
      <c r="W611" s="5"/>
      <c r="X611" s="5"/>
      <c r="Y611" s="5"/>
    </row>
    <row r="612" spans="1:25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6" t="str">
        <f t="shared" si="18"/>
        <v/>
      </c>
      <c r="Q612" s="6" t="str">
        <f t="shared" si="19"/>
        <v/>
      </c>
      <c r="R612" s="5"/>
      <c r="S612" s="5"/>
      <c r="T612" s="5"/>
      <c r="U612" s="5"/>
      <c r="V612" s="5"/>
      <c r="W612" s="5"/>
      <c r="X612" s="5"/>
      <c r="Y612" s="5"/>
    </row>
    <row r="613" spans="1:25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6" t="str">
        <f t="shared" si="18"/>
        <v/>
      </c>
      <c r="Q613" s="6" t="str">
        <f t="shared" si="19"/>
        <v/>
      </c>
      <c r="R613" s="5"/>
      <c r="S613" s="5"/>
      <c r="T613" s="5"/>
      <c r="U613" s="5"/>
      <c r="V613" s="5"/>
      <c r="W613" s="5"/>
      <c r="X613" s="5"/>
      <c r="Y613" s="5"/>
    </row>
    <row r="614" spans="1:25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6" t="str">
        <f t="shared" si="18"/>
        <v/>
      </c>
      <c r="Q614" s="6" t="str">
        <f t="shared" si="19"/>
        <v/>
      </c>
      <c r="R614" s="5"/>
      <c r="S614" s="5"/>
      <c r="T614" s="5"/>
      <c r="U614" s="5"/>
      <c r="V614" s="5"/>
      <c r="W614" s="5"/>
      <c r="X614" s="5"/>
      <c r="Y614" s="5"/>
    </row>
    <row r="615" spans="1:25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6" t="str">
        <f t="shared" si="18"/>
        <v/>
      </c>
      <c r="Q615" s="6" t="str">
        <f t="shared" si="19"/>
        <v/>
      </c>
      <c r="R615" s="5"/>
      <c r="S615" s="5"/>
      <c r="T615" s="5"/>
      <c r="U615" s="5"/>
      <c r="V615" s="5"/>
      <c r="W615" s="5"/>
      <c r="X615" s="5"/>
      <c r="Y615" s="5"/>
    </row>
    <row r="616" spans="1:25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6" t="str">
        <f t="shared" si="18"/>
        <v/>
      </c>
      <c r="Q616" s="6" t="str">
        <f t="shared" si="19"/>
        <v/>
      </c>
      <c r="R616" s="5"/>
      <c r="S616" s="5"/>
      <c r="T616" s="5"/>
      <c r="U616" s="5"/>
      <c r="V616" s="5"/>
      <c r="W616" s="5"/>
      <c r="X616" s="5"/>
      <c r="Y616" s="5"/>
    </row>
    <row r="617" spans="1:25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6" t="str">
        <f t="shared" si="18"/>
        <v/>
      </c>
      <c r="Q617" s="6" t="str">
        <f t="shared" si="19"/>
        <v/>
      </c>
      <c r="R617" s="5"/>
      <c r="S617" s="5"/>
      <c r="T617" s="5"/>
      <c r="U617" s="5"/>
      <c r="V617" s="5"/>
      <c r="W617" s="5"/>
      <c r="X617" s="5"/>
      <c r="Y617" s="5"/>
    </row>
    <row r="618" spans="1:25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6" t="str">
        <f t="shared" si="18"/>
        <v/>
      </c>
      <c r="Q618" s="6" t="str">
        <f t="shared" si="19"/>
        <v/>
      </c>
      <c r="R618" s="5"/>
      <c r="S618" s="5"/>
      <c r="T618" s="5"/>
      <c r="U618" s="5"/>
      <c r="V618" s="5"/>
      <c r="W618" s="5"/>
      <c r="X618" s="5"/>
      <c r="Y618" s="5"/>
    </row>
    <row r="619" spans="1:25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6" t="str">
        <f t="shared" si="18"/>
        <v/>
      </c>
      <c r="Q619" s="6" t="str">
        <f t="shared" si="19"/>
        <v/>
      </c>
      <c r="R619" s="5"/>
      <c r="S619" s="5"/>
      <c r="T619" s="5"/>
      <c r="U619" s="5"/>
      <c r="V619" s="5"/>
      <c r="W619" s="5"/>
      <c r="X619" s="5"/>
      <c r="Y619" s="5"/>
    </row>
    <row r="620" spans="1:25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6" t="str">
        <f t="shared" si="18"/>
        <v/>
      </c>
      <c r="Q620" s="6" t="str">
        <f t="shared" si="19"/>
        <v/>
      </c>
      <c r="R620" s="5"/>
      <c r="S620" s="5"/>
      <c r="T620" s="5"/>
      <c r="U620" s="5"/>
      <c r="V620" s="5"/>
      <c r="W620" s="5"/>
      <c r="X620" s="5"/>
      <c r="Y620" s="5"/>
    </row>
    <row r="621" spans="1:25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6" t="str">
        <f t="shared" si="18"/>
        <v/>
      </c>
      <c r="Q621" s="6" t="str">
        <f t="shared" si="19"/>
        <v/>
      </c>
      <c r="R621" s="5"/>
      <c r="S621" s="5"/>
      <c r="T621" s="5"/>
      <c r="U621" s="5"/>
      <c r="V621" s="5"/>
      <c r="W621" s="5"/>
      <c r="X621" s="5"/>
      <c r="Y621" s="5"/>
    </row>
    <row r="622" spans="1:25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6" t="str">
        <f t="shared" si="18"/>
        <v/>
      </c>
      <c r="Q622" s="6" t="str">
        <f t="shared" si="19"/>
        <v/>
      </c>
      <c r="R622" s="5"/>
      <c r="S622" s="5"/>
      <c r="T622" s="5"/>
      <c r="U622" s="5"/>
      <c r="V622" s="5"/>
      <c r="W622" s="5"/>
      <c r="X622" s="5"/>
      <c r="Y622" s="5"/>
    </row>
    <row r="623" spans="1:25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6" t="str">
        <f t="shared" si="18"/>
        <v/>
      </c>
      <c r="Q623" s="6" t="str">
        <f t="shared" si="19"/>
        <v/>
      </c>
      <c r="R623" s="5"/>
      <c r="S623" s="5"/>
      <c r="T623" s="5"/>
      <c r="U623" s="5"/>
      <c r="V623" s="5"/>
      <c r="W623" s="5"/>
      <c r="X623" s="5"/>
      <c r="Y623" s="5"/>
    </row>
    <row r="624" spans="1:25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6" t="str">
        <f t="shared" si="18"/>
        <v/>
      </c>
      <c r="Q624" s="6" t="str">
        <f t="shared" si="19"/>
        <v/>
      </c>
      <c r="R624" s="5"/>
      <c r="S624" s="5"/>
      <c r="T624" s="5"/>
      <c r="U624" s="5"/>
      <c r="V624" s="5"/>
      <c r="W624" s="5"/>
      <c r="X624" s="5"/>
      <c r="Y624" s="5"/>
    </row>
    <row r="625" spans="1:25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6" t="str">
        <f t="shared" si="18"/>
        <v/>
      </c>
      <c r="Q625" s="6" t="str">
        <f t="shared" si="19"/>
        <v/>
      </c>
      <c r="R625" s="5"/>
      <c r="S625" s="5"/>
      <c r="T625" s="5"/>
      <c r="U625" s="5"/>
      <c r="V625" s="5"/>
      <c r="W625" s="5"/>
      <c r="X625" s="5"/>
      <c r="Y625" s="5"/>
    </row>
    <row r="626" spans="1:25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6" t="str">
        <f t="shared" si="18"/>
        <v/>
      </c>
      <c r="Q626" s="6" t="str">
        <f t="shared" si="19"/>
        <v/>
      </c>
      <c r="R626" s="5"/>
      <c r="S626" s="5"/>
      <c r="T626" s="5"/>
      <c r="U626" s="5"/>
      <c r="V626" s="5"/>
      <c r="W626" s="5"/>
      <c r="X626" s="5"/>
      <c r="Y626" s="5"/>
    </row>
    <row r="627" spans="1:25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6" t="str">
        <f t="shared" si="18"/>
        <v/>
      </c>
      <c r="Q627" s="6" t="str">
        <f t="shared" si="19"/>
        <v/>
      </c>
      <c r="R627" s="5"/>
      <c r="S627" s="5"/>
      <c r="T627" s="5"/>
      <c r="U627" s="5"/>
      <c r="V627" s="5"/>
      <c r="W627" s="5"/>
      <c r="X627" s="5"/>
      <c r="Y627" s="5"/>
    </row>
    <row r="628" spans="1:25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6" t="str">
        <f t="shared" si="18"/>
        <v/>
      </c>
      <c r="Q628" s="6" t="str">
        <f t="shared" si="19"/>
        <v/>
      </c>
      <c r="R628" s="5"/>
      <c r="S628" s="5"/>
      <c r="T628" s="5"/>
      <c r="U628" s="5"/>
      <c r="V628" s="5"/>
      <c r="W628" s="5"/>
      <c r="X628" s="5"/>
      <c r="Y628" s="5"/>
    </row>
    <row r="629" spans="1:25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6" t="str">
        <f t="shared" si="18"/>
        <v/>
      </c>
      <c r="Q629" s="6" t="str">
        <f t="shared" si="19"/>
        <v/>
      </c>
      <c r="R629" s="5"/>
      <c r="S629" s="5"/>
      <c r="T629" s="5"/>
      <c r="U629" s="5"/>
      <c r="V629" s="5"/>
      <c r="W629" s="5"/>
      <c r="X629" s="5"/>
      <c r="Y629" s="5"/>
    </row>
    <row r="630" spans="1:25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6" t="str">
        <f t="shared" si="18"/>
        <v/>
      </c>
      <c r="Q630" s="6" t="str">
        <f t="shared" si="19"/>
        <v/>
      </c>
      <c r="R630" s="5"/>
      <c r="S630" s="5"/>
      <c r="T630" s="5"/>
      <c r="U630" s="5"/>
      <c r="V630" s="5"/>
      <c r="W630" s="5"/>
      <c r="X630" s="5"/>
      <c r="Y630" s="5"/>
    </row>
    <row r="631" spans="1:25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6" t="str">
        <f t="shared" si="18"/>
        <v/>
      </c>
      <c r="Q631" s="6" t="str">
        <f t="shared" si="19"/>
        <v/>
      </c>
      <c r="R631" s="5"/>
      <c r="S631" s="5"/>
      <c r="T631" s="5"/>
      <c r="U631" s="5"/>
      <c r="V631" s="5"/>
      <c r="W631" s="5"/>
      <c r="X631" s="5"/>
      <c r="Y631" s="5"/>
    </row>
    <row r="632" spans="1:25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6" t="str">
        <f t="shared" si="18"/>
        <v/>
      </c>
      <c r="Q632" s="6" t="str">
        <f t="shared" si="19"/>
        <v/>
      </c>
      <c r="R632" s="5"/>
      <c r="S632" s="5"/>
      <c r="T632" s="5"/>
      <c r="U632" s="5"/>
      <c r="V632" s="5"/>
      <c r="W632" s="5"/>
      <c r="X632" s="5"/>
      <c r="Y632" s="5"/>
    </row>
    <row r="633" spans="1:25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6" t="str">
        <f t="shared" si="18"/>
        <v/>
      </c>
      <c r="Q633" s="6" t="str">
        <f t="shared" si="19"/>
        <v/>
      </c>
      <c r="R633" s="5"/>
      <c r="S633" s="5"/>
      <c r="T633" s="5"/>
      <c r="U633" s="5"/>
      <c r="V633" s="5"/>
      <c r="W633" s="5"/>
      <c r="X633" s="5"/>
      <c r="Y633" s="5"/>
    </row>
    <row r="634" spans="1:25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6" t="str">
        <f t="shared" si="18"/>
        <v/>
      </c>
      <c r="Q634" s="6" t="str">
        <f t="shared" si="19"/>
        <v/>
      </c>
      <c r="R634" s="5"/>
      <c r="S634" s="5"/>
      <c r="T634" s="5"/>
      <c r="U634" s="5"/>
      <c r="V634" s="5"/>
      <c r="W634" s="5"/>
      <c r="X634" s="5"/>
      <c r="Y634" s="5"/>
    </row>
    <row r="635" spans="1:25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6" t="str">
        <f t="shared" si="18"/>
        <v/>
      </c>
      <c r="Q635" s="6" t="str">
        <f t="shared" si="19"/>
        <v/>
      </c>
      <c r="R635" s="5"/>
      <c r="S635" s="5"/>
      <c r="T635" s="5"/>
      <c r="U635" s="5"/>
      <c r="V635" s="5"/>
      <c r="W635" s="5"/>
      <c r="X635" s="5"/>
      <c r="Y635" s="5"/>
    </row>
    <row r="636" spans="1:25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6" t="str">
        <f t="shared" si="18"/>
        <v/>
      </c>
      <c r="Q636" s="6" t="str">
        <f t="shared" si="19"/>
        <v/>
      </c>
      <c r="R636" s="5"/>
      <c r="S636" s="5"/>
      <c r="T636" s="5"/>
      <c r="U636" s="5"/>
      <c r="V636" s="5"/>
      <c r="W636" s="5"/>
      <c r="X636" s="5"/>
      <c r="Y636" s="5"/>
    </row>
    <row r="637" spans="1:25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6" t="str">
        <f t="shared" si="18"/>
        <v/>
      </c>
      <c r="Q637" s="6" t="str">
        <f t="shared" si="19"/>
        <v/>
      </c>
      <c r="R637" s="5"/>
      <c r="S637" s="5"/>
      <c r="T637" s="5"/>
      <c r="U637" s="5"/>
      <c r="V637" s="5"/>
      <c r="W637" s="5"/>
      <c r="X637" s="5"/>
      <c r="Y637" s="5"/>
    </row>
    <row r="638" spans="1:25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6" t="str">
        <f t="shared" si="18"/>
        <v/>
      </c>
      <c r="Q638" s="6" t="str">
        <f t="shared" si="19"/>
        <v/>
      </c>
      <c r="R638" s="5"/>
      <c r="S638" s="5"/>
      <c r="T638" s="5"/>
      <c r="U638" s="5"/>
      <c r="V638" s="5"/>
      <c r="W638" s="5"/>
      <c r="X638" s="5"/>
      <c r="Y638" s="5"/>
    </row>
    <row r="639" spans="1:25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6" t="str">
        <f t="shared" si="18"/>
        <v/>
      </c>
      <c r="Q639" s="6" t="str">
        <f t="shared" si="19"/>
        <v/>
      </c>
      <c r="R639" s="5"/>
      <c r="S639" s="5"/>
      <c r="T639" s="5"/>
      <c r="U639" s="5"/>
      <c r="V639" s="5"/>
      <c r="W639" s="5"/>
      <c r="X639" s="5"/>
      <c r="Y639" s="5"/>
    </row>
    <row r="640" spans="1:25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6" t="str">
        <f t="shared" si="18"/>
        <v/>
      </c>
      <c r="Q640" s="6" t="str">
        <f t="shared" si="19"/>
        <v/>
      </c>
      <c r="R640" s="5"/>
      <c r="S640" s="5"/>
      <c r="T640" s="5"/>
      <c r="U640" s="5"/>
      <c r="V640" s="5"/>
      <c r="W640" s="5"/>
      <c r="X640" s="5"/>
      <c r="Y640" s="5"/>
    </row>
    <row r="641" spans="1:25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6" t="str">
        <f t="shared" si="18"/>
        <v/>
      </c>
      <c r="Q641" s="6" t="str">
        <f t="shared" si="19"/>
        <v/>
      </c>
      <c r="R641" s="5"/>
      <c r="S641" s="5"/>
      <c r="T641" s="5"/>
      <c r="U641" s="5"/>
      <c r="V641" s="5"/>
      <c r="W641" s="5"/>
      <c r="X641" s="5"/>
      <c r="Y641" s="5"/>
    </row>
    <row r="642" spans="1:25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6" t="str">
        <f t="shared" ref="P642:P701" si="20">IF(A642="","",COUNTA(D642:F642)+COUNTA(G642:G642)+COUNTA(H642:H642)+COUNTA(I642:I642))</f>
        <v/>
      </c>
      <c r="Q642" s="6" t="str">
        <f t="shared" ref="Q642:Q701" si="21">IF(A642="","",IF(AND(P642=6,UPPER(L642)&lt;&gt;"Y",C642&lt;&gt;""),"Yes","No"))</f>
        <v/>
      </c>
      <c r="R642" s="5"/>
      <c r="S642" s="5"/>
      <c r="T642" s="5"/>
      <c r="U642" s="5"/>
      <c r="V642" s="5"/>
      <c r="W642" s="5"/>
      <c r="X642" s="5"/>
      <c r="Y642" s="5"/>
    </row>
    <row r="643" spans="1:25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6" t="str">
        <f t="shared" si="20"/>
        <v/>
      </c>
      <c r="Q643" s="6" t="str">
        <f t="shared" si="21"/>
        <v/>
      </c>
      <c r="R643" s="5"/>
      <c r="S643" s="5"/>
      <c r="T643" s="5"/>
      <c r="U643" s="5"/>
      <c r="V643" s="5"/>
      <c r="W643" s="5"/>
      <c r="X643" s="5"/>
      <c r="Y643" s="5"/>
    </row>
    <row r="644" spans="1:25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6" t="str">
        <f t="shared" si="20"/>
        <v/>
      </c>
      <c r="Q644" s="6" t="str">
        <f t="shared" si="21"/>
        <v/>
      </c>
      <c r="R644" s="5"/>
      <c r="S644" s="5"/>
      <c r="T644" s="5"/>
      <c r="U644" s="5"/>
      <c r="V644" s="5"/>
      <c r="W644" s="5"/>
      <c r="X644" s="5"/>
      <c r="Y644" s="5"/>
    </row>
    <row r="645" spans="1:25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6" t="str">
        <f t="shared" si="20"/>
        <v/>
      </c>
      <c r="Q645" s="6" t="str">
        <f t="shared" si="21"/>
        <v/>
      </c>
      <c r="R645" s="5"/>
      <c r="S645" s="5"/>
      <c r="T645" s="5"/>
      <c r="U645" s="5"/>
      <c r="V645" s="5"/>
      <c r="W645" s="5"/>
      <c r="X645" s="5"/>
      <c r="Y645" s="5"/>
    </row>
    <row r="646" spans="1:25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6" t="str">
        <f t="shared" si="20"/>
        <v/>
      </c>
      <c r="Q646" s="6" t="str">
        <f t="shared" si="21"/>
        <v/>
      </c>
      <c r="R646" s="5"/>
      <c r="S646" s="5"/>
      <c r="T646" s="5"/>
      <c r="U646" s="5"/>
      <c r="V646" s="5"/>
      <c r="W646" s="5"/>
      <c r="X646" s="5"/>
      <c r="Y646" s="5"/>
    </row>
    <row r="647" spans="1:25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6" t="str">
        <f t="shared" si="20"/>
        <v/>
      </c>
      <c r="Q647" s="6" t="str">
        <f t="shared" si="21"/>
        <v/>
      </c>
      <c r="R647" s="5"/>
      <c r="S647" s="5"/>
      <c r="T647" s="5"/>
      <c r="U647" s="5"/>
      <c r="V647" s="5"/>
      <c r="W647" s="5"/>
      <c r="X647" s="5"/>
      <c r="Y647" s="5"/>
    </row>
    <row r="648" spans="1:25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6" t="str">
        <f t="shared" si="20"/>
        <v/>
      </c>
      <c r="Q648" s="6" t="str">
        <f t="shared" si="21"/>
        <v/>
      </c>
      <c r="R648" s="5"/>
      <c r="S648" s="5"/>
      <c r="T648" s="5"/>
      <c r="U648" s="5"/>
      <c r="V648" s="5"/>
      <c r="W648" s="5"/>
      <c r="X648" s="5"/>
      <c r="Y648" s="5"/>
    </row>
    <row r="649" spans="1:25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6" t="str">
        <f t="shared" si="20"/>
        <v/>
      </c>
      <c r="Q649" s="6" t="str">
        <f t="shared" si="21"/>
        <v/>
      </c>
      <c r="R649" s="5"/>
      <c r="S649" s="5"/>
      <c r="T649" s="5"/>
      <c r="U649" s="5"/>
      <c r="V649" s="5"/>
      <c r="W649" s="5"/>
      <c r="X649" s="5"/>
      <c r="Y649" s="5"/>
    </row>
    <row r="650" spans="1:25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6" t="str">
        <f t="shared" si="20"/>
        <v/>
      </c>
      <c r="Q650" s="6" t="str">
        <f t="shared" si="21"/>
        <v/>
      </c>
      <c r="R650" s="5"/>
      <c r="S650" s="5"/>
      <c r="T650" s="5"/>
      <c r="U650" s="5"/>
      <c r="V650" s="5"/>
      <c r="W650" s="5"/>
      <c r="X650" s="5"/>
      <c r="Y650" s="5"/>
    </row>
    <row r="651" spans="1:25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6" t="str">
        <f t="shared" si="20"/>
        <v/>
      </c>
      <c r="Q651" s="6" t="str">
        <f t="shared" si="21"/>
        <v/>
      </c>
      <c r="R651" s="5"/>
      <c r="S651" s="5"/>
      <c r="T651" s="5"/>
      <c r="U651" s="5"/>
      <c r="V651" s="5"/>
      <c r="W651" s="5"/>
      <c r="X651" s="5"/>
      <c r="Y651" s="5"/>
    </row>
    <row r="652" spans="1:25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6" t="str">
        <f t="shared" si="20"/>
        <v/>
      </c>
      <c r="Q652" s="6" t="str">
        <f t="shared" si="21"/>
        <v/>
      </c>
      <c r="R652" s="5"/>
      <c r="S652" s="5"/>
      <c r="T652" s="5"/>
      <c r="U652" s="5"/>
      <c r="V652" s="5"/>
      <c r="W652" s="5"/>
      <c r="X652" s="5"/>
      <c r="Y652" s="5"/>
    </row>
    <row r="653" spans="1:25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6" t="str">
        <f t="shared" si="20"/>
        <v/>
      </c>
      <c r="Q653" s="6" t="str">
        <f t="shared" si="21"/>
        <v/>
      </c>
      <c r="R653" s="5"/>
      <c r="S653" s="5"/>
      <c r="T653" s="5"/>
      <c r="U653" s="5"/>
      <c r="V653" s="5"/>
      <c r="W653" s="5"/>
      <c r="X653" s="5"/>
      <c r="Y653" s="5"/>
    </row>
    <row r="654" spans="1:25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6" t="str">
        <f t="shared" si="20"/>
        <v/>
      </c>
      <c r="Q654" s="6" t="str">
        <f t="shared" si="21"/>
        <v/>
      </c>
      <c r="R654" s="5"/>
      <c r="S654" s="5"/>
      <c r="T654" s="5"/>
      <c r="U654" s="5"/>
      <c r="V654" s="5"/>
      <c r="W654" s="5"/>
      <c r="X654" s="5"/>
      <c r="Y654" s="5"/>
    </row>
    <row r="655" spans="1:25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6" t="str">
        <f t="shared" si="20"/>
        <v/>
      </c>
      <c r="Q655" s="6" t="str">
        <f t="shared" si="21"/>
        <v/>
      </c>
      <c r="R655" s="5"/>
      <c r="S655" s="5"/>
      <c r="T655" s="5"/>
      <c r="U655" s="5"/>
      <c r="V655" s="5"/>
      <c r="W655" s="5"/>
      <c r="X655" s="5"/>
      <c r="Y655" s="5"/>
    </row>
    <row r="656" spans="1:25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6" t="str">
        <f t="shared" si="20"/>
        <v/>
      </c>
      <c r="Q656" s="6" t="str">
        <f t="shared" si="21"/>
        <v/>
      </c>
      <c r="R656" s="5"/>
      <c r="S656" s="5"/>
      <c r="T656" s="5"/>
      <c r="U656" s="5"/>
      <c r="V656" s="5"/>
      <c r="W656" s="5"/>
      <c r="X656" s="5"/>
      <c r="Y656" s="5"/>
    </row>
    <row r="657" spans="1:25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6" t="str">
        <f t="shared" si="20"/>
        <v/>
      </c>
      <c r="Q657" s="6" t="str">
        <f t="shared" si="21"/>
        <v/>
      </c>
      <c r="R657" s="5"/>
      <c r="S657" s="5"/>
      <c r="T657" s="5"/>
      <c r="U657" s="5"/>
      <c r="V657" s="5"/>
      <c r="W657" s="5"/>
      <c r="X657" s="5"/>
      <c r="Y657" s="5"/>
    </row>
    <row r="658" spans="1:25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6" t="str">
        <f t="shared" si="20"/>
        <v/>
      </c>
      <c r="Q658" s="6" t="str">
        <f t="shared" si="21"/>
        <v/>
      </c>
      <c r="R658" s="5"/>
      <c r="S658" s="5"/>
      <c r="T658" s="5"/>
      <c r="U658" s="5"/>
      <c r="V658" s="5"/>
      <c r="W658" s="5"/>
      <c r="X658" s="5"/>
      <c r="Y658" s="5"/>
    </row>
    <row r="659" spans="1:25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6" t="str">
        <f t="shared" si="20"/>
        <v/>
      </c>
      <c r="Q659" s="6" t="str">
        <f t="shared" si="21"/>
        <v/>
      </c>
      <c r="R659" s="5"/>
      <c r="S659" s="5"/>
      <c r="T659" s="5"/>
      <c r="U659" s="5"/>
      <c r="V659" s="5"/>
      <c r="W659" s="5"/>
      <c r="X659" s="5"/>
      <c r="Y659" s="5"/>
    </row>
    <row r="660" spans="1:25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6" t="str">
        <f t="shared" si="20"/>
        <v/>
      </c>
      <c r="Q660" s="6" t="str">
        <f t="shared" si="21"/>
        <v/>
      </c>
      <c r="R660" s="5"/>
      <c r="S660" s="5"/>
      <c r="T660" s="5"/>
      <c r="U660" s="5"/>
      <c r="V660" s="5"/>
      <c r="W660" s="5"/>
      <c r="X660" s="5"/>
      <c r="Y660" s="5"/>
    </row>
    <row r="661" spans="1:25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6" t="str">
        <f t="shared" si="20"/>
        <v/>
      </c>
      <c r="Q661" s="6" t="str">
        <f t="shared" si="21"/>
        <v/>
      </c>
      <c r="R661" s="5"/>
      <c r="S661" s="5"/>
      <c r="T661" s="5"/>
      <c r="U661" s="5"/>
      <c r="V661" s="5"/>
      <c r="W661" s="5"/>
      <c r="X661" s="5"/>
      <c r="Y661" s="5"/>
    </row>
    <row r="662" spans="1:25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6" t="str">
        <f t="shared" si="20"/>
        <v/>
      </c>
      <c r="Q662" s="6" t="str">
        <f t="shared" si="21"/>
        <v/>
      </c>
      <c r="R662" s="5"/>
      <c r="S662" s="5"/>
      <c r="T662" s="5"/>
      <c r="U662" s="5"/>
      <c r="V662" s="5"/>
      <c r="W662" s="5"/>
      <c r="X662" s="5"/>
      <c r="Y662" s="5"/>
    </row>
    <row r="663" spans="1:25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6" t="str">
        <f t="shared" si="20"/>
        <v/>
      </c>
      <c r="Q663" s="6" t="str">
        <f t="shared" si="21"/>
        <v/>
      </c>
      <c r="R663" s="5"/>
      <c r="S663" s="5"/>
      <c r="T663" s="5"/>
      <c r="U663" s="5"/>
      <c r="V663" s="5"/>
      <c r="W663" s="5"/>
      <c r="X663" s="5"/>
      <c r="Y663" s="5"/>
    </row>
    <row r="664" spans="1:25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6" t="str">
        <f t="shared" si="20"/>
        <v/>
      </c>
      <c r="Q664" s="6" t="str">
        <f t="shared" si="21"/>
        <v/>
      </c>
      <c r="R664" s="5"/>
      <c r="S664" s="5"/>
      <c r="T664" s="5"/>
      <c r="U664" s="5"/>
      <c r="V664" s="5"/>
      <c r="W664" s="5"/>
      <c r="X664" s="5"/>
      <c r="Y664" s="5"/>
    </row>
    <row r="665" spans="1:25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6" t="str">
        <f t="shared" si="20"/>
        <v/>
      </c>
      <c r="Q665" s="6" t="str">
        <f t="shared" si="21"/>
        <v/>
      </c>
      <c r="R665" s="5"/>
      <c r="S665" s="5"/>
      <c r="T665" s="5"/>
      <c r="U665" s="5"/>
      <c r="V665" s="5"/>
      <c r="W665" s="5"/>
      <c r="X665" s="5"/>
      <c r="Y665" s="5"/>
    </row>
    <row r="666" spans="1:25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6" t="str">
        <f t="shared" si="20"/>
        <v/>
      </c>
      <c r="Q666" s="6" t="str">
        <f t="shared" si="21"/>
        <v/>
      </c>
      <c r="R666" s="5"/>
      <c r="S666" s="5"/>
      <c r="T666" s="5"/>
      <c r="U666" s="5"/>
      <c r="V666" s="5"/>
      <c r="W666" s="5"/>
      <c r="X666" s="5"/>
      <c r="Y666" s="5"/>
    </row>
    <row r="667" spans="1:25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6" t="str">
        <f t="shared" si="20"/>
        <v/>
      </c>
      <c r="Q667" s="6" t="str">
        <f t="shared" si="21"/>
        <v/>
      </c>
      <c r="R667" s="5"/>
      <c r="S667" s="5"/>
      <c r="T667" s="5"/>
      <c r="U667" s="5"/>
      <c r="V667" s="5"/>
      <c r="W667" s="5"/>
      <c r="X667" s="5"/>
      <c r="Y667" s="5"/>
    </row>
    <row r="668" spans="1:25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6" t="str">
        <f t="shared" si="20"/>
        <v/>
      </c>
      <c r="Q668" s="6" t="str">
        <f t="shared" si="21"/>
        <v/>
      </c>
      <c r="R668" s="5"/>
      <c r="S668" s="5"/>
      <c r="T668" s="5"/>
      <c r="U668" s="5"/>
      <c r="V668" s="5"/>
      <c r="W668" s="5"/>
      <c r="X668" s="5"/>
      <c r="Y668" s="5"/>
    </row>
    <row r="669" spans="1:25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6" t="str">
        <f t="shared" si="20"/>
        <v/>
      </c>
      <c r="Q669" s="6" t="str">
        <f t="shared" si="21"/>
        <v/>
      </c>
      <c r="R669" s="5"/>
      <c r="S669" s="5"/>
      <c r="T669" s="5"/>
      <c r="U669" s="5"/>
      <c r="V669" s="5"/>
      <c r="W669" s="5"/>
      <c r="X669" s="5"/>
      <c r="Y669" s="5"/>
    </row>
    <row r="670" spans="1:25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6" t="str">
        <f t="shared" si="20"/>
        <v/>
      </c>
      <c r="Q670" s="6" t="str">
        <f t="shared" si="21"/>
        <v/>
      </c>
      <c r="R670" s="5"/>
      <c r="S670" s="5"/>
      <c r="T670" s="5"/>
      <c r="U670" s="5"/>
      <c r="V670" s="5"/>
      <c r="W670" s="5"/>
      <c r="X670" s="5"/>
      <c r="Y670" s="5"/>
    </row>
    <row r="671" spans="1:25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6" t="str">
        <f t="shared" si="20"/>
        <v/>
      </c>
      <c r="Q671" s="6" t="str">
        <f t="shared" si="21"/>
        <v/>
      </c>
      <c r="R671" s="5"/>
      <c r="S671" s="5"/>
      <c r="T671" s="5"/>
      <c r="U671" s="5"/>
      <c r="V671" s="5"/>
      <c r="W671" s="5"/>
      <c r="X671" s="5"/>
      <c r="Y671" s="5"/>
    </row>
    <row r="672" spans="1:25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6" t="str">
        <f t="shared" si="20"/>
        <v/>
      </c>
      <c r="Q672" s="6" t="str">
        <f t="shared" si="21"/>
        <v/>
      </c>
      <c r="R672" s="5"/>
      <c r="S672" s="5"/>
      <c r="T672" s="5"/>
      <c r="U672" s="5"/>
      <c r="V672" s="5"/>
      <c r="W672" s="5"/>
      <c r="X672" s="5"/>
      <c r="Y672" s="5"/>
    </row>
    <row r="673" spans="1:25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6" t="str">
        <f t="shared" si="20"/>
        <v/>
      </c>
      <c r="Q673" s="6" t="str">
        <f t="shared" si="21"/>
        <v/>
      </c>
      <c r="R673" s="5"/>
      <c r="S673" s="5"/>
      <c r="T673" s="5"/>
      <c r="U673" s="5"/>
      <c r="V673" s="5"/>
      <c r="W673" s="5"/>
      <c r="X673" s="5"/>
      <c r="Y673" s="5"/>
    </row>
    <row r="674" spans="1:25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6" t="str">
        <f t="shared" si="20"/>
        <v/>
      </c>
      <c r="Q674" s="6" t="str">
        <f t="shared" si="21"/>
        <v/>
      </c>
      <c r="R674" s="5"/>
      <c r="S674" s="5"/>
      <c r="T674" s="5"/>
      <c r="U674" s="5"/>
      <c r="V674" s="5"/>
      <c r="W674" s="5"/>
      <c r="X674" s="5"/>
      <c r="Y674" s="5"/>
    </row>
    <row r="675" spans="1:25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6" t="str">
        <f t="shared" si="20"/>
        <v/>
      </c>
      <c r="Q675" s="6" t="str">
        <f t="shared" si="21"/>
        <v/>
      </c>
      <c r="R675" s="5"/>
      <c r="S675" s="5"/>
      <c r="T675" s="5"/>
      <c r="U675" s="5"/>
      <c r="V675" s="5"/>
      <c r="W675" s="5"/>
      <c r="X675" s="5"/>
      <c r="Y675" s="5"/>
    </row>
    <row r="676" spans="1:25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6" t="str">
        <f t="shared" si="20"/>
        <v/>
      </c>
      <c r="Q676" s="6" t="str">
        <f t="shared" si="21"/>
        <v/>
      </c>
      <c r="R676" s="5"/>
      <c r="S676" s="5"/>
      <c r="T676" s="5"/>
      <c r="U676" s="5"/>
      <c r="V676" s="5"/>
      <c r="W676" s="5"/>
      <c r="X676" s="5"/>
      <c r="Y676" s="5"/>
    </row>
    <row r="677" spans="1:25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6" t="str">
        <f t="shared" si="20"/>
        <v/>
      </c>
      <c r="Q677" s="6" t="str">
        <f t="shared" si="21"/>
        <v/>
      </c>
      <c r="R677" s="5"/>
      <c r="S677" s="5"/>
      <c r="T677" s="5"/>
      <c r="U677" s="5"/>
      <c r="V677" s="5"/>
      <c r="W677" s="5"/>
      <c r="X677" s="5"/>
      <c r="Y677" s="5"/>
    </row>
    <row r="678" spans="1:25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6" t="str">
        <f t="shared" si="20"/>
        <v/>
      </c>
      <c r="Q678" s="6" t="str">
        <f t="shared" si="21"/>
        <v/>
      </c>
      <c r="R678" s="5"/>
      <c r="S678" s="5"/>
      <c r="T678" s="5"/>
      <c r="U678" s="5"/>
      <c r="V678" s="5"/>
      <c r="W678" s="5"/>
      <c r="X678" s="5"/>
      <c r="Y678" s="5"/>
    </row>
    <row r="679" spans="1:25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6" t="str">
        <f t="shared" si="20"/>
        <v/>
      </c>
      <c r="Q679" s="6" t="str">
        <f t="shared" si="21"/>
        <v/>
      </c>
      <c r="R679" s="5"/>
      <c r="S679" s="5"/>
      <c r="T679" s="5"/>
      <c r="U679" s="5"/>
      <c r="V679" s="5"/>
      <c r="W679" s="5"/>
      <c r="X679" s="5"/>
      <c r="Y679" s="5"/>
    </row>
    <row r="680" spans="1:25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6" t="str">
        <f t="shared" si="20"/>
        <v/>
      </c>
      <c r="Q680" s="6" t="str">
        <f t="shared" si="21"/>
        <v/>
      </c>
      <c r="R680" s="5"/>
      <c r="S680" s="5"/>
      <c r="T680" s="5"/>
      <c r="U680" s="5"/>
      <c r="V680" s="5"/>
      <c r="W680" s="5"/>
      <c r="X680" s="5"/>
      <c r="Y680" s="5"/>
    </row>
    <row r="681" spans="1:25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6" t="str">
        <f t="shared" si="20"/>
        <v/>
      </c>
      <c r="Q681" s="6" t="str">
        <f t="shared" si="21"/>
        <v/>
      </c>
      <c r="R681" s="5"/>
      <c r="S681" s="5"/>
      <c r="T681" s="5"/>
      <c r="U681" s="5"/>
      <c r="V681" s="5"/>
      <c r="W681" s="5"/>
      <c r="X681" s="5"/>
      <c r="Y681" s="5"/>
    </row>
    <row r="682" spans="1:25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6" t="str">
        <f t="shared" si="20"/>
        <v/>
      </c>
      <c r="Q682" s="6" t="str">
        <f t="shared" si="21"/>
        <v/>
      </c>
      <c r="R682" s="5"/>
      <c r="S682" s="5"/>
      <c r="T682" s="5"/>
      <c r="U682" s="5"/>
      <c r="V682" s="5"/>
      <c r="W682" s="5"/>
      <c r="X682" s="5"/>
      <c r="Y682" s="5"/>
    </row>
    <row r="683" spans="1:25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6" t="str">
        <f t="shared" si="20"/>
        <v/>
      </c>
      <c r="Q683" s="6" t="str">
        <f t="shared" si="21"/>
        <v/>
      </c>
      <c r="R683" s="5"/>
      <c r="S683" s="5"/>
      <c r="T683" s="5"/>
      <c r="U683" s="5"/>
      <c r="V683" s="5"/>
      <c r="W683" s="5"/>
      <c r="X683" s="5"/>
      <c r="Y683" s="5"/>
    </row>
    <row r="684" spans="1:25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6" t="str">
        <f t="shared" si="20"/>
        <v/>
      </c>
      <c r="Q684" s="6" t="str">
        <f t="shared" si="21"/>
        <v/>
      </c>
      <c r="R684" s="5"/>
      <c r="S684" s="5"/>
      <c r="T684" s="5"/>
      <c r="U684" s="5"/>
      <c r="V684" s="5"/>
      <c r="W684" s="5"/>
      <c r="X684" s="5"/>
      <c r="Y684" s="5"/>
    </row>
    <row r="685" spans="1:25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6" t="str">
        <f t="shared" si="20"/>
        <v/>
      </c>
      <c r="Q685" s="6" t="str">
        <f t="shared" si="21"/>
        <v/>
      </c>
      <c r="R685" s="5"/>
      <c r="S685" s="5"/>
      <c r="T685" s="5"/>
      <c r="U685" s="5"/>
      <c r="V685" s="5"/>
      <c r="W685" s="5"/>
      <c r="X685" s="5"/>
      <c r="Y685" s="5"/>
    </row>
    <row r="686" spans="1:25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6" t="str">
        <f t="shared" si="20"/>
        <v/>
      </c>
      <c r="Q686" s="6" t="str">
        <f t="shared" si="21"/>
        <v/>
      </c>
      <c r="R686" s="5"/>
      <c r="S686" s="5"/>
      <c r="T686" s="5"/>
      <c r="U686" s="5"/>
      <c r="V686" s="5"/>
      <c r="W686" s="5"/>
      <c r="X686" s="5"/>
      <c r="Y686" s="5"/>
    </row>
    <row r="687" spans="1:25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6" t="str">
        <f t="shared" si="20"/>
        <v/>
      </c>
      <c r="Q687" s="6" t="str">
        <f t="shared" si="21"/>
        <v/>
      </c>
      <c r="R687" s="5"/>
      <c r="S687" s="5"/>
      <c r="T687" s="5"/>
      <c r="U687" s="5"/>
      <c r="V687" s="5"/>
      <c r="W687" s="5"/>
      <c r="X687" s="5"/>
      <c r="Y687" s="5"/>
    </row>
    <row r="688" spans="1:25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6" t="str">
        <f t="shared" si="20"/>
        <v/>
      </c>
      <c r="Q688" s="6" t="str">
        <f t="shared" si="21"/>
        <v/>
      </c>
      <c r="R688" s="5"/>
      <c r="S688" s="5"/>
      <c r="T688" s="5"/>
      <c r="U688" s="5"/>
      <c r="V688" s="5"/>
      <c r="W688" s="5"/>
      <c r="X688" s="5"/>
      <c r="Y688" s="5"/>
    </row>
    <row r="689" spans="1:25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6" t="str">
        <f t="shared" si="20"/>
        <v/>
      </c>
      <c r="Q689" s="6" t="str">
        <f t="shared" si="21"/>
        <v/>
      </c>
      <c r="R689" s="5"/>
      <c r="S689" s="5"/>
      <c r="T689" s="5"/>
      <c r="U689" s="5"/>
      <c r="V689" s="5"/>
      <c r="W689" s="5"/>
      <c r="X689" s="5"/>
      <c r="Y689" s="5"/>
    </row>
    <row r="690" spans="1:25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6" t="str">
        <f t="shared" si="20"/>
        <v/>
      </c>
      <c r="Q690" s="6" t="str">
        <f t="shared" si="21"/>
        <v/>
      </c>
      <c r="R690" s="5"/>
      <c r="S690" s="5"/>
      <c r="T690" s="5"/>
      <c r="U690" s="5"/>
      <c r="V690" s="5"/>
      <c r="W690" s="5"/>
      <c r="X690" s="5"/>
      <c r="Y690" s="5"/>
    </row>
    <row r="691" spans="1:25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6" t="str">
        <f t="shared" si="20"/>
        <v/>
      </c>
      <c r="Q691" s="6" t="str">
        <f t="shared" si="21"/>
        <v/>
      </c>
      <c r="R691" s="5"/>
      <c r="S691" s="5"/>
      <c r="T691" s="5"/>
      <c r="U691" s="5"/>
      <c r="V691" s="5"/>
      <c r="W691" s="5"/>
      <c r="X691" s="5"/>
      <c r="Y691" s="5"/>
    </row>
    <row r="692" spans="1:25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6" t="str">
        <f t="shared" si="20"/>
        <v/>
      </c>
      <c r="Q692" s="6" t="str">
        <f t="shared" si="21"/>
        <v/>
      </c>
      <c r="R692" s="5"/>
      <c r="S692" s="5"/>
      <c r="T692" s="5"/>
      <c r="U692" s="5"/>
      <c r="V692" s="5"/>
      <c r="W692" s="5"/>
      <c r="X692" s="5"/>
      <c r="Y692" s="5"/>
    </row>
    <row r="693" spans="1:25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6" t="str">
        <f t="shared" si="20"/>
        <v/>
      </c>
      <c r="Q693" s="6" t="str">
        <f t="shared" si="21"/>
        <v/>
      </c>
      <c r="R693" s="5"/>
      <c r="S693" s="5"/>
      <c r="T693" s="5"/>
      <c r="U693" s="5"/>
      <c r="V693" s="5"/>
      <c r="W693" s="5"/>
      <c r="X693" s="5"/>
      <c r="Y693" s="5"/>
    </row>
    <row r="694" spans="1:25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6" t="str">
        <f t="shared" si="20"/>
        <v/>
      </c>
      <c r="Q694" s="6" t="str">
        <f t="shared" si="21"/>
        <v/>
      </c>
      <c r="R694" s="5"/>
      <c r="S694" s="5"/>
      <c r="T694" s="5"/>
      <c r="U694" s="5"/>
      <c r="V694" s="5"/>
      <c r="W694" s="5"/>
      <c r="X694" s="5"/>
      <c r="Y694" s="5"/>
    </row>
    <row r="695" spans="1:25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6" t="str">
        <f t="shared" si="20"/>
        <v/>
      </c>
      <c r="Q695" s="6" t="str">
        <f t="shared" si="21"/>
        <v/>
      </c>
      <c r="R695" s="5"/>
      <c r="S695" s="5"/>
      <c r="T695" s="5"/>
      <c r="U695" s="5"/>
      <c r="V695" s="5"/>
      <c r="W695" s="5"/>
      <c r="X695" s="5"/>
      <c r="Y695" s="5"/>
    </row>
    <row r="696" spans="1:25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6" t="str">
        <f t="shared" si="20"/>
        <v/>
      </c>
      <c r="Q696" s="6" t="str">
        <f t="shared" si="21"/>
        <v/>
      </c>
      <c r="R696" s="5"/>
      <c r="S696" s="5"/>
      <c r="T696" s="5"/>
      <c r="U696" s="5"/>
      <c r="V696" s="5"/>
      <c r="W696" s="5"/>
      <c r="X696" s="5"/>
      <c r="Y696" s="5"/>
    </row>
    <row r="697" spans="1:25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6" t="str">
        <f t="shared" si="20"/>
        <v/>
      </c>
      <c r="Q697" s="6" t="str">
        <f t="shared" si="21"/>
        <v/>
      </c>
      <c r="R697" s="5"/>
      <c r="S697" s="5"/>
      <c r="T697" s="5"/>
      <c r="U697" s="5"/>
      <c r="V697" s="5"/>
      <c r="W697" s="5"/>
      <c r="X697" s="5"/>
      <c r="Y697" s="5"/>
    </row>
    <row r="698" spans="1:25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6" t="str">
        <f t="shared" si="20"/>
        <v/>
      </c>
      <c r="Q698" s="6" t="str">
        <f t="shared" si="21"/>
        <v/>
      </c>
      <c r="R698" s="5"/>
      <c r="S698" s="5"/>
      <c r="T698" s="5"/>
      <c r="U698" s="5"/>
      <c r="V698" s="5"/>
      <c r="W698" s="5"/>
      <c r="X698" s="5"/>
      <c r="Y698" s="5"/>
    </row>
    <row r="699" spans="1:25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6" t="str">
        <f t="shared" si="20"/>
        <v/>
      </c>
      <c r="Q699" s="6" t="str">
        <f t="shared" si="21"/>
        <v/>
      </c>
      <c r="R699" s="5"/>
      <c r="S699" s="5"/>
      <c r="T699" s="5"/>
      <c r="U699" s="5"/>
      <c r="V699" s="5"/>
      <c r="W699" s="5"/>
      <c r="X699" s="5"/>
      <c r="Y699" s="5"/>
    </row>
    <row r="700" spans="1:25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6" t="str">
        <f t="shared" si="20"/>
        <v/>
      </c>
      <c r="Q700" s="6" t="str">
        <f t="shared" si="21"/>
        <v/>
      </c>
      <c r="R700" s="5"/>
      <c r="S700" s="5"/>
      <c r="T700" s="5"/>
      <c r="U700" s="5"/>
      <c r="V700" s="5"/>
      <c r="W700" s="5"/>
      <c r="X700" s="5"/>
      <c r="Y700" s="5"/>
    </row>
    <row r="701" spans="1:25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6" t="str">
        <f t="shared" si="20"/>
        <v/>
      </c>
      <c r="Q701" s="6" t="str">
        <f t="shared" si="21"/>
        <v/>
      </c>
      <c r="R701" s="5"/>
      <c r="S701" s="5"/>
      <c r="T701" s="5"/>
      <c r="U701" s="5"/>
      <c r="V701" s="5"/>
      <c r="W701" s="5"/>
      <c r="X701" s="5"/>
      <c r="Y701" s="5"/>
    </row>
  </sheetData>
  <autoFilter ref="A1:Y701" xr:uid="{00000000-0009-0000-0000-000001000000}"/>
  <conditionalFormatting sqref="Q2:Q701">
    <cfRule type="cellIs" dxfId="0" priority="2" operator="equal">
      <formula>"Yes"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100-000000000000}">
          <x14:formula1>
            <xm:f>Lists!$G$2:$G$5</xm:f>
          </x14:formula1>
          <x14:formula2>
            <xm:f>0</xm:f>
          </x14:formula2>
          <xm:sqref>C2:C701</xm:sqref>
        </x14:dataValidation>
        <x14:dataValidation type="list" allowBlank="1" xr:uid="{00000000-0002-0000-0100-000001000000}">
          <x14:formula1>
            <xm:f>Lists!$A$2:$A$4</xm:f>
          </x14:formula1>
          <x14:formula2>
            <xm:f>0</xm:f>
          </x14:formula2>
          <xm:sqref>D2:D701</xm:sqref>
        </x14:dataValidation>
        <x14:dataValidation type="list" allowBlank="1" xr:uid="{00000000-0002-0000-0100-000002000000}">
          <x14:formula1>
            <xm:f>Lists!$B$2:$B$6</xm:f>
          </x14:formula1>
          <x14:formula2>
            <xm:f>0</xm:f>
          </x14:formula2>
          <xm:sqref>E2:E701</xm:sqref>
        </x14:dataValidation>
        <x14:dataValidation type="list" allowBlank="1" xr:uid="{00000000-0002-0000-0100-000003000000}">
          <x14:formula1>
            <xm:f>Lists!$C$2:$C$5</xm:f>
          </x14:formula1>
          <x14:formula2>
            <xm:f>0</xm:f>
          </x14:formula2>
          <xm:sqref>F2:F701</xm:sqref>
        </x14:dataValidation>
        <x14:dataValidation type="list" allowBlank="1" xr:uid="{00000000-0002-0000-0100-000004000000}">
          <x14:formula1>
            <xm:f>Lists!$D$2:$D$4</xm:f>
          </x14:formula1>
          <x14:formula2>
            <xm:f>0</xm:f>
          </x14:formula2>
          <xm:sqref>G2:G701</xm:sqref>
        </x14:dataValidation>
        <x14:dataValidation type="list" allowBlank="1" xr:uid="{00000000-0002-0000-0100-000005000000}">
          <x14:formula1>
            <xm:f>Lists!$E$2:$E$13</xm:f>
          </x14:formula1>
          <x14:formula2>
            <xm:f>0</xm:f>
          </x14:formula2>
          <xm:sqref>I2:I701</xm:sqref>
        </x14:dataValidation>
        <x14:dataValidation type="list" allowBlank="1" xr:uid="{00000000-0002-0000-0100-000006000000}">
          <x14:formula1>
            <xm:f>Lists!$F$2:$F$3</xm:f>
          </x14:formula1>
          <x14:formula2>
            <xm:f>0</xm:f>
          </x14:formula2>
          <xm:sqref>L2:L701</xm:sqref>
        </x14:dataValidation>
        <x14:dataValidation type="list" allowBlank="1" xr:uid="{00000000-0002-0000-0100-000007000000}">
          <x14:formula1>
            <xm:f>Lists!$H$2:$H$4</xm:f>
          </x14:formula1>
          <x14:formula2>
            <xm:f>0</xm:f>
          </x14:formula2>
          <xm:sqref>M2:M701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2" width="16" customWidth="1"/>
    <col min="3" max="4" width="60" customWidth="1"/>
    <col min="5" max="5" width="14" customWidth="1"/>
    <col min="6" max="6" width="12" customWidth="1"/>
  </cols>
  <sheetData>
    <row r="1" spans="1:6" ht="25.5" x14ac:dyDescent="0.25">
      <c r="A1" s="4" t="s">
        <v>1681</v>
      </c>
      <c r="B1" s="4" t="s">
        <v>1682</v>
      </c>
      <c r="C1" s="4" t="s">
        <v>1683</v>
      </c>
      <c r="D1" s="4" t="s">
        <v>1684</v>
      </c>
      <c r="E1" s="4" t="s">
        <v>1685</v>
      </c>
      <c r="F1" s="4" t="s">
        <v>1686</v>
      </c>
    </row>
    <row r="2" spans="1:6" x14ac:dyDescent="0.25">
      <c r="A2" s="7">
        <v>1</v>
      </c>
      <c r="B2" s="7" t="s">
        <v>1687</v>
      </c>
      <c r="C2" s="7" t="s">
        <v>1688</v>
      </c>
      <c r="D2" s="7" t="s">
        <v>1689</v>
      </c>
      <c r="E2" s="8">
        <f>COUNTA(Roster!D2:D701)</f>
        <v>311</v>
      </c>
      <c r="F2" s="9">
        <f>IF(COUNTA(Roster!A2:A701)=0,0,E2/COUNTA(Roster!A2:A701))</f>
        <v>0.52711864406779663</v>
      </c>
    </row>
    <row r="3" spans="1:6" x14ac:dyDescent="0.25">
      <c r="A3" s="7">
        <v>2</v>
      </c>
      <c r="B3" s="7" t="s">
        <v>21</v>
      </c>
      <c r="C3" s="7" t="s">
        <v>1690</v>
      </c>
      <c r="D3" s="7" t="s">
        <v>1691</v>
      </c>
      <c r="E3" s="8">
        <f>COUNTA(Roster!E2:E701)</f>
        <v>216</v>
      </c>
      <c r="F3" s="9">
        <f>IF(COUNTA(Roster!A2:A701)=0,0,E3/COUNTA(Roster!A2:A701))</f>
        <v>0.36610169491525424</v>
      </c>
    </row>
    <row r="4" spans="1:6" x14ac:dyDescent="0.25">
      <c r="A4" s="7">
        <v>3</v>
      </c>
      <c r="B4" s="7" t="s">
        <v>22</v>
      </c>
      <c r="C4" s="7" t="s">
        <v>1692</v>
      </c>
      <c r="D4" s="7" t="s">
        <v>1693</v>
      </c>
      <c r="E4" s="8">
        <f>COUNTA(Roster!F2:F701)</f>
        <v>222</v>
      </c>
      <c r="F4" s="9">
        <f>IF(COUNTA(Roster!A2:A701)=0,0,E4/COUNTA(Roster!A2:A701))</f>
        <v>0.37627118644067797</v>
      </c>
    </row>
    <row r="5" spans="1:6" x14ac:dyDescent="0.25">
      <c r="A5" s="7">
        <v>4</v>
      </c>
      <c r="B5" s="7" t="s">
        <v>1694</v>
      </c>
      <c r="C5" s="7" t="s">
        <v>1695</v>
      </c>
      <c r="D5" s="7" t="s">
        <v>1696</v>
      </c>
      <c r="E5" s="8">
        <f>COUNTA(Roster!G2:G701)</f>
        <v>309</v>
      </c>
      <c r="F5" s="9">
        <f>IF(COUNTA(Roster!A2:A701)=0,0,E5/COUNTA(Roster!A2:A701))</f>
        <v>0.52372881355932199</v>
      </c>
    </row>
    <row r="6" spans="1:6" x14ac:dyDescent="0.25">
      <c r="A6" s="7">
        <v>5</v>
      </c>
      <c r="B6" s="7" t="s">
        <v>1697</v>
      </c>
      <c r="C6" s="7" t="s">
        <v>1698</v>
      </c>
      <c r="D6" s="7" t="s">
        <v>1699</v>
      </c>
      <c r="E6" s="8">
        <f>COUNTA(Roster!H2:H701)</f>
        <v>450</v>
      </c>
      <c r="F6" s="9">
        <f>IF(COUNTA(Roster!A2:A701)=0,0,E6/COUNTA(Roster!A2:A701))</f>
        <v>0.76271186440677963</v>
      </c>
    </row>
    <row r="7" spans="1:6" ht="25.5" x14ac:dyDescent="0.25">
      <c r="A7" s="7">
        <v>6</v>
      </c>
      <c r="B7" s="7" t="s">
        <v>1700</v>
      </c>
      <c r="C7" s="7" t="s">
        <v>1701</v>
      </c>
      <c r="D7" s="7" t="s">
        <v>1702</v>
      </c>
      <c r="E7" s="8">
        <f>COUNTA(Roster!I2:I701)</f>
        <v>313</v>
      </c>
      <c r="F7" s="9">
        <f>IF(COUNTA(Roster!A2:A701)=0,0,E7/COUNTA(Roster!A2:A701))</f>
        <v>0.53050847457627115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4" customWidth="1"/>
    <col min="2" max="2" width="60" customWidth="1"/>
    <col min="3" max="3" width="20" customWidth="1"/>
    <col min="4" max="4" width="14" customWidth="1"/>
  </cols>
  <sheetData>
    <row r="1" spans="1:4" ht="25.5" x14ac:dyDescent="0.25">
      <c r="A1" s="4" t="s">
        <v>1703</v>
      </c>
      <c r="B1" s="4" t="s">
        <v>1704</v>
      </c>
      <c r="C1" s="4" t="s">
        <v>1705</v>
      </c>
      <c r="D1" s="4" t="s">
        <v>1706</v>
      </c>
    </row>
    <row r="2" spans="1:4" x14ac:dyDescent="0.25">
      <c r="A2" s="6" t="s">
        <v>71</v>
      </c>
      <c r="B2" s="6" t="s">
        <v>1707</v>
      </c>
      <c r="C2" s="6">
        <f>COUNTIF(Roster!$I$2:$I$701,A2)</f>
        <v>24</v>
      </c>
      <c r="D2" s="10">
        <f t="shared" ref="D2:D13" si="0">IF(SUM($C$2:$C$13)=0,0,C2/SUM($C$2:$C$13))</f>
        <v>7.6677316293929709E-2</v>
      </c>
    </row>
    <row r="3" spans="1:4" x14ac:dyDescent="0.25">
      <c r="A3" s="6" t="s">
        <v>91</v>
      </c>
      <c r="B3" s="6" t="s">
        <v>1708</v>
      </c>
      <c r="C3" s="6">
        <f>COUNTIF(Roster!$I$2:$I$701,A3)</f>
        <v>38</v>
      </c>
      <c r="D3" s="10">
        <f t="shared" si="0"/>
        <v>0.12140575079872204</v>
      </c>
    </row>
    <row r="4" spans="1:4" x14ac:dyDescent="0.25">
      <c r="A4" s="6" t="s">
        <v>72</v>
      </c>
      <c r="B4" s="6" t="s">
        <v>1709</v>
      </c>
      <c r="C4" s="6">
        <f>COUNTIF(Roster!$I$2:$I$701,A4)</f>
        <v>30</v>
      </c>
      <c r="D4" s="10">
        <f t="shared" si="0"/>
        <v>9.5846645367412137E-2</v>
      </c>
    </row>
    <row r="5" spans="1:4" x14ac:dyDescent="0.25">
      <c r="A5" s="6" t="s">
        <v>59</v>
      </c>
      <c r="B5" s="6" t="s">
        <v>1710</v>
      </c>
      <c r="C5" s="6">
        <f>COUNTIF(Roster!$I$2:$I$701,A5)</f>
        <v>22</v>
      </c>
      <c r="D5" s="10">
        <f t="shared" si="0"/>
        <v>7.0287539936102233E-2</v>
      </c>
    </row>
    <row r="6" spans="1:4" x14ac:dyDescent="0.25">
      <c r="A6" s="6" t="s">
        <v>192</v>
      </c>
      <c r="B6" s="6" t="s">
        <v>1711</v>
      </c>
      <c r="C6" s="6">
        <f>COUNTIF(Roster!$I$2:$I$701,A6)</f>
        <v>38</v>
      </c>
      <c r="D6" s="10">
        <f t="shared" si="0"/>
        <v>0.12140575079872204</v>
      </c>
    </row>
    <row r="7" spans="1:4" x14ac:dyDescent="0.25">
      <c r="A7" s="6" t="s">
        <v>123</v>
      </c>
      <c r="B7" s="6" t="s">
        <v>1712</v>
      </c>
      <c r="C7" s="6">
        <f>COUNTIF(Roster!$I$2:$I$701,A7)</f>
        <v>42</v>
      </c>
      <c r="D7" s="10">
        <f t="shared" si="0"/>
        <v>0.13418530351437699</v>
      </c>
    </row>
    <row r="8" spans="1:4" x14ac:dyDescent="0.25">
      <c r="A8" s="6" t="s">
        <v>119</v>
      </c>
      <c r="B8" s="6" t="s">
        <v>1713</v>
      </c>
      <c r="C8" s="6">
        <f>COUNTIF(Roster!$I$2:$I$701,A8)</f>
        <v>32</v>
      </c>
      <c r="D8" s="10">
        <f t="shared" si="0"/>
        <v>0.10223642172523961</v>
      </c>
    </row>
    <row r="9" spans="1:4" x14ac:dyDescent="0.25">
      <c r="A9" s="6" t="s">
        <v>49</v>
      </c>
      <c r="B9" s="6" t="s">
        <v>1714</v>
      </c>
      <c r="C9" s="6">
        <f>COUNTIF(Roster!$I$2:$I$701,A9)</f>
        <v>33</v>
      </c>
      <c r="D9" s="10">
        <f t="shared" si="0"/>
        <v>0.10543130990415335</v>
      </c>
    </row>
    <row r="10" spans="1:4" x14ac:dyDescent="0.25">
      <c r="A10" s="6" t="s">
        <v>78</v>
      </c>
      <c r="B10" s="6" t="s">
        <v>1715</v>
      </c>
      <c r="C10" s="6">
        <f>COUNTIF(Roster!$I$2:$I$701,A10)</f>
        <v>21</v>
      </c>
      <c r="D10" s="10">
        <f t="shared" si="0"/>
        <v>6.7092651757188496E-2</v>
      </c>
    </row>
    <row r="11" spans="1:4" x14ac:dyDescent="0.25">
      <c r="A11" s="6" t="s">
        <v>178</v>
      </c>
      <c r="B11" s="6" t="s">
        <v>1716</v>
      </c>
      <c r="C11" s="6">
        <f>COUNTIF(Roster!$I$2:$I$701,A11)</f>
        <v>12</v>
      </c>
      <c r="D11" s="10">
        <f t="shared" si="0"/>
        <v>3.8338658146964855E-2</v>
      </c>
    </row>
    <row r="12" spans="1:4" x14ac:dyDescent="0.25">
      <c r="A12" s="6" t="s">
        <v>133</v>
      </c>
      <c r="B12" s="6" t="s">
        <v>1717</v>
      </c>
      <c r="C12" s="6">
        <f>COUNTIF(Roster!$I$2:$I$701,A12)</f>
        <v>12</v>
      </c>
      <c r="D12" s="10">
        <f t="shared" si="0"/>
        <v>3.8338658146964855E-2</v>
      </c>
    </row>
    <row r="13" spans="1:4" x14ac:dyDescent="0.25">
      <c r="A13" s="6" t="s">
        <v>193</v>
      </c>
      <c r="B13" s="6" t="s">
        <v>1718</v>
      </c>
      <c r="C13" s="6">
        <f>COUNTIF(Roster!$I$2:$I$701,A13)</f>
        <v>9</v>
      </c>
      <c r="D13" s="10">
        <f t="shared" si="0"/>
        <v>2.8753993610223641E-2</v>
      </c>
    </row>
    <row r="14" spans="1:4" x14ac:dyDescent="0.25">
      <c r="A14" s="11" t="s">
        <v>1719</v>
      </c>
      <c r="C14" s="11">
        <f>SUM(C2:C13)</f>
        <v>313</v>
      </c>
    </row>
    <row r="16" spans="1:4" x14ac:dyDescent="0.25">
      <c r="A16" s="8" t="s">
        <v>1720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4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40" customWidth="1"/>
    <col min="2" max="2" width="16" customWidth="1"/>
    <col min="3" max="3" width="70" customWidth="1"/>
  </cols>
  <sheetData>
    <row r="1" spans="1:3" x14ac:dyDescent="0.25">
      <c r="A1" s="4" t="s">
        <v>1721</v>
      </c>
      <c r="B1" s="4" t="s">
        <v>1722</v>
      </c>
      <c r="C1" s="4" t="s">
        <v>1723</v>
      </c>
    </row>
    <row r="2" spans="1:3" x14ac:dyDescent="0.25">
      <c r="A2" s="8" t="s">
        <v>1724</v>
      </c>
      <c r="B2" s="8">
        <f>COUNTA('Clue Ladder'!B2:B7)</f>
        <v>6</v>
      </c>
      <c r="C2" s="8" t="s">
        <v>1725</v>
      </c>
    </row>
    <row r="3" spans="1:3" x14ac:dyDescent="0.25">
      <c r="A3" s="8" t="s">
        <v>1726</v>
      </c>
      <c r="B3" s="12">
        <v>0</v>
      </c>
      <c r="C3" s="8" t="s">
        <v>1727</v>
      </c>
    </row>
    <row r="4" spans="1:3" x14ac:dyDescent="0.25">
      <c r="A4" s="8" t="s">
        <v>1728</v>
      </c>
      <c r="B4" s="8">
        <f>B2+1</f>
        <v>7</v>
      </c>
      <c r="C4" s="8" t="s">
        <v>1729</v>
      </c>
    </row>
    <row r="5" spans="1:3" x14ac:dyDescent="0.25">
      <c r="A5" s="8" t="s">
        <v>1730</v>
      </c>
      <c r="B5" s="12">
        <v>150</v>
      </c>
      <c r="C5" s="8" t="s">
        <v>1731</v>
      </c>
    </row>
    <row r="6" spans="1:3" x14ac:dyDescent="0.25">
      <c r="A6" s="8" t="s">
        <v>1732</v>
      </c>
      <c r="B6" s="12">
        <v>250</v>
      </c>
      <c r="C6" s="8" t="s">
        <v>1733</v>
      </c>
    </row>
    <row r="7" spans="1:3" x14ac:dyDescent="0.25">
      <c r="A7" s="8" t="s">
        <v>1734</v>
      </c>
      <c r="B7" s="12">
        <v>300</v>
      </c>
      <c r="C7" s="8" t="s">
        <v>1735</v>
      </c>
    </row>
    <row r="8" spans="1:3" x14ac:dyDescent="0.25">
      <c r="A8" s="8" t="s">
        <v>1736</v>
      </c>
      <c r="B8" s="8" t="s">
        <v>1737</v>
      </c>
      <c r="C8" s="8" t="s">
        <v>1738</v>
      </c>
    </row>
    <row r="9" spans="1:3" x14ac:dyDescent="0.25">
      <c r="A9" s="11" t="s">
        <v>1739</v>
      </c>
      <c r="B9" s="8"/>
      <c r="C9" s="8"/>
    </row>
    <row r="10" spans="1:3" x14ac:dyDescent="0.25">
      <c r="A10" s="8" t="s">
        <v>1740</v>
      </c>
      <c r="B10" s="8">
        <f>COUNTA(Roster!A2:A701)</f>
        <v>590</v>
      </c>
      <c r="C10" s="8" t="s">
        <v>1741</v>
      </c>
    </row>
    <row r="11" spans="1:3" x14ac:dyDescent="0.25">
      <c r="A11" s="8" t="s">
        <v>1742</v>
      </c>
      <c r="B11" s="8">
        <f>COUNTIF(Roster!Q2:Q701,"Yes")</f>
        <v>103</v>
      </c>
      <c r="C11" s="8" t="s">
        <v>1741</v>
      </c>
    </row>
    <row r="12" spans="1:3" x14ac:dyDescent="0.25">
      <c r="A12" s="8" t="s">
        <v>1743</v>
      </c>
      <c r="B12" s="9">
        <f>IF(B5=0,0,B11/B5)</f>
        <v>0.68666666666666665</v>
      </c>
      <c r="C12" s="8" t="s">
        <v>1741</v>
      </c>
    </row>
    <row r="13" spans="1:3" x14ac:dyDescent="0.25">
      <c r="A13" s="8" t="s">
        <v>1744</v>
      </c>
      <c r="B13" s="13">
        <f>IFERROR(AVERAGE(Roster!P2:P701),0)</f>
        <v>3.0864406779661016</v>
      </c>
      <c r="C13" s="8" t="s">
        <v>1741</v>
      </c>
    </row>
    <row r="14" spans="1:3" x14ac:dyDescent="0.25">
      <c r="A14" s="8" t="s">
        <v>1745</v>
      </c>
      <c r="B14" s="8">
        <f>COUNTIF(Roster!L2:L701,"Y")</f>
        <v>2</v>
      </c>
      <c r="C14" s="8" t="s">
        <v>1741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8" customWidth="1"/>
    <col min="2" max="2" width="110" customWidth="1"/>
  </cols>
  <sheetData>
    <row r="1" spans="1:2" x14ac:dyDescent="0.25">
      <c r="A1" s="4" t="s">
        <v>1746</v>
      </c>
      <c r="B1" s="4" t="s">
        <v>1747</v>
      </c>
    </row>
    <row r="2" spans="1:2" x14ac:dyDescent="0.25">
      <c r="A2" s="7" t="s">
        <v>1694</v>
      </c>
      <c r="B2" s="7" t="s">
        <v>1748</v>
      </c>
    </row>
    <row r="3" spans="1:2" ht="25.5" x14ac:dyDescent="0.25">
      <c r="A3" s="7" t="s">
        <v>1687</v>
      </c>
      <c r="B3" s="7" t="s">
        <v>1749</v>
      </c>
    </row>
    <row r="4" spans="1:2" x14ac:dyDescent="0.25">
      <c r="A4" s="7" t="s">
        <v>1697</v>
      </c>
      <c r="B4" s="7" t="s">
        <v>1750</v>
      </c>
    </row>
    <row r="5" spans="1:2" x14ac:dyDescent="0.25">
      <c r="A5" s="7" t="s">
        <v>1700</v>
      </c>
      <c r="B5" s="7" t="s">
        <v>1751</v>
      </c>
    </row>
    <row r="6" spans="1:2" x14ac:dyDescent="0.25">
      <c r="A6" s="7" t="s">
        <v>22</v>
      </c>
      <c r="B6" s="7" t="s">
        <v>1752</v>
      </c>
    </row>
    <row r="7" spans="1:2" x14ac:dyDescent="0.25">
      <c r="A7" s="7" t="s">
        <v>1753</v>
      </c>
      <c r="B7" s="7" t="s">
        <v>1754</v>
      </c>
    </row>
    <row r="8" spans="1:2" x14ac:dyDescent="0.25">
      <c r="A8" s="7" t="s">
        <v>1755</v>
      </c>
      <c r="B8" s="7" t="s">
        <v>1756</v>
      </c>
    </row>
    <row r="9" spans="1:2" x14ac:dyDescent="0.25">
      <c r="A9" s="7" t="s">
        <v>1757</v>
      </c>
      <c r="B9" s="7" t="s">
        <v>1758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2" customWidth="1"/>
    <col min="2" max="2" width="55" customWidth="1"/>
    <col min="3" max="3" width="70" customWidth="1"/>
  </cols>
  <sheetData>
    <row r="1" spans="1:3" x14ac:dyDescent="0.25">
      <c r="A1" s="4" t="s">
        <v>1759</v>
      </c>
      <c r="B1" s="4" t="s">
        <v>1760</v>
      </c>
      <c r="C1" s="4" t="s">
        <v>1761</v>
      </c>
    </row>
    <row r="2" spans="1:3" x14ac:dyDescent="0.25">
      <c r="A2" s="7" t="s">
        <v>1762</v>
      </c>
      <c r="B2" s="7" t="s">
        <v>1763</v>
      </c>
      <c r="C2" s="7" t="s">
        <v>1764</v>
      </c>
    </row>
    <row r="3" spans="1:3" x14ac:dyDescent="0.25">
      <c r="A3" s="7" t="s">
        <v>1765</v>
      </c>
      <c r="B3" s="7" t="s">
        <v>1766</v>
      </c>
      <c r="C3" s="7" t="s">
        <v>1767</v>
      </c>
    </row>
    <row r="4" spans="1:3" x14ac:dyDescent="0.25">
      <c r="A4" s="7" t="s">
        <v>1768</v>
      </c>
      <c r="B4" s="7" t="s">
        <v>1769</v>
      </c>
      <c r="C4" s="7" t="s">
        <v>1770</v>
      </c>
    </row>
    <row r="5" spans="1:3" x14ac:dyDescent="0.25">
      <c r="A5" s="7" t="s">
        <v>1771</v>
      </c>
      <c r="B5" s="7" t="s">
        <v>1772</v>
      </c>
      <c r="C5" s="7" t="s">
        <v>1773</v>
      </c>
    </row>
    <row r="6" spans="1:3" ht="25.5" x14ac:dyDescent="0.25">
      <c r="A6" s="7" t="s">
        <v>1774</v>
      </c>
      <c r="B6" s="7" t="s">
        <v>1775</v>
      </c>
      <c r="C6" s="7" t="s">
        <v>1776</v>
      </c>
    </row>
    <row r="7" spans="1:3" x14ac:dyDescent="0.25">
      <c r="A7" s="7" t="s">
        <v>1777</v>
      </c>
      <c r="B7" s="7" t="s">
        <v>1778</v>
      </c>
      <c r="C7" s="7" t="s">
        <v>1779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8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30" customWidth="1"/>
    <col min="2" max="2" width="42" customWidth="1"/>
    <col min="3" max="3" width="62" customWidth="1"/>
    <col min="4" max="4" width="50" customWidth="1"/>
  </cols>
  <sheetData>
    <row r="1" spans="1:4" x14ac:dyDescent="0.25">
      <c r="A1" s="4" t="s">
        <v>1780</v>
      </c>
      <c r="B1" s="4" t="s">
        <v>1781</v>
      </c>
      <c r="C1" s="4" t="s">
        <v>1782</v>
      </c>
      <c r="D1" s="4" t="s">
        <v>31</v>
      </c>
    </row>
    <row r="2" spans="1:4" x14ac:dyDescent="0.25">
      <c r="A2" s="7" t="s">
        <v>1783</v>
      </c>
      <c r="B2" s="7" t="s">
        <v>1784</v>
      </c>
      <c r="C2" s="7" t="s">
        <v>1785</v>
      </c>
      <c r="D2" s="7" t="s">
        <v>1786</v>
      </c>
    </row>
    <row r="3" spans="1:4" x14ac:dyDescent="0.25">
      <c r="A3" s="7" t="s">
        <v>1700</v>
      </c>
      <c r="B3" s="7" t="s">
        <v>1784</v>
      </c>
      <c r="C3" s="7" t="s">
        <v>1785</v>
      </c>
      <c r="D3" s="7" t="s">
        <v>1787</v>
      </c>
    </row>
    <row r="4" spans="1:4" x14ac:dyDescent="0.25">
      <c r="A4" s="7" t="s">
        <v>1788</v>
      </c>
      <c r="B4" s="7" t="s">
        <v>1789</v>
      </c>
      <c r="C4" s="7" t="s">
        <v>1790</v>
      </c>
      <c r="D4" s="7" t="s">
        <v>1791</v>
      </c>
    </row>
    <row r="5" spans="1:4" x14ac:dyDescent="0.25">
      <c r="A5" s="7" t="s">
        <v>1792</v>
      </c>
      <c r="B5" s="7" t="s">
        <v>1793</v>
      </c>
      <c r="C5" s="7" t="s">
        <v>1794</v>
      </c>
      <c r="D5" s="7" t="s">
        <v>1795</v>
      </c>
    </row>
    <row r="6" spans="1:4" x14ac:dyDescent="0.25">
      <c r="A6" s="7" t="s">
        <v>1796</v>
      </c>
      <c r="B6" s="7" t="s">
        <v>1797</v>
      </c>
      <c r="C6" s="7" t="s">
        <v>1798</v>
      </c>
      <c r="D6" s="7"/>
    </row>
    <row r="7" spans="1:4" x14ac:dyDescent="0.25">
      <c r="A7" s="7" t="s">
        <v>1799</v>
      </c>
      <c r="B7" s="7" t="s">
        <v>1800</v>
      </c>
      <c r="C7" s="7" t="s">
        <v>1801</v>
      </c>
      <c r="D7" s="7" t="s">
        <v>1802</v>
      </c>
    </row>
    <row r="8" spans="1:4" x14ac:dyDescent="0.25">
      <c r="A8" s="7" t="s">
        <v>1803</v>
      </c>
      <c r="B8" s="7" t="s">
        <v>1804</v>
      </c>
      <c r="C8" s="7" t="s">
        <v>1805</v>
      </c>
      <c r="D8" s="7" t="s">
        <v>1806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48" customWidth="1"/>
    <col min="3" max="3" width="16" customWidth="1"/>
    <col min="4" max="4" width="40" customWidth="1"/>
  </cols>
  <sheetData>
    <row r="1" spans="1:4" x14ac:dyDescent="0.25">
      <c r="A1" s="4" t="s">
        <v>1807</v>
      </c>
      <c r="B1" s="4" t="s">
        <v>1808</v>
      </c>
      <c r="C1" s="4" t="s">
        <v>1694</v>
      </c>
      <c r="D1" s="4" t="s">
        <v>1809</v>
      </c>
    </row>
    <row r="2" spans="1:4" x14ac:dyDescent="0.25">
      <c r="A2" s="7" t="s">
        <v>1810</v>
      </c>
      <c r="B2" s="7" t="s">
        <v>1811</v>
      </c>
      <c r="C2" s="14" t="s">
        <v>1812</v>
      </c>
      <c r="D2" s="15"/>
    </row>
    <row r="3" spans="1:4" x14ac:dyDescent="0.25">
      <c r="A3" s="7" t="s">
        <v>1810</v>
      </c>
      <c r="B3" s="7" t="s">
        <v>1813</v>
      </c>
      <c r="C3" s="14" t="s">
        <v>1812</v>
      </c>
      <c r="D3" s="15"/>
    </row>
    <row r="4" spans="1:4" x14ac:dyDescent="0.25">
      <c r="A4" s="7" t="s">
        <v>1810</v>
      </c>
      <c r="B4" s="7" t="s">
        <v>1814</v>
      </c>
      <c r="C4" s="14" t="s">
        <v>1812</v>
      </c>
      <c r="D4" s="15"/>
    </row>
    <row r="5" spans="1:4" x14ac:dyDescent="0.25">
      <c r="A5" s="7" t="s">
        <v>1810</v>
      </c>
      <c r="B5" s="7" t="s">
        <v>1815</v>
      </c>
      <c r="C5" s="14" t="s">
        <v>1812</v>
      </c>
      <c r="D5" s="15"/>
    </row>
    <row r="6" spans="1:4" x14ac:dyDescent="0.25">
      <c r="A6" s="7" t="s">
        <v>1810</v>
      </c>
      <c r="B6" s="7" t="s">
        <v>1816</v>
      </c>
      <c r="C6" s="14" t="s">
        <v>1812</v>
      </c>
      <c r="D6" s="15"/>
    </row>
    <row r="7" spans="1:4" x14ac:dyDescent="0.25">
      <c r="A7" s="7" t="s">
        <v>1817</v>
      </c>
      <c r="B7" s="7" t="s">
        <v>1818</v>
      </c>
      <c r="C7" s="14" t="s">
        <v>1812</v>
      </c>
      <c r="D7" s="15"/>
    </row>
    <row r="8" spans="1:4" x14ac:dyDescent="0.25">
      <c r="A8" s="7" t="s">
        <v>1817</v>
      </c>
      <c r="B8" s="7" t="s">
        <v>1819</v>
      </c>
      <c r="C8" s="14" t="s">
        <v>1812</v>
      </c>
      <c r="D8" s="15"/>
    </row>
    <row r="9" spans="1:4" x14ac:dyDescent="0.25">
      <c r="A9" s="7" t="s">
        <v>1817</v>
      </c>
      <c r="B9" s="7" t="s">
        <v>1820</v>
      </c>
      <c r="C9" s="14" t="s">
        <v>1812</v>
      </c>
      <c r="D9" s="15"/>
    </row>
    <row r="10" spans="1:4" x14ac:dyDescent="0.25">
      <c r="A10" s="7" t="s">
        <v>1817</v>
      </c>
      <c r="B10" s="7" t="s">
        <v>1821</v>
      </c>
      <c r="C10" s="14" t="s">
        <v>1812</v>
      </c>
      <c r="D10" s="15"/>
    </row>
    <row r="11" spans="1:4" x14ac:dyDescent="0.25">
      <c r="A11" s="7" t="s">
        <v>1822</v>
      </c>
      <c r="B11" s="7" t="s">
        <v>1823</v>
      </c>
      <c r="C11" s="14" t="s">
        <v>1812</v>
      </c>
      <c r="D11" s="15"/>
    </row>
    <row r="12" spans="1:4" x14ac:dyDescent="0.25">
      <c r="A12" s="7" t="s">
        <v>1822</v>
      </c>
      <c r="B12" s="7" t="s">
        <v>1824</v>
      </c>
      <c r="C12" s="14" t="s">
        <v>1812</v>
      </c>
      <c r="D12" s="15"/>
    </row>
    <row r="13" spans="1:4" x14ac:dyDescent="0.25">
      <c r="A13" s="7" t="s">
        <v>1822</v>
      </c>
      <c r="B13" s="7" t="s">
        <v>1825</v>
      </c>
      <c r="C13" s="14" t="s">
        <v>1812</v>
      </c>
      <c r="D13" s="15"/>
    </row>
  </sheetData>
  <autoFilter ref="A1:D13" xr:uid="{00000000-0009-0000-0000-000008000000}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800-000000000000}">
          <x14:formula1>
            <xm:f>Lists!$I$2:$I$5</xm:f>
          </x14:formula1>
          <x14:formula2>
            <xm:f>0</xm:f>
          </x14:formula2>
          <xm:sqref>C2:C60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9"/>
  <sheetViews>
    <sheetView zoomScaleNormal="100" workbookViewId="0">
      <pane ySplit="1" topLeftCell="A2" activePane="bottomLeft" state="frozen"/>
      <selection pane="bottomLeft" activeCell="C15" sqref="C15"/>
    </sheetView>
  </sheetViews>
  <sheetFormatPr defaultColWidth="8.7109375" defaultRowHeight="15" x14ac:dyDescent="0.25"/>
  <cols>
    <col min="1" max="1" width="70" customWidth="1"/>
    <col min="2" max="2" width="24" customWidth="1"/>
    <col min="3" max="3" width="40" customWidth="1"/>
  </cols>
  <sheetData>
    <row r="1" spans="1:3" x14ac:dyDescent="0.25">
      <c r="A1" s="4" t="s">
        <v>1826</v>
      </c>
      <c r="B1" s="4" t="s">
        <v>1827</v>
      </c>
      <c r="C1" s="4" t="s">
        <v>1871</v>
      </c>
    </row>
    <row r="2" spans="1:3" x14ac:dyDescent="0.25">
      <c r="A2" s="7" t="s">
        <v>1828</v>
      </c>
      <c r="B2" s="7" t="s">
        <v>1829</v>
      </c>
      <c r="C2" s="14"/>
    </row>
    <row r="3" spans="1:3" x14ac:dyDescent="0.25">
      <c r="A3" s="7" t="s">
        <v>1830</v>
      </c>
      <c r="B3" s="7" t="s">
        <v>1831</v>
      </c>
      <c r="C3" s="14"/>
    </row>
    <row r="4" spans="1:3" x14ac:dyDescent="0.25">
      <c r="A4" s="7" t="s">
        <v>1832</v>
      </c>
      <c r="B4" s="7" t="s">
        <v>1833</v>
      </c>
      <c r="C4" s="14"/>
    </row>
    <row r="5" spans="1:3" x14ac:dyDescent="0.25">
      <c r="A5" s="7" t="s">
        <v>1834</v>
      </c>
      <c r="B5" s="7" t="s">
        <v>1835</v>
      </c>
      <c r="C5" s="14"/>
    </row>
    <row r="6" spans="1:3" x14ac:dyDescent="0.25">
      <c r="A6" s="7" t="s">
        <v>1836</v>
      </c>
      <c r="B6" s="7" t="s">
        <v>1835</v>
      </c>
      <c r="C6" s="14"/>
    </row>
    <row r="7" spans="1:3" ht="25.5" x14ac:dyDescent="0.25">
      <c r="A7" s="7" t="s">
        <v>1837</v>
      </c>
      <c r="B7" s="7" t="s">
        <v>1838</v>
      </c>
      <c r="C7" s="14"/>
    </row>
    <row r="8" spans="1:3" x14ac:dyDescent="0.25">
      <c r="A8" s="7" t="s">
        <v>1839</v>
      </c>
      <c r="B8" s="7" t="s">
        <v>1835</v>
      </c>
      <c r="C8" s="14"/>
    </row>
    <row r="9" spans="1:3" x14ac:dyDescent="0.25">
      <c r="A9" s="7" t="s">
        <v>1840</v>
      </c>
      <c r="B9" s="7" t="s">
        <v>1841</v>
      </c>
      <c r="C9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1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24" customWidth="1"/>
    <col min="2" max="2" width="14" customWidth="1"/>
    <col min="3" max="4" width="24" customWidth="1"/>
    <col min="5" max="5" width="26" customWidth="1"/>
    <col min="6" max="6" width="40" customWidth="1"/>
  </cols>
  <sheetData>
    <row r="1" spans="1:6" x14ac:dyDescent="0.25">
      <c r="A1" s="16" t="s">
        <v>1842</v>
      </c>
      <c r="B1" s="16" t="s">
        <v>1780</v>
      </c>
      <c r="C1" s="16" t="s">
        <v>1843</v>
      </c>
      <c r="D1" s="16" t="s">
        <v>1844</v>
      </c>
      <c r="E1" s="16" t="s">
        <v>1845</v>
      </c>
      <c r="F1" s="16" t="s">
        <v>1846</v>
      </c>
    </row>
    <row r="2" spans="1:6" x14ac:dyDescent="0.25">
      <c r="A2" s="8" t="s">
        <v>42</v>
      </c>
      <c r="B2" s="8" t="s">
        <v>1687</v>
      </c>
      <c r="C2" s="8"/>
      <c r="D2" s="8" t="s">
        <v>44</v>
      </c>
      <c r="E2" s="8" t="s">
        <v>1847</v>
      </c>
      <c r="F2" s="8"/>
    </row>
    <row r="3" spans="1:6" x14ac:dyDescent="0.25">
      <c r="A3" s="8" t="s">
        <v>56</v>
      </c>
      <c r="B3" s="8" t="s">
        <v>1687</v>
      </c>
      <c r="C3" s="8"/>
      <c r="D3" s="8" t="s">
        <v>44</v>
      </c>
      <c r="E3" s="8" t="s">
        <v>1847</v>
      </c>
      <c r="F3" s="8"/>
    </row>
    <row r="4" spans="1:6" x14ac:dyDescent="0.25">
      <c r="A4" s="8" t="s">
        <v>56</v>
      </c>
      <c r="B4" s="8" t="s">
        <v>1694</v>
      </c>
      <c r="C4" s="8"/>
      <c r="D4" s="8" t="s">
        <v>57</v>
      </c>
      <c r="E4" s="8" t="s">
        <v>1847</v>
      </c>
      <c r="F4" s="8"/>
    </row>
    <row r="5" spans="1:6" x14ac:dyDescent="0.25">
      <c r="A5" s="8" t="s">
        <v>75</v>
      </c>
      <c r="B5" s="8" t="s">
        <v>1687</v>
      </c>
      <c r="C5" s="8"/>
      <c r="D5" s="8" t="s">
        <v>76</v>
      </c>
      <c r="E5" s="8" t="s">
        <v>1847</v>
      </c>
      <c r="F5" s="8"/>
    </row>
    <row r="6" spans="1:6" x14ac:dyDescent="0.25">
      <c r="A6" s="8" t="s">
        <v>75</v>
      </c>
      <c r="B6" s="8" t="s">
        <v>1694</v>
      </c>
      <c r="C6" s="8"/>
      <c r="D6" s="8" t="s">
        <v>57</v>
      </c>
      <c r="E6" s="8" t="s">
        <v>1847</v>
      </c>
      <c r="F6" s="8"/>
    </row>
    <row r="7" spans="1:6" x14ac:dyDescent="0.25">
      <c r="A7" s="8" t="s">
        <v>75</v>
      </c>
      <c r="B7" s="8" t="s">
        <v>1700</v>
      </c>
      <c r="C7" s="8"/>
      <c r="D7" s="8" t="s">
        <v>78</v>
      </c>
      <c r="E7" s="8" t="s">
        <v>1847</v>
      </c>
      <c r="F7" s="8"/>
    </row>
    <row r="8" spans="1:6" x14ac:dyDescent="0.25">
      <c r="A8" s="8" t="s">
        <v>82</v>
      </c>
      <c r="B8" s="8" t="s">
        <v>1700</v>
      </c>
      <c r="C8" s="8" t="s">
        <v>72</v>
      </c>
      <c r="D8" s="8" t="s">
        <v>71</v>
      </c>
      <c r="E8" s="8" t="s">
        <v>1848</v>
      </c>
      <c r="F8" s="8"/>
    </row>
    <row r="9" spans="1:6" x14ac:dyDescent="0.25">
      <c r="A9" s="8" t="s">
        <v>89</v>
      </c>
      <c r="B9" s="8" t="s">
        <v>1687</v>
      </c>
      <c r="C9" s="8"/>
      <c r="D9" s="8" t="s">
        <v>44</v>
      </c>
      <c r="E9" s="8" t="s">
        <v>1847</v>
      </c>
      <c r="F9" s="8"/>
    </row>
    <row r="10" spans="1:6" x14ac:dyDescent="0.25">
      <c r="A10" s="8" t="s">
        <v>89</v>
      </c>
      <c r="B10" s="8" t="s">
        <v>1694</v>
      </c>
      <c r="C10" s="8"/>
      <c r="D10" s="8" t="s">
        <v>47</v>
      </c>
      <c r="E10" s="8" t="s">
        <v>1847</v>
      </c>
      <c r="F10" s="8"/>
    </row>
    <row r="11" spans="1:6" x14ac:dyDescent="0.25">
      <c r="A11" s="8" t="s">
        <v>89</v>
      </c>
      <c r="B11" s="8" t="s">
        <v>1700</v>
      </c>
      <c r="C11" s="8"/>
      <c r="D11" s="8" t="s">
        <v>91</v>
      </c>
      <c r="E11" s="8" t="s">
        <v>1847</v>
      </c>
      <c r="F11" s="8"/>
    </row>
    <row r="12" spans="1:6" x14ac:dyDescent="0.25">
      <c r="A12" s="8" t="s">
        <v>95</v>
      </c>
      <c r="B12" s="8" t="s">
        <v>1694</v>
      </c>
      <c r="C12" s="8"/>
      <c r="D12" s="8" t="s">
        <v>47</v>
      </c>
      <c r="E12" s="8" t="s">
        <v>1847</v>
      </c>
      <c r="F12" s="8"/>
    </row>
    <row r="13" spans="1:6" x14ac:dyDescent="0.25">
      <c r="A13" s="8" t="s">
        <v>106</v>
      </c>
      <c r="B13" s="8" t="s">
        <v>1697</v>
      </c>
      <c r="C13" s="8" t="s">
        <v>115</v>
      </c>
      <c r="D13" s="8" t="s">
        <v>77</v>
      </c>
      <c r="E13" s="8" t="s">
        <v>1849</v>
      </c>
      <c r="F13" s="8"/>
    </row>
    <row r="14" spans="1:6" x14ac:dyDescent="0.25">
      <c r="A14" s="8" t="s">
        <v>106</v>
      </c>
      <c r="B14" s="8" t="s">
        <v>1700</v>
      </c>
      <c r="C14" s="8" t="s">
        <v>72</v>
      </c>
      <c r="D14" s="8" t="s">
        <v>71</v>
      </c>
      <c r="E14" s="8" t="s">
        <v>1848</v>
      </c>
      <c r="F14" s="8"/>
    </row>
    <row r="15" spans="1:6" x14ac:dyDescent="0.25">
      <c r="A15" s="8" t="s">
        <v>131</v>
      </c>
      <c r="B15" s="8" t="s">
        <v>1687</v>
      </c>
      <c r="C15" s="8"/>
      <c r="D15" s="8" t="s">
        <v>44</v>
      </c>
      <c r="E15" s="8" t="s">
        <v>1847</v>
      </c>
      <c r="F15" s="8"/>
    </row>
    <row r="16" spans="1:6" x14ac:dyDescent="0.25">
      <c r="A16" s="8" t="s">
        <v>131</v>
      </c>
      <c r="B16" s="8" t="s">
        <v>1700</v>
      </c>
      <c r="C16" s="8" t="s">
        <v>133</v>
      </c>
      <c r="D16" s="8" t="s">
        <v>178</v>
      </c>
      <c r="E16" s="8" t="s">
        <v>1848</v>
      </c>
      <c r="F16" s="8"/>
    </row>
    <row r="17" spans="1:6" x14ac:dyDescent="0.25">
      <c r="A17" s="8" t="s">
        <v>142</v>
      </c>
      <c r="B17" s="8" t="s">
        <v>1694</v>
      </c>
      <c r="C17" s="8"/>
      <c r="D17" s="8" t="s">
        <v>47</v>
      </c>
      <c r="E17" s="8" t="s">
        <v>1847</v>
      </c>
      <c r="F17" s="8"/>
    </row>
    <row r="18" spans="1:6" x14ac:dyDescent="0.25">
      <c r="A18" s="8" t="s">
        <v>148</v>
      </c>
      <c r="B18" s="8" t="s">
        <v>1687</v>
      </c>
      <c r="C18" s="8"/>
      <c r="D18" s="8" t="s">
        <v>76</v>
      </c>
      <c r="E18" s="8" t="s">
        <v>1847</v>
      </c>
      <c r="F18" s="8"/>
    </row>
    <row r="19" spans="1:6" x14ac:dyDescent="0.25">
      <c r="A19" s="8" t="s">
        <v>148</v>
      </c>
      <c r="B19" s="8" t="s">
        <v>1697</v>
      </c>
      <c r="C19" s="8"/>
      <c r="D19" s="8" t="s">
        <v>149</v>
      </c>
      <c r="E19" s="8" t="s">
        <v>1847</v>
      </c>
      <c r="F19" s="8"/>
    </row>
    <row r="20" spans="1:6" x14ac:dyDescent="0.25">
      <c r="A20" s="8" t="s">
        <v>168</v>
      </c>
      <c r="B20" s="8" t="s">
        <v>1694</v>
      </c>
      <c r="C20" s="8"/>
      <c r="D20" s="8" t="s">
        <v>57</v>
      </c>
      <c r="E20" s="8" t="s">
        <v>1847</v>
      </c>
      <c r="F20" s="8"/>
    </row>
    <row r="21" spans="1:6" x14ac:dyDescent="0.25">
      <c r="A21" s="8" t="s">
        <v>174</v>
      </c>
      <c r="B21" s="8" t="s">
        <v>1687</v>
      </c>
      <c r="C21" s="8"/>
      <c r="D21" s="8" t="s">
        <v>76</v>
      </c>
      <c r="E21" s="8" t="s">
        <v>1847</v>
      </c>
      <c r="F21" s="8"/>
    </row>
    <row r="22" spans="1:6" x14ac:dyDescent="0.25">
      <c r="A22" s="8" t="s">
        <v>174</v>
      </c>
      <c r="B22" s="8" t="s">
        <v>1697</v>
      </c>
      <c r="C22" s="8"/>
      <c r="D22" s="8" t="s">
        <v>149</v>
      </c>
      <c r="E22" s="8" t="s">
        <v>1847</v>
      </c>
      <c r="F22" s="8"/>
    </row>
    <row r="23" spans="1:6" x14ac:dyDescent="0.25">
      <c r="A23" s="8" t="s">
        <v>177</v>
      </c>
      <c r="B23" s="8" t="s">
        <v>1687</v>
      </c>
      <c r="C23" s="8"/>
      <c r="D23" s="8" t="s">
        <v>44</v>
      </c>
      <c r="E23" s="8" t="s">
        <v>1847</v>
      </c>
      <c r="F23" s="8"/>
    </row>
    <row r="24" spans="1:6" x14ac:dyDescent="0.25">
      <c r="A24" s="8" t="s">
        <v>188</v>
      </c>
      <c r="B24" s="8" t="s">
        <v>1687</v>
      </c>
      <c r="C24" s="8"/>
      <c r="D24" s="8" t="s">
        <v>76</v>
      </c>
      <c r="E24" s="8" t="s">
        <v>1847</v>
      </c>
      <c r="F24" s="8"/>
    </row>
    <row r="25" spans="1:6" x14ac:dyDescent="0.25">
      <c r="A25" s="8" t="s">
        <v>188</v>
      </c>
      <c r="B25" s="8" t="s">
        <v>1697</v>
      </c>
      <c r="C25" s="8" t="s">
        <v>83</v>
      </c>
      <c r="D25" s="8" t="s">
        <v>77</v>
      </c>
      <c r="E25" s="8" t="s">
        <v>1848</v>
      </c>
      <c r="F25" s="8"/>
    </row>
    <row r="26" spans="1:6" x14ac:dyDescent="0.25">
      <c r="A26" s="8" t="s">
        <v>190</v>
      </c>
      <c r="B26" s="8" t="s">
        <v>1687</v>
      </c>
      <c r="C26" s="8"/>
      <c r="D26" s="8" t="s">
        <v>44</v>
      </c>
      <c r="E26" s="8" t="s">
        <v>1847</v>
      </c>
      <c r="F26" s="8"/>
    </row>
    <row r="27" spans="1:6" x14ac:dyDescent="0.25">
      <c r="A27" s="8" t="s">
        <v>213</v>
      </c>
      <c r="B27" s="8" t="s">
        <v>1687</v>
      </c>
      <c r="C27" s="8"/>
      <c r="D27" s="8" t="s">
        <v>44</v>
      </c>
      <c r="E27" s="8" t="s">
        <v>1847</v>
      </c>
      <c r="F27" s="8"/>
    </row>
    <row r="28" spans="1:6" x14ac:dyDescent="0.25">
      <c r="A28" s="8" t="s">
        <v>213</v>
      </c>
      <c r="B28" s="8" t="s">
        <v>1694</v>
      </c>
      <c r="C28" s="8"/>
      <c r="D28" s="8" t="s">
        <v>57</v>
      </c>
      <c r="E28" s="8" t="s">
        <v>1847</v>
      </c>
      <c r="F28" s="8"/>
    </row>
    <row r="29" spans="1:6" x14ac:dyDescent="0.25">
      <c r="A29" s="8" t="s">
        <v>213</v>
      </c>
      <c r="B29" s="8" t="s">
        <v>1700</v>
      </c>
      <c r="C29" s="8" t="s">
        <v>78</v>
      </c>
      <c r="D29" s="8" t="s">
        <v>119</v>
      </c>
      <c r="E29" s="8" t="s">
        <v>1848</v>
      </c>
      <c r="F29" s="8"/>
    </row>
    <row r="30" spans="1:6" x14ac:dyDescent="0.25">
      <c r="A30" s="8" t="s">
        <v>196</v>
      </c>
      <c r="B30" s="8" t="s">
        <v>1687</v>
      </c>
      <c r="C30" s="8"/>
      <c r="D30" s="8" t="s">
        <v>44</v>
      </c>
      <c r="E30" s="8" t="s">
        <v>1847</v>
      </c>
      <c r="F30" s="8"/>
    </row>
    <row r="31" spans="1:6" x14ac:dyDescent="0.25">
      <c r="A31" s="8" t="s">
        <v>196</v>
      </c>
      <c r="B31" s="8" t="s">
        <v>1697</v>
      </c>
      <c r="C31" s="8" t="s">
        <v>58</v>
      </c>
      <c r="D31" s="8" t="s">
        <v>191</v>
      </c>
      <c r="E31" s="8" t="s">
        <v>1848</v>
      </c>
      <c r="F31" s="8"/>
    </row>
    <row r="32" spans="1:6" x14ac:dyDescent="0.25">
      <c r="A32" s="8" t="s">
        <v>223</v>
      </c>
      <c r="B32" s="8" t="s">
        <v>1687</v>
      </c>
      <c r="C32" s="8"/>
      <c r="D32" s="8" t="s">
        <v>44</v>
      </c>
      <c r="E32" s="8" t="s">
        <v>1847</v>
      </c>
      <c r="F32" s="8"/>
    </row>
    <row r="33" spans="1:6" x14ac:dyDescent="0.25">
      <c r="A33" s="8" t="s">
        <v>223</v>
      </c>
      <c r="B33" s="8" t="s">
        <v>1694</v>
      </c>
      <c r="C33" s="8"/>
      <c r="D33" s="8" t="s">
        <v>57</v>
      </c>
      <c r="E33" s="8" t="s">
        <v>1847</v>
      </c>
      <c r="F33" s="8"/>
    </row>
    <row r="34" spans="1:6" x14ac:dyDescent="0.25">
      <c r="A34" s="8" t="s">
        <v>223</v>
      </c>
      <c r="B34" s="8" t="s">
        <v>1697</v>
      </c>
      <c r="C34" s="8" t="s">
        <v>227</v>
      </c>
      <c r="D34" s="8" t="s">
        <v>224</v>
      </c>
      <c r="E34" s="8" t="s">
        <v>1849</v>
      </c>
      <c r="F34" s="8"/>
    </row>
    <row r="35" spans="1:6" x14ac:dyDescent="0.25">
      <c r="A35" s="8" t="s">
        <v>223</v>
      </c>
      <c r="B35" s="8" t="s">
        <v>1700</v>
      </c>
      <c r="C35" s="8"/>
      <c r="D35" s="8" t="s">
        <v>119</v>
      </c>
      <c r="E35" s="8" t="s">
        <v>1847</v>
      </c>
      <c r="F35" s="8"/>
    </row>
    <row r="36" spans="1:6" x14ac:dyDescent="0.25">
      <c r="A36" s="8" t="s">
        <v>230</v>
      </c>
      <c r="B36" s="8" t="s">
        <v>1687</v>
      </c>
      <c r="C36" s="8"/>
      <c r="D36" s="8" t="s">
        <v>44</v>
      </c>
      <c r="E36" s="8" t="s">
        <v>1847</v>
      </c>
      <c r="F36" s="8"/>
    </row>
    <row r="37" spans="1:6" x14ac:dyDescent="0.25">
      <c r="A37" s="8" t="s">
        <v>235</v>
      </c>
      <c r="B37" s="8" t="s">
        <v>1694</v>
      </c>
      <c r="C37" s="8"/>
      <c r="D37" s="8" t="s">
        <v>47</v>
      </c>
      <c r="E37" s="8" t="s">
        <v>1847</v>
      </c>
      <c r="F37" s="8"/>
    </row>
    <row r="38" spans="1:6" x14ac:dyDescent="0.25">
      <c r="A38" s="8" t="s">
        <v>235</v>
      </c>
      <c r="B38" s="8" t="s">
        <v>1700</v>
      </c>
      <c r="C38" s="8" t="s">
        <v>71</v>
      </c>
      <c r="D38" s="8" t="s">
        <v>91</v>
      </c>
      <c r="E38" s="8" t="s">
        <v>1848</v>
      </c>
      <c r="F38" s="8"/>
    </row>
    <row r="39" spans="1:6" x14ac:dyDescent="0.25">
      <c r="A39" s="8" t="s">
        <v>244</v>
      </c>
      <c r="B39" s="8" t="s">
        <v>1687</v>
      </c>
      <c r="C39" s="8"/>
      <c r="D39" s="8" t="s">
        <v>245</v>
      </c>
      <c r="E39" s="8" t="s">
        <v>1847</v>
      </c>
      <c r="F39" s="8"/>
    </row>
    <row r="40" spans="1:6" x14ac:dyDescent="0.25">
      <c r="A40" s="8" t="s">
        <v>244</v>
      </c>
      <c r="B40" s="8" t="s">
        <v>1694</v>
      </c>
      <c r="C40" s="8"/>
      <c r="D40" s="8" t="s">
        <v>47</v>
      </c>
      <c r="E40" s="8" t="s">
        <v>1847</v>
      </c>
      <c r="F40" s="8"/>
    </row>
    <row r="41" spans="1:6" x14ac:dyDescent="0.25">
      <c r="A41" s="8" t="s">
        <v>251</v>
      </c>
      <c r="B41" s="8" t="s">
        <v>1694</v>
      </c>
      <c r="C41" s="8"/>
      <c r="D41" s="8" t="s">
        <v>47</v>
      </c>
      <c r="E41" s="8" t="s">
        <v>1847</v>
      </c>
      <c r="F41" s="8"/>
    </row>
    <row r="42" spans="1:6" x14ac:dyDescent="0.25">
      <c r="A42" s="8" t="s">
        <v>266</v>
      </c>
      <c r="B42" s="8" t="s">
        <v>1687</v>
      </c>
      <c r="C42" s="8"/>
      <c r="D42" s="8" t="s">
        <v>245</v>
      </c>
      <c r="E42" s="8" t="s">
        <v>1847</v>
      </c>
      <c r="F42" s="8"/>
    </row>
    <row r="43" spans="1:6" x14ac:dyDescent="0.25">
      <c r="A43" s="8" t="s">
        <v>266</v>
      </c>
      <c r="B43" s="8" t="s">
        <v>1694</v>
      </c>
      <c r="C43" s="8"/>
      <c r="D43" s="8" t="s">
        <v>47</v>
      </c>
      <c r="E43" s="8" t="s">
        <v>1847</v>
      </c>
      <c r="F43" s="8"/>
    </row>
    <row r="44" spans="1:6" x14ac:dyDescent="0.25">
      <c r="A44" s="8" t="s">
        <v>270</v>
      </c>
      <c r="B44" s="8" t="s">
        <v>1687</v>
      </c>
      <c r="C44" s="8"/>
      <c r="D44" s="8" t="s">
        <v>44</v>
      </c>
      <c r="E44" s="8" t="s">
        <v>1847</v>
      </c>
      <c r="F44" s="8"/>
    </row>
    <row r="45" spans="1:6" x14ac:dyDescent="0.25">
      <c r="A45" s="8" t="s">
        <v>277</v>
      </c>
      <c r="B45" s="8" t="s">
        <v>1687</v>
      </c>
      <c r="C45" s="8"/>
      <c r="D45" s="8" t="s">
        <v>44</v>
      </c>
      <c r="E45" s="8" t="s">
        <v>1847</v>
      </c>
      <c r="F45" s="8"/>
    </row>
    <row r="46" spans="1:6" x14ac:dyDescent="0.25">
      <c r="A46" s="8" t="s">
        <v>277</v>
      </c>
      <c r="B46" s="8" t="s">
        <v>1697</v>
      </c>
      <c r="C46" s="8" t="s">
        <v>227</v>
      </c>
      <c r="D46" s="8" t="s">
        <v>224</v>
      </c>
      <c r="E46" s="8" t="s">
        <v>1849</v>
      </c>
      <c r="F46" s="8"/>
    </row>
    <row r="47" spans="1:6" x14ac:dyDescent="0.25">
      <c r="A47" s="8" t="s">
        <v>280</v>
      </c>
      <c r="B47" s="8" t="s">
        <v>1687</v>
      </c>
      <c r="C47" s="8"/>
      <c r="D47" s="8" t="s">
        <v>44</v>
      </c>
      <c r="E47" s="8" t="s">
        <v>1847</v>
      </c>
      <c r="F47" s="8"/>
    </row>
    <row r="48" spans="1:6" x14ac:dyDescent="0.25">
      <c r="A48" s="8" t="s">
        <v>280</v>
      </c>
      <c r="B48" s="8" t="s">
        <v>1694</v>
      </c>
      <c r="C48" s="8"/>
      <c r="D48" s="8" t="s">
        <v>57</v>
      </c>
      <c r="E48" s="8" t="s">
        <v>1847</v>
      </c>
      <c r="F48" s="8"/>
    </row>
    <row r="49" spans="1:6" x14ac:dyDescent="0.25">
      <c r="A49" s="8" t="s">
        <v>287</v>
      </c>
      <c r="B49" s="8" t="s">
        <v>1687</v>
      </c>
      <c r="C49" s="8"/>
      <c r="D49" s="8" t="s">
        <v>44</v>
      </c>
      <c r="E49" s="8" t="s">
        <v>1847</v>
      </c>
      <c r="F49" s="8"/>
    </row>
    <row r="50" spans="1:6" x14ac:dyDescent="0.25">
      <c r="A50" s="8" t="s">
        <v>299</v>
      </c>
      <c r="B50" s="8" t="s">
        <v>1687</v>
      </c>
      <c r="C50" s="8"/>
      <c r="D50" s="8" t="s">
        <v>76</v>
      </c>
      <c r="E50" s="8" t="s">
        <v>1847</v>
      </c>
      <c r="F50" s="8"/>
    </row>
    <row r="51" spans="1:6" x14ac:dyDescent="0.25">
      <c r="A51" s="8" t="s">
        <v>299</v>
      </c>
      <c r="B51" s="8" t="s">
        <v>1700</v>
      </c>
      <c r="C51" s="8"/>
      <c r="D51" s="8" t="s">
        <v>78</v>
      </c>
      <c r="E51" s="8" t="s">
        <v>1847</v>
      </c>
      <c r="F51" s="8"/>
    </row>
    <row r="52" spans="1:6" x14ac:dyDescent="0.25">
      <c r="A52" s="8" t="s">
        <v>307</v>
      </c>
      <c r="B52" s="8" t="s">
        <v>1687</v>
      </c>
      <c r="C52" s="8"/>
      <c r="D52" s="8" t="s">
        <v>44</v>
      </c>
      <c r="E52" s="8" t="s">
        <v>1847</v>
      </c>
      <c r="F52" s="8"/>
    </row>
    <row r="53" spans="1:6" x14ac:dyDescent="0.25">
      <c r="A53" s="8" t="s">
        <v>313</v>
      </c>
      <c r="B53" s="8" t="s">
        <v>1694</v>
      </c>
      <c r="C53" s="8"/>
      <c r="D53" s="8" t="s">
        <v>57</v>
      </c>
      <c r="E53" s="8" t="s">
        <v>1847</v>
      </c>
      <c r="F53" s="8"/>
    </row>
    <row r="54" spans="1:6" x14ac:dyDescent="0.25">
      <c r="A54" s="8" t="s">
        <v>322</v>
      </c>
      <c r="B54" s="8" t="s">
        <v>1694</v>
      </c>
      <c r="C54" s="8"/>
      <c r="D54" s="8" t="s">
        <v>57</v>
      </c>
      <c r="E54" s="8" t="s">
        <v>1847</v>
      </c>
      <c r="F54" s="8"/>
    </row>
    <row r="55" spans="1:6" x14ac:dyDescent="0.25">
      <c r="A55" s="8" t="s">
        <v>327</v>
      </c>
      <c r="B55" s="8" t="s">
        <v>1687</v>
      </c>
      <c r="C55" s="8"/>
      <c r="D55" s="8" t="s">
        <v>76</v>
      </c>
      <c r="E55" s="8" t="s">
        <v>1847</v>
      </c>
      <c r="F55" s="8"/>
    </row>
    <row r="56" spans="1:6" x14ac:dyDescent="0.25">
      <c r="A56" s="8" t="s">
        <v>327</v>
      </c>
      <c r="B56" s="8" t="s">
        <v>1697</v>
      </c>
      <c r="C56" s="8"/>
      <c r="D56" s="8" t="s">
        <v>77</v>
      </c>
      <c r="E56" s="8" t="s">
        <v>1847</v>
      </c>
      <c r="F56" s="8"/>
    </row>
    <row r="57" spans="1:6" x14ac:dyDescent="0.25">
      <c r="A57" s="8" t="s">
        <v>329</v>
      </c>
      <c r="B57" s="8" t="s">
        <v>1694</v>
      </c>
      <c r="C57" s="8"/>
      <c r="D57" s="8" t="s">
        <v>47</v>
      </c>
      <c r="E57" s="8" t="s">
        <v>1847</v>
      </c>
      <c r="F57" s="8"/>
    </row>
    <row r="58" spans="1:6" x14ac:dyDescent="0.25">
      <c r="A58" s="8" t="s">
        <v>331</v>
      </c>
      <c r="B58" s="8" t="s">
        <v>1687</v>
      </c>
      <c r="C58" s="8"/>
      <c r="D58" s="8" t="s">
        <v>76</v>
      </c>
      <c r="E58" s="8" t="s">
        <v>1847</v>
      </c>
      <c r="F58" s="8"/>
    </row>
    <row r="59" spans="1:6" x14ac:dyDescent="0.25">
      <c r="A59" s="8" t="s">
        <v>331</v>
      </c>
      <c r="B59" s="8" t="s">
        <v>21</v>
      </c>
      <c r="C59" s="8"/>
      <c r="D59" s="8" t="s">
        <v>332</v>
      </c>
      <c r="E59" s="8" t="s">
        <v>1847</v>
      </c>
      <c r="F59" s="8"/>
    </row>
    <row r="60" spans="1:6" x14ac:dyDescent="0.25">
      <c r="A60" s="8" t="s">
        <v>338</v>
      </c>
      <c r="B60" s="8" t="s">
        <v>1687</v>
      </c>
      <c r="C60" s="8"/>
      <c r="D60" s="8" t="s">
        <v>76</v>
      </c>
      <c r="E60" s="8" t="s">
        <v>1847</v>
      </c>
      <c r="F60" s="8"/>
    </row>
    <row r="61" spans="1:6" x14ac:dyDescent="0.25">
      <c r="A61" s="8" t="s">
        <v>338</v>
      </c>
      <c r="B61" s="8" t="s">
        <v>1697</v>
      </c>
      <c r="C61" s="8" t="s">
        <v>340</v>
      </c>
      <c r="D61" s="8" t="s">
        <v>83</v>
      </c>
      <c r="E61" s="8" t="s">
        <v>1849</v>
      </c>
      <c r="F61" s="8"/>
    </row>
    <row r="62" spans="1:6" x14ac:dyDescent="0.25">
      <c r="A62" s="8" t="s">
        <v>338</v>
      </c>
      <c r="B62" s="8" t="s">
        <v>1700</v>
      </c>
      <c r="C62" s="8" t="s">
        <v>72</v>
      </c>
      <c r="D62" s="8" t="s">
        <v>59</v>
      </c>
      <c r="E62" s="8" t="s">
        <v>1848</v>
      </c>
      <c r="F62" s="8"/>
    </row>
    <row r="63" spans="1:6" x14ac:dyDescent="0.25">
      <c r="A63" s="8" t="s">
        <v>343</v>
      </c>
      <c r="B63" s="8" t="s">
        <v>1687</v>
      </c>
      <c r="C63" s="8"/>
      <c r="D63" s="8" t="s">
        <v>44</v>
      </c>
      <c r="E63" s="8" t="s">
        <v>1847</v>
      </c>
      <c r="F63" s="8"/>
    </row>
    <row r="64" spans="1:6" x14ac:dyDescent="0.25">
      <c r="A64" s="8" t="s">
        <v>343</v>
      </c>
      <c r="B64" s="8" t="s">
        <v>1700</v>
      </c>
      <c r="C64" s="8"/>
      <c r="D64" s="8" t="s">
        <v>119</v>
      </c>
      <c r="E64" s="8" t="s">
        <v>1847</v>
      </c>
      <c r="F64" s="8"/>
    </row>
    <row r="65" spans="1:6" x14ac:dyDescent="0.25">
      <c r="A65" s="8" t="s">
        <v>349</v>
      </c>
      <c r="B65" s="8" t="s">
        <v>1687</v>
      </c>
      <c r="C65" s="8"/>
      <c r="D65" s="8" t="s">
        <v>44</v>
      </c>
      <c r="E65" s="8" t="s">
        <v>1847</v>
      </c>
      <c r="F65" s="8"/>
    </row>
    <row r="66" spans="1:6" x14ac:dyDescent="0.25">
      <c r="A66" s="8" t="s">
        <v>349</v>
      </c>
      <c r="B66" s="8" t="s">
        <v>1700</v>
      </c>
      <c r="C66" s="8"/>
      <c r="D66" s="8" t="s">
        <v>72</v>
      </c>
      <c r="E66" s="8" t="s">
        <v>1847</v>
      </c>
      <c r="F66" s="8"/>
    </row>
    <row r="67" spans="1:6" x14ac:dyDescent="0.25">
      <c r="A67" s="8" t="s">
        <v>375</v>
      </c>
      <c r="B67" s="8" t="s">
        <v>1687</v>
      </c>
      <c r="C67" s="8"/>
      <c r="D67" s="8" t="s">
        <v>76</v>
      </c>
      <c r="E67" s="8" t="s">
        <v>1847</v>
      </c>
      <c r="F67" s="8"/>
    </row>
    <row r="68" spans="1:6" x14ac:dyDescent="0.25">
      <c r="A68" s="8" t="s">
        <v>375</v>
      </c>
      <c r="B68" s="8" t="s">
        <v>1694</v>
      </c>
      <c r="C68" s="8"/>
      <c r="D68" s="8" t="s">
        <v>57</v>
      </c>
      <c r="E68" s="8" t="s">
        <v>1847</v>
      </c>
      <c r="F68" s="8"/>
    </row>
    <row r="69" spans="1:6" x14ac:dyDescent="0.25">
      <c r="A69" s="8" t="s">
        <v>375</v>
      </c>
      <c r="B69" s="8" t="s">
        <v>1700</v>
      </c>
      <c r="C69" s="8"/>
      <c r="D69" s="8" t="s">
        <v>91</v>
      </c>
      <c r="E69" s="8" t="s">
        <v>1847</v>
      </c>
      <c r="F69" s="8"/>
    </row>
    <row r="70" spans="1:6" x14ac:dyDescent="0.25">
      <c r="A70" s="8" t="s">
        <v>377</v>
      </c>
      <c r="B70" s="8" t="s">
        <v>1687</v>
      </c>
      <c r="C70" s="8"/>
      <c r="D70" s="8" t="s">
        <v>76</v>
      </c>
      <c r="E70" s="8" t="s">
        <v>1847</v>
      </c>
      <c r="F70" s="8"/>
    </row>
    <row r="71" spans="1:6" x14ac:dyDescent="0.25">
      <c r="A71" s="8" t="s">
        <v>384</v>
      </c>
      <c r="B71" s="8" t="s">
        <v>1687</v>
      </c>
      <c r="C71" s="8"/>
      <c r="D71" s="8" t="s">
        <v>76</v>
      </c>
      <c r="E71" s="8" t="s">
        <v>1847</v>
      </c>
      <c r="F71" s="8"/>
    </row>
    <row r="72" spans="1:6" x14ac:dyDescent="0.25">
      <c r="A72" s="8" t="s">
        <v>384</v>
      </c>
      <c r="B72" s="8" t="s">
        <v>1697</v>
      </c>
      <c r="C72" s="8" t="s">
        <v>83</v>
      </c>
      <c r="D72" s="8" t="s">
        <v>77</v>
      </c>
      <c r="E72" s="8" t="s">
        <v>1848</v>
      </c>
      <c r="F72" s="8"/>
    </row>
    <row r="73" spans="1:6" x14ac:dyDescent="0.25">
      <c r="A73" s="8" t="s">
        <v>386</v>
      </c>
      <c r="B73" s="8" t="s">
        <v>1694</v>
      </c>
      <c r="C73" s="8"/>
      <c r="D73" s="8" t="s">
        <v>57</v>
      </c>
      <c r="E73" s="8" t="s">
        <v>1847</v>
      </c>
      <c r="F73" s="8"/>
    </row>
    <row r="74" spans="1:6" x14ac:dyDescent="0.25">
      <c r="A74" s="8" t="s">
        <v>396</v>
      </c>
      <c r="B74" s="8" t="s">
        <v>1687</v>
      </c>
      <c r="C74" s="8"/>
      <c r="D74" s="8" t="s">
        <v>44</v>
      </c>
      <c r="E74" s="8" t="s">
        <v>1847</v>
      </c>
      <c r="F74" s="8"/>
    </row>
    <row r="75" spans="1:6" x14ac:dyDescent="0.25">
      <c r="A75" s="8" t="s">
        <v>396</v>
      </c>
      <c r="B75" s="8" t="s">
        <v>1700</v>
      </c>
      <c r="C75" s="8"/>
      <c r="D75" s="8" t="s">
        <v>72</v>
      </c>
      <c r="E75" s="8" t="s">
        <v>1847</v>
      </c>
      <c r="F75" s="8"/>
    </row>
    <row r="76" spans="1:6" x14ac:dyDescent="0.25">
      <c r="A76" s="8" t="s">
        <v>409</v>
      </c>
      <c r="B76" s="8" t="s">
        <v>1687</v>
      </c>
      <c r="C76" s="8"/>
      <c r="D76" s="8" t="s">
        <v>76</v>
      </c>
      <c r="E76" s="8" t="s">
        <v>1847</v>
      </c>
      <c r="F76" s="8"/>
    </row>
    <row r="77" spans="1:6" x14ac:dyDescent="0.25">
      <c r="A77" s="8" t="s">
        <v>409</v>
      </c>
      <c r="B77" s="8" t="s">
        <v>1694</v>
      </c>
      <c r="C77" s="8"/>
      <c r="D77" s="8" t="s">
        <v>57</v>
      </c>
      <c r="E77" s="8" t="s">
        <v>1847</v>
      </c>
      <c r="F77" s="8"/>
    </row>
    <row r="78" spans="1:6" x14ac:dyDescent="0.25">
      <c r="A78" s="8" t="s">
        <v>409</v>
      </c>
      <c r="B78" s="8" t="s">
        <v>1697</v>
      </c>
      <c r="C78" s="8" t="s">
        <v>412</v>
      </c>
      <c r="D78" s="8" t="s">
        <v>83</v>
      </c>
      <c r="E78" s="8" t="s">
        <v>1849</v>
      </c>
      <c r="F78" s="8"/>
    </row>
    <row r="79" spans="1:6" x14ac:dyDescent="0.25">
      <c r="A79" s="8" t="s">
        <v>415</v>
      </c>
      <c r="B79" s="8" t="s">
        <v>1694</v>
      </c>
      <c r="C79" s="8"/>
      <c r="D79" s="8" t="s">
        <v>57</v>
      </c>
      <c r="E79" s="8" t="s">
        <v>1847</v>
      </c>
      <c r="F79" s="8"/>
    </row>
    <row r="80" spans="1:6" x14ac:dyDescent="0.25">
      <c r="A80" s="8" t="s">
        <v>420</v>
      </c>
      <c r="B80" s="8" t="s">
        <v>1694</v>
      </c>
      <c r="C80" s="8"/>
      <c r="D80" s="8" t="s">
        <v>57</v>
      </c>
      <c r="E80" s="8" t="s">
        <v>1847</v>
      </c>
      <c r="F80" s="8"/>
    </row>
    <row r="81" spans="1:6" x14ac:dyDescent="0.25">
      <c r="A81" s="8" t="s">
        <v>420</v>
      </c>
      <c r="B81" s="8" t="s">
        <v>1697</v>
      </c>
      <c r="C81" s="8" t="s">
        <v>422</v>
      </c>
      <c r="D81" s="8" t="s">
        <v>77</v>
      </c>
      <c r="E81" s="8" t="s">
        <v>1849</v>
      </c>
      <c r="F81" s="8"/>
    </row>
    <row r="82" spans="1:6" x14ac:dyDescent="0.25">
      <c r="A82" s="8" t="s">
        <v>428</v>
      </c>
      <c r="B82" s="8" t="s">
        <v>1687</v>
      </c>
      <c r="C82" s="8"/>
      <c r="D82" s="8" t="s">
        <v>76</v>
      </c>
      <c r="E82" s="8" t="s">
        <v>1847</v>
      </c>
      <c r="F82" s="8"/>
    </row>
    <row r="83" spans="1:6" x14ac:dyDescent="0.25">
      <c r="A83" s="8" t="s">
        <v>428</v>
      </c>
      <c r="B83" s="8" t="s">
        <v>1700</v>
      </c>
      <c r="C83" s="8"/>
      <c r="D83" s="8" t="s">
        <v>71</v>
      </c>
      <c r="E83" s="8" t="s">
        <v>1847</v>
      </c>
      <c r="F83" s="8"/>
    </row>
    <row r="84" spans="1:6" x14ac:dyDescent="0.25">
      <c r="A84" s="8" t="s">
        <v>431</v>
      </c>
      <c r="B84" s="8" t="s">
        <v>1687</v>
      </c>
      <c r="C84" s="8"/>
      <c r="D84" s="8" t="s">
        <v>76</v>
      </c>
      <c r="E84" s="8" t="s">
        <v>1847</v>
      </c>
      <c r="F84" s="8"/>
    </row>
    <row r="85" spans="1:6" x14ac:dyDescent="0.25">
      <c r="A85" s="8" t="s">
        <v>431</v>
      </c>
      <c r="B85" s="8" t="s">
        <v>1697</v>
      </c>
      <c r="C85" s="8"/>
      <c r="D85" s="8" t="s">
        <v>77</v>
      </c>
      <c r="E85" s="8" t="s">
        <v>1847</v>
      </c>
      <c r="F85" s="8"/>
    </row>
    <row r="86" spans="1:6" x14ac:dyDescent="0.25">
      <c r="A86" s="8" t="s">
        <v>436</v>
      </c>
      <c r="B86" s="8" t="s">
        <v>1694</v>
      </c>
      <c r="C86" s="8"/>
      <c r="D86" s="8" t="s">
        <v>47</v>
      </c>
      <c r="E86" s="8" t="s">
        <v>1847</v>
      </c>
      <c r="F86" s="8"/>
    </row>
    <row r="87" spans="1:6" x14ac:dyDescent="0.25">
      <c r="A87" s="8" t="s">
        <v>445</v>
      </c>
      <c r="B87" s="8" t="s">
        <v>1687</v>
      </c>
      <c r="C87" s="8"/>
      <c r="D87" s="8" t="s">
        <v>44</v>
      </c>
      <c r="E87" s="8" t="s">
        <v>1847</v>
      </c>
      <c r="F87" s="8"/>
    </row>
    <row r="88" spans="1:6" x14ac:dyDescent="0.25">
      <c r="A88" s="8" t="s">
        <v>445</v>
      </c>
      <c r="B88" s="8" t="s">
        <v>1694</v>
      </c>
      <c r="C88" s="8"/>
      <c r="D88" s="8" t="s">
        <v>57</v>
      </c>
      <c r="E88" s="8" t="s">
        <v>1847</v>
      </c>
      <c r="F88" s="8"/>
    </row>
    <row r="89" spans="1:6" x14ac:dyDescent="0.25">
      <c r="A89" s="8" t="s">
        <v>445</v>
      </c>
      <c r="B89" s="8" t="s">
        <v>1700</v>
      </c>
      <c r="C89" s="8"/>
      <c r="D89" s="8" t="s">
        <v>49</v>
      </c>
      <c r="E89" s="8" t="s">
        <v>1847</v>
      </c>
      <c r="F89" s="8"/>
    </row>
    <row r="90" spans="1:6" x14ac:dyDescent="0.25">
      <c r="A90" s="8" t="s">
        <v>438</v>
      </c>
      <c r="B90" s="8" t="s">
        <v>1687</v>
      </c>
      <c r="C90" s="8"/>
      <c r="D90" s="8" t="s">
        <v>44</v>
      </c>
      <c r="E90" s="8" t="s">
        <v>1847</v>
      </c>
      <c r="F90" s="8"/>
    </row>
    <row r="91" spans="1:6" x14ac:dyDescent="0.25">
      <c r="A91" s="8" t="s">
        <v>454</v>
      </c>
      <c r="B91" s="8" t="s">
        <v>1687</v>
      </c>
      <c r="C91" s="8"/>
      <c r="D91" s="8" t="s">
        <v>44</v>
      </c>
      <c r="E91" s="8" t="s">
        <v>1847</v>
      </c>
      <c r="F91" s="8"/>
    </row>
    <row r="92" spans="1:6" x14ac:dyDescent="0.25">
      <c r="A92" s="8" t="s">
        <v>454</v>
      </c>
      <c r="B92" s="8" t="s">
        <v>1694</v>
      </c>
      <c r="C92" s="8"/>
      <c r="D92" s="8" t="s">
        <v>57</v>
      </c>
      <c r="E92" s="8" t="s">
        <v>1847</v>
      </c>
      <c r="F92" s="8"/>
    </row>
    <row r="93" spans="1:6" x14ac:dyDescent="0.25">
      <c r="A93" s="8" t="s">
        <v>461</v>
      </c>
      <c r="B93" s="8" t="s">
        <v>1687</v>
      </c>
      <c r="C93" s="8"/>
      <c r="D93" s="8" t="s">
        <v>76</v>
      </c>
      <c r="E93" s="8" t="s">
        <v>1847</v>
      </c>
      <c r="F93" s="8"/>
    </row>
    <row r="94" spans="1:6" x14ac:dyDescent="0.25">
      <c r="A94" s="8" t="s">
        <v>461</v>
      </c>
      <c r="B94" s="8" t="s">
        <v>1697</v>
      </c>
      <c r="C94" s="8" t="s">
        <v>77</v>
      </c>
      <c r="D94" s="8" t="s">
        <v>149</v>
      </c>
      <c r="E94" s="8" t="s">
        <v>1848</v>
      </c>
      <c r="F94" s="8"/>
    </row>
    <row r="95" spans="1:6" x14ac:dyDescent="0.25">
      <c r="A95" s="8" t="s">
        <v>469</v>
      </c>
      <c r="B95" s="8" t="s">
        <v>1697</v>
      </c>
      <c r="C95" s="8" t="s">
        <v>83</v>
      </c>
      <c r="D95" s="8" t="s">
        <v>77</v>
      </c>
      <c r="E95" s="8" t="s">
        <v>1848</v>
      </c>
      <c r="F95" s="8"/>
    </row>
    <row r="96" spans="1:6" x14ac:dyDescent="0.25">
      <c r="A96" s="8" t="s">
        <v>474</v>
      </c>
      <c r="B96" s="8" t="s">
        <v>1687</v>
      </c>
      <c r="C96" s="8"/>
      <c r="D96" s="8" t="s">
        <v>76</v>
      </c>
      <c r="E96" s="8" t="s">
        <v>1847</v>
      </c>
      <c r="F96" s="8"/>
    </row>
    <row r="97" spans="1:6" x14ac:dyDescent="0.25">
      <c r="A97" s="8" t="s">
        <v>474</v>
      </c>
      <c r="B97" s="8" t="s">
        <v>1697</v>
      </c>
      <c r="C97" s="8"/>
      <c r="D97" s="8" t="s">
        <v>149</v>
      </c>
      <c r="E97" s="8" t="s">
        <v>1847</v>
      </c>
      <c r="F97" s="8"/>
    </row>
    <row r="98" spans="1:6" x14ac:dyDescent="0.25">
      <c r="A98" s="8" t="s">
        <v>477</v>
      </c>
      <c r="B98" s="8" t="s">
        <v>1687</v>
      </c>
      <c r="C98" s="8"/>
      <c r="D98" s="8" t="s">
        <v>44</v>
      </c>
      <c r="E98" s="8" t="s">
        <v>1847</v>
      </c>
      <c r="F98" s="8"/>
    </row>
    <row r="99" spans="1:6" x14ac:dyDescent="0.25">
      <c r="A99" s="8" t="s">
        <v>481</v>
      </c>
      <c r="B99" s="8" t="s">
        <v>1697</v>
      </c>
      <c r="C99" s="8" t="s">
        <v>58</v>
      </c>
      <c r="D99" s="8" t="s">
        <v>639</v>
      </c>
      <c r="E99" s="8" t="s">
        <v>1848</v>
      </c>
      <c r="F99" s="8"/>
    </row>
    <row r="100" spans="1:6" x14ac:dyDescent="0.25">
      <c r="A100" s="8" t="s">
        <v>485</v>
      </c>
      <c r="B100" s="8" t="s">
        <v>1687</v>
      </c>
      <c r="C100" s="8"/>
      <c r="D100" s="8" t="s">
        <v>44</v>
      </c>
      <c r="E100" s="8" t="s">
        <v>1847</v>
      </c>
      <c r="F100" s="8"/>
    </row>
    <row r="101" spans="1:6" x14ac:dyDescent="0.25">
      <c r="A101" s="8" t="s">
        <v>485</v>
      </c>
      <c r="B101" s="8" t="s">
        <v>1694</v>
      </c>
      <c r="C101" s="8"/>
      <c r="D101" s="8" t="s">
        <v>57</v>
      </c>
      <c r="E101" s="8" t="s">
        <v>1847</v>
      </c>
      <c r="F101" s="8"/>
    </row>
    <row r="102" spans="1:6" x14ac:dyDescent="0.25">
      <c r="A102" s="8" t="s">
        <v>494</v>
      </c>
      <c r="B102" s="8" t="s">
        <v>1687</v>
      </c>
      <c r="C102" s="8"/>
      <c r="D102" s="8" t="s">
        <v>44</v>
      </c>
      <c r="E102" s="8" t="s">
        <v>1847</v>
      </c>
      <c r="F102" s="8"/>
    </row>
    <row r="103" spans="1:6" x14ac:dyDescent="0.25">
      <c r="A103" s="8" t="s">
        <v>494</v>
      </c>
      <c r="B103" s="8" t="s">
        <v>1694</v>
      </c>
      <c r="C103" s="8"/>
      <c r="D103" s="8" t="s">
        <v>57</v>
      </c>
      <c r="E103" s="8" t="s">
        <v>1847</v>
      </c>
      <c r="F103" s="8"/>
    </row>
    <row r="104" spans="1:6" x14ac:dyDescent="0.25">
      <c r="A104" s="8" t="s">
        <v>497</v>
      </c>
      <c r="B104" s="8" t="s">
        <v>1687</v>
      </c>
      <c r="C104" s="8"/>
      <c r="D104" s="8" t="s">
        <v>44</v>
      </c>
      <c r="E104" s="8" t="s">
        <v>1847</v>
      </c>
      <c r="F104" s="8"/>
    </row>
    <row r="105" spans="1:6" x14ac:dyDescent="0.25">
      <c r="A105" s="8" t="s">
        <v>497</v>
      </c>
      <c r="B105" s="8" t="s">
        <v>1694</v>
      </c>
      <c r="C105" s="8"/>
      <c r="D105" s="8" t="s">
        <v>47</v>
      </c>
      <c r="E105" s="8" t="s">
        <v>1847</v>
      </c>
      <c r="F105" s="8"/>
    </row>
    <row r="106" spans="1:6" x14ac:dyDescent="0.25">
      <c r="A106" s="8" t="s">
        <v>497</v>
      </c>
      <c r="B106" s="8" t="s">
        <v>1700</v>
      </c>
      <c r="C106" s="8" t="s">
        <v>91</v>
      </c>
      <c r="D106" s="8" t="s">
        <v>49</v>
      </c>
      <c r="E106" s="8" t="s">
        <v>1848</v>
      </c>
      <c r="F106" s="8"/>
    </row>
    <row r="107" spans="1:6" x14ac:dyDescent="0.25">
      <c r="A107" s="8" t="s">
        <v>501</v>
      </c>
      <c r="B107" s="8" t="s">
        <v>1687</v>
      </c>
      <c r="C107" s="8"/>
      <c r="D107" s="8" t="s">
        <v>245</v>
      </c>
      <c r="E107" s="8" t="s">
        <v>1847</v>
      </c>
      <c r="F107" s="8"/>
    </row>
    <row r="108" spans="1:6" x14ac:dyDescent="0.25">
      <c r="A108" s="8" t="s">
        <v>501</v>
      </c>
      <c r="B108" s="8" t="s">
        <v>1694</v>
      </c>
      <c r="C108" s="8"/>
      <c r="D108" s="8" t="s">
        <v>47</v>
      </c>
      <c r="E108" s="8" t="s">
        <v>1847</v>
      </c>
      <c r="F108" s="8"/>
    </row>
    <row r="109" spans="1:6" x14ac:dyDescent="0.25">
      <c r="A109" s="8" t="s">
        <v>503</v>
      </c>
      <c r="B109" s="8" t="s">
        <v>1700</v>
      </c>
      <c r="C109" s="8" t="s">
        <v>72</v>
      </c>
      <c r="D109" s="8" t="s">
        <v>178</v>
      </c>
      <c r="E109" s="8" t="s">
        <v>1848</v>
      </c>
      <c r="F109" s="8"/>
    </row>
    <row r="110" spans="1:6" x14ac:dyDescent="0.25">
      <c r="A110" s="8" t="s">
        <v>508</v>
      </c>
      <c r="B110" s="8" t="s">
        <v>1697</v>
      </c>
      <c r="C110" s="8" t="s">
        <v>96</v>
      </c>
      <c r="D110" s="8" t="s">
        <v>1137</v>
      </c>
      <c r="E110" s="8" t="s">
        <v>1848</v>
      </c>
      <c r="F110" s="8"/>
    </row>
    <row r="111" spans="1:6" x14ac:dyDescent="0.25">
      <c r="A111" s="8" t="s">
        <v>508</v>
      </c>
      <c r="B111" s="8" t="s">
        <v>1700</v>
      </c>
      <c r="C111" s="8" t="s">
        <v>59</v>
      </c>
      <c r="D111" s="8" t="s">
        <v>91</v>
      </c>
      <c r="E111" s="8" t="s">
        <v>1848</v>
      </c>
      <c r="F111" s="8"/>
    </row>
    <row r="112" spans="1:6" x14ac:dyDescent="0.25">
      <c r="A112" s="8" t="s">
        <v>511</v>
      </c>
      <c r="B112" s="8" t="s">
        <v>1694</v>
      </c>
      <c r="C112" s="8"/>
      <c r="D112" s="8" t="s">
        <v>47</v>
      </c>
      <c r="E112" s="8" t="s">
        <v>1847</v>
      </c>
      <c r="F112" s="8"/>
    </row>
    <row r="113" spans="1:6" x14ac:dyDescent="0.25">
      <c r="A113" s="8" t="s">
        <v>513</v>
      </c>
      <c r="B113" s="8" t="s">
        <v>1687</v>
      </c>
      <c r="C113" s="8"/>
      <c r="D113" s="8" t="s">
        <v>76</v>
      </c>
      <c r="E113" s="8" t="s">
        <v>1847</v>
      </c>
      <c r="F113" s="8"/>
    </row>
    <row r="114" spans="1:6" x14ac:dyDescent="0.25">
      <c r="A114" s="8" t="s">
        <v>516</v>
      </c>
      <c r="B114" s="8" t="s">
        <v>1694</v>
      </c>
      <c r="C114" s="8"/>
      <c r="D114" s="8" t="s">
        <v>47</v>
      </c>
      <c r="E114" s="8" t="s">
        <v>1847</v>
      </c>
      <c r="F114" s="8" t="s">
        <v>1850</v>
      </c>
    </row>
    <row r="115" spans="1:6" x14ac:dyDescent="0.25">
      <c r="A115" s="8" t="s">
        <v>516</v>
      </c>
      <c r="B115" s="8" t="s">
        <v>1697</v>
      </c>
      <c r="C115" s="8" t="s">
        <v>1156</v>
      </c>
      <c r="D115" s="8" t="s">
        <v>517</v>
      </c>
      <c r="E115" s="8" t="s">
        <v>1849</v>
      </c>
      <c r="F115" s="8"/>
    </row>
    <row r="116" spans="1:6" x14ac:dyDescent="0.25">
      <c r="A116" s="8" t="s">
        <v>527</v>
      </c>
      <c r="B116" s="8" t="s">
        <v>1687</v>
      </c>
      <c r="C116" s="8"/>
      <c r="D116" s="8" t="s">
        <v>76</v>
      </c>
      <c r="E116" s="8" t="s">
        <v>1847</v>
      </c>
      <c r="F116" s="8"/>
    </row>
    <row r="117" spans="1:6" x14ac:dyDescent="0.25">
      <c r="A117" s="8" t="s">
        <v>527</v>
      </c>
      <c r="B117" s="8" t="s">
        <v>1700</v>
      </c>
      <c r="C117" s="8"/>
      <c r="D117" s="8" t="s">
        <v>78</v>
      </c>
      <c r="E117" s="8" t="s">
        <v>1847</v>
      </c>
      <c r="F117" s="8"/>
    </row>
    <row r="118" spans="1:6" x14ac:dyDescent="0.25">
      <c r="A118" s="8" t="s">
        <v>533</v>
      </c>
      <c r="B118" s="8" t="s">
        <v>1687</v>
      </c>
      <c r="C118" s="8"/>
      <c r="D118" s="8" t="s">
        <v>44</v>
      </c>
      <c r="E118" s="8" t="s">
        <v>1847</v>
      </c>
      <c r="F118" s="8"/>
    </row>
    <row r="119" spans="1:6" x14ac:dyDescent="0.25">
      <c r="A119" s="8" t="s">
        <v>533</v>
      </c>
      <c r="B119" s="8" t="s">
        <v>1697</v>
      </c>
      <c r="C119" s="8" t="s">
        <v>58</v>
      </c>
      <c r="D119" s="8" t="s">
        <v>1851</v>
      </c>
      <c r="E119" s="8" t="s">
        <v>1848</v>
      </c>
      <c r="F119" s="8"/>
    </row>
    <row r="120" spans="1:6" x14ac:dyDescent="0.25">
      <c r="A120" s="8" t="s">
        <v>536</v>
      </c>
      <c r="B120" s="8" t="s">
        <v>1697</v>
      </c>
      <c r="C120" s="8" t="s">
        <v>1852</v>
      </c>
      <c r="D120" s="8" t="s">
        <v>314</v>
      </c>
      <c r="E120" s="8" t="s">
        <v>1849</v>
      </c>
      <c r="F120" s="8"/>
    </row>
    <row r="121" spans="1:6" x14ac:dyDescent="0.25">
      <c r="A121" s="8" t="s">
        <v>536</v>
      </c>
      <c r="B121" s="8" t="s">
        <v>1700</v>
      </c>
      <c r="C121" s="8" t="s">
        <v>71</v>
      </c>
      <c r="D121" s="8" t="s">
        <v>91</v>
      </c>
      <c r="E121" s="8" t="s">
        <v>1848</v>
      </c>
      <c r="F121" s="8"/>
    </row>
    <row r="122" spans="1:6" x14ac:dyDescent="0.25">
      <c r="A122" s="8" t="s">
        <v>548</v>
      </c>
      <c r="B122" s="8" t="s">
        <v>1694</v>
      </c>
      <c r="C122" s="8"/>
      <c r="D122" s="8" t="s">
        <v>47</v>
      </c>
      <c r="E122" s="8" t="s">
        <v>1847</v>
      </c>
      <c r="F122" s="8"/>
    </row>
    <row r="123" spans="1:6" x14ac:dyDescent="0.25">
      <c r="A123" s="8" t="s">
        <v>550</v>
      </c>
      <c r="B123" s="8" t="s">
        <v>1694</v>
      </c>
      <c r="C123" s="8"/>
      <c r="D123" s="8" t="s">
        <v>47</v>
      </c>
      <c r="E123" s="8" t="s">
        <v>1847</v>
      </c>
      <c r="F123" s="8"/>
    </row>
    <row r="124" spans="1:6" x14ac:dyDescent="0.25">
      <c r="A124" s="8" t="s">
        <v>556</v>
      </c>
      <c r="B124" s="8" t="s">
        <v>1687</v>
      </c>
      <c r="C124" s="8"/>
      <c r="D124" s="8" t="s">
        <v>44</v>
      </c>
      <c r="E124" s="8" t="s">
        <v>1847</v>
      </c>
      <c r="F124" s="8"/>
    </row>
    <row r="125" spans="1:6" x14ac:dyDescent="0.25">
      <c r="A125" s="8" t="s">
        <v>557</v>
      </c>
      <c r="B125" s="8" t="s">
        <v>1694</v>
      </c>
      <c r="C125" s="8"/>
      <c r="D125" s="8" t="s">
        <v>47</v>
      </c>
      <c r="E125" s="8" t="s">
        <v>1847</v>
      </c>
      <c r="F125" s="8"/>
    </row>
    <row r="126" spans="1:6" x14ac:dyDescent="0.25">
      <c r="A126" s="8" t="s">
        <v>168</v>
      </c>
      <c r="B126" s="8" t="s">
        <v>1697</v>
      </c>
      <c r="C126" s="8" t="s">
        <v>77</v>
      </c>
      <c r="D126" s="8" t="s">
        <v>596</v>
      </c>
      <c r="E126" s="8" t="s">
        <v>1848</v>
      </c>
      <c r="F126" s="8"/>
    </row>
    <row r="127" spans="1:6" x14ac:dyDescent="0.25">
      <c r="A127" s="8" t="s">
        <v>569</v>
      </c>
      <c r="B127" s="8" t="s">
        <v>1687</v>
      </c>
      <c r="C127" s="8"/>
      <c r="D127" s="8" t="s">
        <v>76</v>
      </c>
      <c r="E127" s="8" t="s">
        <v>1847</v>
      </c>
      <c r="F127" s="8"/>
    </row>
    <row r="128" spans="1:6" x14ac:dyDescent="0.25">
      <c r="A128" s="8" t="s">
        <v>569</v>
      </c>
      <c r="B128" s="8" t="s">
        <v>1700</v>
      </c>
      <c r="C128" s="8"/>
      <c r="D128" s="8" t="s">
        <v>72</v>
      </c>
      <c r="E128" s="8" t="s">
        <v>1847</v>
      </c>
      <c r="F128" s="8"/>
    </row>
    <row r="129" spans="1:6" x14ac:dyDescent="0.25">
      <c r="A129" s="8" t="s">
        <v>566</v>
      </c>
      <c r="B129" s="8" t="s">
        <v>1687</v>
      </c>
      <c r="C129" s="8"/>
      <c r="D129" s="8" t="s">
        <v>245</v>
      </c>
      <c r="E129" s="8" t="s">
        <v>1847</v>
      </c>
      <c r="F129" s="8"/>
    </row>
    <row r="130" spans="1:6" x14ac:dyDescent="0.25">
      <c r="A130" s="8" t="s">
        <v>566</v>
      </c>
      <c r="B130" s="8" t="s">
        <v>1694</v>
      </c>
      <c r="C130" s="8"/>
      <c r="D130" s="8" t="s">
        <v>57</v>
      </c>
      <c r="E130" s="8" t="s">
        <v>1847</v>
      </c>
      <c r="F130" s="8"/>
    </row>
    <row r="131" spans="1:6" x14ac:dyDescent="0.25">
      <c r="A131" s="8" t="s">
        <v>578</v>
      </c>
      <c r="B131" s="8" t="s">
        <v>1687</v>
      </c>
      <c r="C131" s="8"/>
      <c r="D131" s="8" t="s">
        <v>245</v>
      </c>
      <c r="E131" s="8" t="s">
        <v>1847</v>
      </c>
      <c r="F131" s="8"/>
    </row>
    <row r="132" spans="1:6" x14ac:dyDescent="0.25">
      <c r="A132" s="8" t="s">
        <v>578</v>
      </c>
      <c r="B132" s="8" t="s">
        <v>1694</v>
      </c>
      <c r="C132" s="8"/>
      <c r="D132" s="8" t="s">
        <v>47</v>
      </c>
      <c r="E132" s="8" t="s">
        <v>1847</v>
      </c>
      <c r="F132" s="8"/>
    </row>
    <row r="133" spans="1:6" x14ac:dyDescent="0.25">
      <c r="A133" s="8" t="s">
        <v>586</v>
      </c>
      <c r="B133" s="8" t="s">
        <v>1700</v>
      </c>
      <c r="C133" s="8"/>
      <c r="D133" s="8" t="s">
        <v>71</v>
      </c>
      <c r="E133" s="8" t="s">
        <v>1847</v>
      </c>
      <c r="F133" s="8"/>
    </row>
    <row r="134" spans="1:6" x14ac:dyDescent="0.25">
      <c r="A134" s="8" t="s">
        <v>590</v>
      </c>
      <c r="B134" s="8" t="s">
        <v>1687</v>
      </c>
      <c r="C134" s="8"/>
      <c r="D134" s="8" t="s">
        <v>76</v>
      </c>
      <c r="E134" s="8" t="s">
        <v>1847</v>
      </c>
      <c r="F134" s="8"/>
    </row>
    <row r="135" spans="1:6" x14ac:dyDescent="0.25">
      <c r="A135" s="8" t="s">
        <v>590</v>
      </c>
      <c r="B135" s="8" t="s">
        <v>1697</v>
      </c>
      <c r="C135" s="8" t="s">
        <v>149</v>
      </c>
      <c r="D135" s="8" t="s">
        <v>77</v>
      </c>
      <c r="E135" s="8" t="s">
        <v>1848</v>
      </c>
      <c r="F135" s="8"/>
    </row>
    <row r="136" spans="1:6" x14ac:dyDescent="0.25">
      <c r="A136" s="8" t="s">
        <v>590</v>
      </c>
      <c r="B136" s="8" t="s">
        <v>1700</v>
      </c>
      <c r="C136" s="8"/>
      <c r="D136" s="8" t="s">
        <v>71</v>
      </c>
      <c r="E136" s="8" t="s">
        <v>1847</v>
      </c>
      <c r="F136" s="8"/>
    </row>
    <row r="137" spans="1:6" x14ac:dyDescent="0.25">
      <c r="A137" s="8" t="s">
        <v>594</v>
      </c>
      <c r="B137" s="8" t="s">
        <v>1697</v>
      </c>
      <c r="C137" s="8" t="s">
        <v>1853</v>
      </c>
      <c r="D137" s="8" t="s">
        <v>596</v>
      </c>
      <c r="E137" s="8" t="s">
        <v>1849</v>
      </c>
      <c r="F137" s="8"/>
    </row>
    <row r="138" spans="1:6" x14ac:dyDescent="0.25">
      <c r="A138" s="8" t="s">
        <v>607</v>
      </c>
      <c r="B138" s="8" t="s">
        <v>1697</v>
      </c>
      <c r="C138" s="8" t="s">
        <v>613</v>
      </c>
      <c r="D138" s="8" t="s">
        <v>77</v>
      </c>
      <c r="E138" s="8" t="s">
        <v>1849</v>
      </c>
      <c r="F138" s="8"/>
    </row>
    <row r="139" spans="1:6" x14ac:dyDescent="0.25">
      <c r="A139" s="8" t="s">
        <v>607</v>
      </c>
      <c r="B139" s="8" t="s">
        <v>1700</v>
      </c>
      <c r="C139" s="8" t="s">
        <v>78</v>
      </c>
      <c r="D139" s="8" t="s">
        <v>192</v>
      </c>
      <c r="E139" s="8" t="s">
        <v>1848</v>
      </c>
      <c r="F139" s="8"/>
    </row>
    <row r="140" spans="1:6" x14ac:dyDescent="0.25">
      <c r="A140" s="8" t="s">
        <v>619</v>
      </c>
      <c r="B140" s="8" t="s">
        <v>1687</v>
      </c>
      <c r="C140" s="8"/>
      <c r="D140" s="8" t="s">
        <v>76</v>
      </c>
      <c r="E140" s="8" t="s">
        <v>1847</v>
      </c>
      <c r="F140" s="8"/>
    </row>
    <row r="141" spans="1:6" x14ac:dyDescent="0.25">
      <c r="A141" s="8" t="s">
        <v>619</v>
      </c>
      <c r="B141" s="8" t="s">
        <v>1697</v>
      </c>
      <c r="C141" s="8" t="s">
        <v>58</v>
      </c>
      <c r="D141" s="8" t="s">
        <v>77</v>
      </c>
      <c r="E141" s="8" t="s">
        <v>1848</v>
      </c>
      <c r="F141" s="8"/>
    </row>
    <row r="142" spans="1:6" x14ac:dyDescent="0.25">
      <c r="A142" s="8" t="s">
        <v>626</v>
      </c>
      <c r="B142" s="8" t="s">
        <v>1697</v>
      </c>
      <c r="C142" s="8" t="s">
        <v>115</v>
      </c>
      <c r="D142" s="8" t="s">
        <v>77</v>
      </c>
      <c r="E142" s="8" t="s">
        <v>1849</v>
      </c>
      <c r="F142" s="8"/>
    </row>
    <row r="143" spans="1:6" x14ac:dyDescent="0.25">
      <c r="A143" s="8" t="s">
        <v>634</v>
      </c>
      <c r="B143" s="8" t="s">
        <v>1687</v>
      </c>
      <c r="C143" s="8"/>
      <c r="D143" s="8" t="s">
        <v>44</v>
      </c>
      <c r="E143" s="8" t="s">
        <v>1847</v>
      </c>
      <c r="F143" s="8"/>
    </row>
    <row r="144" spans="1:6" x14ac:dyDescent="0.25">
      <c r="A144" s="8" t="s">
        <v>634</v>
      </c>
      <c r="B144" s="8" t="s">
        <v>1700</v>
      </c>
      <c r="C144" s="8"/>
      <c r="D144" s="8" t="s">
        <v>119</v>
      </c>
      <c r="E144" s="8" t="s">
        <v>1847</v>
      </c>
      <c r="F144" s="8"/>
    </row>
    <row r="145" spans="1:6" x14ac:dyDescent="0.25">
      <c r="A145" s="8" t="s">
        <v>646</v>
      </c>
      <c r="B145" s="8" t="s">
        <v>1687</v>
      </c>
      <c r="C145" s="8"/>
      <c r="D145" s="8" t="s">
        <v>44</v>
      </c>
      <c r="E145" s="8" t="s">
        <v>1847</v>
      </c>
      <c r="F145" s="8"/>
    </row>
    <row r="146" spans="1:6" x14ac:dyDescent="0.25">
      <c r="A146" s="8" t="s">
        <v>657</v>
      </c>
      <c r="B146" s="8" t="s">
        <v>1687</v>
      </c>
      <c r="C146" s="8"/>
      <c r="D146" s="8" t="s">
        <v>76</v>
      </c>
      <c r="E146" s="8" t="s">
        <v>1847</v>
      </c>
      <c r="F146" s="8"/>
    </row>
    <row r="147" spans="1:6" x14ac:dyDescent="0.25">
      <c r="A147" s="8" t="s">
        <v>663</v>
      </c>
      <c r="B147" s="8" t="s">
        <v>1687</v>
      </c>
      <c r="C147" s="8"/>
      <c r="D147" s="8" t="s">
        <v>44</v>
      </c>
      <c r="E147" s="8" t="s">
        <v>1847</v>
      </c>
      <c r="F147" s="8"/>
    </row>
    <row r="148" spans="1:6" x14ac:dyDescent="0.25">
      <c r="A148" s="8" t="s">
        <v>670</v>
      </c>
      <c r="B148" s="8" t="s">
        <v>1687</v>
      </c>
      <c r="C148" s="8"/>
      <c r="D148" s="8" t="s">
        <v>44</v>
      </c>
      <c r="E148" s="8" t="s">
        <v>1847</v>
      </c>
      <c r="F148" s="8"/>
    </row>
    <row r="149" spans="1:6" x14ac:dyDescent="0.25">
      <c r="A149" s="8" t="s">
        <v>673</v>
      </c>
      <c r="B149" s="8" t="s">
        <v>1687</v>
      </c>
      <c r="C149" s="8"/>
      <c r="D149" s="8" t="s">
        <v>44</v>
      </c>
      <c r="E149" s="8" t="s">
        <v>1847</v>
      </c>
      <c r="F149" s="8"/>
    </row>
    <row r="150" spans="1:6" x14ac:dyDescent="0.25">
      <c r="A150" s="8" t="s">
        <v>673</v>
      </c>
      <c r="B150" s="8" t="s">
        <v>1700</v>
      </c>
      <c r="C150" s="8"/>
      <c r="D150" s="8" t="s">
        <v>59</v>
      </c>
      <c r="E150" s="8" t="s">
        <v>1847</v>
      </c>
      <c r="F150" s="8"/>
    </row>
    <row r="151" spans="1:6" x14ac:dyDescent="0.25">
      <c r="A151" s="8" t="s">
        <v>680</v>
      </c>
      <c r="B151" s="8" t="s">
        <v>1687</v>
      </c>
      <c r="C151" s="8"/>
      <c r="D151" s="8" t="s">
        <v>76</v>
      </c>
      <c r="E151" s="8" t="s">
        <v>1847</v>
      </c>
      <c r="F151" s="8"/>
    </row>
    <row r="152" spans="1:6" x14ac:dyDescent="0.25">
      <c r="A152" s="8" t="s">
        <v>680</v>
      </c>
      <c r="B152" s="8" t="s">
        <v>1697</v>
      </c>
      <c r="C152" s="8" t="s">
        <v>83</v>
      </c>
      <c r="D152" s="8" t="s">
        <v>77</v>
      </c>
      <c r="E152" s="8" t="s">
        <v>1848</v>
      </c>
      <c r="F152" s="8"/>
    </row>
    <row r="153" spans="1:6" x14ac:dyDescent="0.25">
      <c r="A153" s="8" t="s">
        <v>683</v>
      </c>
      <c r="B153" s="8" t="s">
        <v>1687</v>
      </c>
      <c r="C153" s="8"/>
      <c r="D153" s="8" t="s">
        <v>76</v>
      </c>
      <c r="E153" s="8" t="s">
        <v>1847</v>
      </c>
      <c r="F153" s="8"/>
    </row>
    <row r="154" spans="1:6" x14ac:dyDescent="0.25">
      <c r="A154" s="8" t="s">
        <v>683</v>
      </c>
      <c r="B154" s="8" t="s">
        <v>1700</v>
      </c>
      <c r="C154" s="8"/>
      <c r="D154" s="8" t="s">
        <v>119</v>
      </c>
      <c r="E154" s="8" t="s">
        <v>1847</v>
      </c>
      <c r="F154" s="8"/>
    </row>
    <row r="155" spans="1:6" x14ac:dyDescent="0.25">
      <c r="A155" s="8" t="s">
        <v>689</v>
      </c>
      <c r="B155" s="8" t="s">
        <v>1687</v>
      </c>
      <c r="C155" s="8" t="s">
        <v>76</v>
      </c>
      <c r="D155" s="8" t="s">
        <v>44</v>
      </c>
      <c r="E155" s="8" t="s">
        <v>1854</v>
      </c>
      <c r="F155" s="8" t="s">
        <v>1855</v>
      </c>
    </row>
    <row r="156" spans="1:6" x14ac:dyDescent="0.25">
      <c r="A156" s="8" t="s">
        <v>689</v>
      </c>
      <c r="B156" s="8" t="s">
        <v>1697</v>
      </c>
      <c r="C156" s="8" t="s">
        <v>695</v>
      </c>
      <c r="D156" s="8" t="s">
        <v>83</v>
      </c>
      <c r="E156" s="8" t="s">
        <v>1849</v>
      </c>
      <c r="F156" s="8"/>
    </row>
    <row r="157" spans="1:6" x14ac:dyDescent="0.25">
      <c r="A157" s="8" t="s">
        <v>699</v>
      </c>
      <c r="B157" s="8" t="s">
        <v>1687</v>
      </c>
      <c r="C157" s="8"/>
      <c r="D157" s="8" t="s">
        <v>76</v>
      </c>
      <c r="E157" s="8" t="s">
        <v>1847</v>
      </c>
      <c r="F157" s="8"/>
    </row>
    <row r="158" spans="1:6" x14ac:dyDescent="0.25">
      <c r="A158" s="8" t="s">
        <v>699</v>
      </c>
      <c r="B158" s="8" t="s">
        <v>1697</v>
      </c>
      <c r="C158" s="8" t="s">
        <v>700</v>
      </c>
      <c r="D158" s="8" t="s">
        <v>323</v>
      </c>
      <c r="E158" s="8" t="s">
        <v>1848</v>
      </c>
      <c r="F158" s="8"/>
    </row>
    <row r="159" spans="1:6" x14ac:dyDescent="0.25">
      <c r="A159" s="8" t="s">
        <v>703</v>
      </c>
      <c r="B159" s="8" t="s">
        <v>1687</v>
      </c>
      <c r="C159" s="8"/>
      <c r="D159" s="8" t="s">
        <v>76</v>
      </c>
      <c r="E159" s="8" t="s">
        <v>1847</v>
      </c>
      <c r="F159" s="8"/>
    </row>
    <row r="160" spans="1:6" x14ac:dyDescent="0.25">
      <c r="A160" s="8" t="s">
        <v>703</v>
      </c>
      <c r="B160" s="8" t="s">
        <v>1700</v>
      </c>
      <c r="C160" s="8"/>
      <c r="D160" s="8" t="s">
        <v>49</v>
      </c>
      <c r="E160" s="8" t="s">
        <v>1847</v>
      </c>
      <c r="F160" s="8"/>
    </row>
    <row r="161" spans="1:6" x14ac:dyDescent="0.25">
      <c r="A161" s="8" t="s">
        <v>712</v>
      </c>
      <c r="B161" s="8" t="s">
        <v>1697</v>
      </c>
      <c r="C161" s="8"/>
      <c r="D161" s="8" t="s">
        <v>517</v>
      </c>
      <c r="E161" s="8" t="s">
        <v>1847</v>
      </c>
      <c r="F161" s="8"/>
    </row>
    <row r="162" spans="1:6" x14ac:dyDescent="0.25">
      <c r="A162" s="8" t="s">
        <v>705</v>
      </c>
      <c r="B162" s="8" t="s">
        <v>1687</v>
      </c>
      <c r="C162" s="8"/>
      <c r="D162" s="8" t="s">
        <v>44</v>
      </c>
      <c r="E162" s="8" t="s">
        <v>1847</v>
      </c>
      <c r="F162" s="8"/>
    </row>
    <row r="163" spans="1:6" x14ac:dyDescent="0.25">
      <c r="A163" s="8" t="s">
        <v>705</v>
      </c>
      <c r="B163" s="8" t="s">
        <v>1694</v>
      </c>
      <c r="C163" s="8"/>
      <c r="D163" s="8" t="s">
        <v>47</v>
      </c>
      <c r="E163" s="8" t="s">
        <v>1847</v>
      </c>
      <c r="F163" s="8" t="s">
        <v>1850</v>
      </c>
    </row>
    <row r="164" spans="1:6" x14ac:dyDescent="0.25">
      <c r="A164" s="8" t="s">
        <v>689</v>
      </c>
      <c r="B164" s="8" t="s">
        <v>1694</v>
      </c>
      <c r="C164" s="8"/>
      <c r="D164" s="8" t="s">
        <v>57</v>
      </c>
      <c r="E164" s="8" t="s">
        <v>1847</v>
      </c>
      <c r="F164" s="8"/>
    </row>
    <row r="165" spans="1:6" x14ac:dyDescent="0.25">
      <c r="A165" s="8" t="s">
        <v>689</v>
      </c>
      <c r="B165" s="8" t="s">
        <v>1697</v>
      </c>
      <c r="C165" s="8" t="s">
        <v>83</v>
      </c>
      <c r="D165" s="8" t="s">
        <v>272</v>
      </c>
      <c r="E165" s="8" t="s">
        <v>1848</v>
      </c>
      <c r="F165" s="8"/>
    </row>
    <row r="166" spans="1:6" x14ac:dyDescent="0.25">
      <c r="A166" s="8" t="s">
        <v>725</v>
      </c>
      <c r="B166" s="8" t="s">
        <v>1687</v>
      </c>
      <c r="C166" s="8"/>
      <c r="D166" s="8" t="s">
        <v>76</v>
      </c>
      <c r="E166" s="8" t="s">
        <v>1847</v>
      </c>
      <c r="F166" s="8"/>
    </row>
    <row r="167" spans="1:6" x14ac:dyDescent="0.25">
      <c r="A167" s="8" t="s">
        <v>725</v>
      </c>
      <c r="B167" s="8" t="s">
        <v>1700</v>
      </c>
      <c r="C167" s="8"/>
      <c r="D167" s="8" t="s">
        <v>119</v>
      </c>
      <c r="E167" s="8" t="s">
        <v>1847</v>
      </c>
      <c r="F167" s="8"/>
    </row>
    <row r="168" spans="1:6" x14ac:dyDescent="0.25">
      <c r="A168" s="8" t="s">
        <v>729</v>
      </c>
      <c r="B168" s="8" t="s">
        <v>1687</v>
      </c>
      <c r="C168" s="8"/>
      <c r="D168" s="8" t="s">
        <v>44</v>
      </c>
      <c r="E168" s="8" t="s">
        <v>1847</v>
      </c>
      <c r="F168" s="8"/>
    </row>
    <row r="169" spans="1:6" x14ac:dyDescent="0.25">
      <c r="A169" s="8" t="s">
        <v>729</v>
      </c>
      <c r="B169" s="8" t="s">
        <v>1697</v>
      </c>
      <c r="C169" s="8" t="s">
        <v>58</v>
      </c>
      <c r="D169" s="8" t="s">
        <v>1856</v>
      </c>
      <c r="E169" s="8" t="s">
        <v>1848</v>
      </c>
      <c r="F169" s="8"/>
    </row>
    <row r="170" spans="1:6" x14ac:dyDescent="0.25">
      <c r="A170" s="8" t="s">
        <v>729</v>
      </c>
      <c r="B170" s="8" t="s">
        <v>1700</v>
      </c>
      <c r="C170" s="8"/>
      <c r="D170" s="8" t="s">
        <v>133</v>
      </c>
      <c r="E170" s="8" t="s">
        <v>1847</v>
      </c>
      <c r="F170" s="8"/>
    </row>
    <row r="171" spans="1:6" x14ac:dyDescent="0.25">
      <c r="A171" s="8" t="s">
        <v>741</v>
      </c>
      <c r="B171" s="8" t="s">
        <v>1687</v>
      </c>
      <c r="C171" s="8"/>
      <c r="D171" s="8" t="s">
        <v>76</v>
      </c>
      <c r="E171" s="8" t="s">
        <v>1847</v>
      </c>
      <c r="F171" s="8"/>
    </row>
    <row r="172" spans="1:6" x14ac:dyDescent="0.25">
      <c r="A172" s="8" t="s">
        <v>741</v>
      </c>
      <c r="B172" s="8" t="s">
        <v>1697</v>
      </c>
      <c r="C172" s="8"/>
      <c r="D172" s="8" t="s">
        <v>77</v>
      </c>
      <c r="E172" s="8" t="s">
        <v>1847</v>
      </c>
      <c r="F172" s="8"/>
    </row>
    <row r="173" spans="1:6" x14ac:dyDescent="0.25">
      <c r="A173" s="8" t="s">
        <v>742</v>
      </c>
      <c r="B173" s="8" t="s">
        <v>1700</v>
      </c>
      <c r="C173" s="8" t="s">
        <v>72</v>
      </c>
      <c r="D173" s="8" t="s">
        <v>78</v>
      </c>
      <c r="E173" s="8" t="s">
        <v>1848</v>
      </c>
      <c r="F173" s="8"/>
    </row>
    <row r="174" spans="1:6" x14ac:dyDescent="0.25">
      <c r="A174" s="8" t="s">
        <v>745</v>
      </c>
      <c r="B174" s="8" t="s">
        <v>1687</v>
      </c>
      <c r="C174" s="8"/>
      <c r="D174" s="8" t="s">
        <v>44</v>
      </c>
      <c r="E174" s="8" t="s">
        <v>1847</v>
      </c>
      <c r="F174" s="8"/>
    </row>
    <row r="175" spans="1:6" x14ac:dyDescent="0.25">
      <c r="A175" s="8" t="s">
        <v>745</v>
      </c>
      <c r="B175" s="8" t="s">
        <v>1694</v>
      </c>
      <c r="C175" s="8"/>
      <c r="D175" s="8" t="s">
        <v>57</v>
      </c>
      <c r="E175" s="8" t="s">
        <v>1847</v>
      </c>
      <c r="F175" s="8"/>
    </row>
    <row r="176" spans="1:6" x14ac:dyDescent="0.25">
      <c r="A176" s="8" t="s">
        <v>751</v>
      </c>
      <c r="B176" s="8" t="s">
        <v>1687</v>
      </c>
      <c r="C176" s="8"/>
      <c r="D176" s="8" t="s">
        <v>76</v>
      </c>
      <c r="E176" s="8" t="s">
        <v>1847</v>
      </c>
      <c r="F176" s="8"/>
    </row>
    <row r="177" spans="1:6" x14ac:dyDescent="0.25">
      <c r="A177" s="8" t="s">
        <v>751</v>
      </c>
      <c r="B177" s="8" t="s">
        <v>1697</v>
      </c>
      <c r="C177" s="8" t="s">
        <v>752</v>
      </c>
      <c r="D177" s="8" t="s">
        <v>333</v>
      </c>
      <c r="E177" s="8" t="s">
        <v>1849</v>
      </c>
      <c r="F177" s="8"/>
    </row>
    <row r="178" spans="1:6" x14ac:dyDescent="0.25">
      <c r="A178" s="8" t="s">
        <v>751</v>
      </c>
      <c r="B178" s="8" t="s">
        <v>1700</v>
      </c>
      <c r="C178" s="8"/>
      <c r="D178" s="8" t="s">
        <v>72</v>
      </c>
      <c r="E178" s="8" t="s">
        <v>1847</v>
      </c>
      <c r="F178" s="8"/>
    </row>
    <row r="179" spans="1:6" x14ac:dyDescent="0.25">
      <c r="A179" s="8" t="s">
        <v>758</v>
      </c>
      <c r="B179" s="8" t="s">
        <v>1687</v>
      </c>
      <c r="C179" s="8"/>
      <c r="D179" s="8" t="s">
        <v>44</v>
      </c>
      <c r="E179" s="8" t="s">
        <v>1847</v>
      </c>
      <c r="F179" s="8"/>
    </row>
    <row r="180" spans="1:6" x14ac:dyDescent="0.25">
      <c r="A180" s="8" t="s">
        <v>758</v>
      </c>
      <c r="B180" s="8" t="s">
        <v>1700</v>
      </c>
      <c r="C180" s="8"/>
      <c r="D180" s="8" t="s">
        <v>71</v>
      </c>
      <c r="E180" s="8" t="s">
        <v>1847</v>
      </c>
      <c r="F180" s="8"/>
    </row>
    <row r="181" spans="1:6" x14ac:dyDescent="0.25">
      <c r="A181" s="8" t="s">
        <v>760</v>
      </c>
      <c r="B181" s="8" t="s">
        <v>1687</v>
      </c>
      <c r="C181" s="8"/>
      <c r="D181" s="8" t="s">
        <v>245</v>
      </c>
      <c r="E181" s="8" t="s">
        <v>1847</v>
      </c>
      <c r="F181" s="8"/>
    </row>
    <row r="182" spans="1:6" x14ac:dyDescent="0.25">
      <c r="A182" s="8" t="s">
        <v>760</v>
      </c>
      <c r="B182" s="8" t="s">
        <v>1694</v>
      </c>
      <c r="C182" s="8"/>
      <c r="D182" s="8" t="s">
        <v>47</v>
      </c>
      <c r="E182" s="8" t="s">
        <v>1847</v>
      </c>
      <c r="F182" s="8"/>
    </row>
    <row r="183" spans="1:6" x14ac:dyDescent="0.25">
      <c r="A183" s="8" t="s">
        <v>762</v>
      </c>
      <c r="B183" s="8" t="s">
        <v>1687</v>
      </c>
      <c r="C183" s="8"/>
      <c r="D183" s="8" t="s">
        <v>76</v>
      </c>
      <c r="E183" s="8" t="s">
        <v>1847</v>
      </c>
      <c r="F183" s="8" t="s">
        <v>1855</v>
      </c>
    </row>
    <row r="184" spans="1:6" x14ac:dyDescent="0.25">
      <c r="A184" s="8" t="s">
        <v>762</v>
      </c>
      <c r="B184" s="8" t="s">
        <v>1697</v>
      </c>
      <c r="C184" s="8" t="s">
        <v>767</v>
      </c>
      <c r="D184" s="8" t="s">
        <v>58</v>
      </c>
      <c r="E184" s="8" t="s">
        <v>1849</v>
      </c>
      <c r="F184" s="8"/>
    </row>
    <row r="185" spans="1:6" x14ac:dyDescent="0.25">
      <c r="A185" s="8" t="s">
        <v>769</v>
      </c>
      <c r="B185" s="8" t="s">
        <v>1697</v>
      </c>
      <c r="C185" s="8" t="s">
        <v>775</v>
      </c>
      <c r="D185" s="8" t="s">
        <v>83</v>
      </c>
      <c r="E185" s="8" t="s">
        <v>1849</v>
      </c>
      <c r="F185" s="8"/>
    </row>
    <row r="186" spans="1:6" x14ac:dyDescent="0.25">
      <c r="A186" s="8" t="s">
        <v>769</v>
      </c>
      <c r="B186" s="8" t="s">
        <v>1700</v>
      </c>
      <c r="C186" s="8" t="s">
        <v>72</v>
      </c>
      <c r="D186" s="8" t="s">
        <v>71</v>
      </c>
      <c r="E186" s="8" t="s">
        <v>1848</v>
      </c>
      <c r="F186" s="8"/>
    </row>
    <row r="187" spans="1:6" x14ac:dyDescent="0.25">
      <c r="A187" s="8" t="s">
        <v>777</v>
      </c>
      <c r="B187" s="8" t="s">
        <v>1687</v>
      </c>
      <c r="C187" s="8"/>
      <c r="D187" s="8" t="s">
        <v>76</v>
      </c>
      <c r="E187" s="8" t="s">
        <v>1847</v>
      </c>
      <c r="F187" s="8"/>
    </row>
    <row r="188" spans="1:6" x14ac:dyDescent="0.25">
      <c r="A188" s="8" t="s">
        <v>779</v>
      </c>
      <c r="B188" s="8" t="s">
        <v>1687</v>
      </c>
      <c r="C188" s="8"/>
      <c r="D188" s="8" t="s">
        <v>76</v>
      </c>
      <c r="E188" s="8" t="s">
        <v>1847</v>
      </c>
      <c r="F188" s="8"/>
    </row>
    <row r="189" spans="1:6" x14ac:dyDescent="0.25">
      <c r="A189" s="8" t="s">
        <v>779</v>
      </c>
      <c r="B189" s="8" t="s">
        <v>1700</v>
      </c>
      <c r="C189" s="8"/>
      <c r="D189" s="8" t="s">
        <v>91</v>
      </c>
      <c r="E189" s="8" t="s">
        <v>1847</v>
      </c>
      <c r="F189" s="8"/>
    </row>
    <row r="190" spans="1:6" x14ac:dyDescent="0.25">
      <c r="A190" s="8" t="s">
        <v>793</v>
      </c>
      <c r="B190" s="8" t="s">
        <v>1694</v>
      </c>
      <c r="C190" s="8"/>
      <c r="D190" s="8" t="s">
        <v>47</v>
      </c>
      <c r="E190" s="8" t="s">
        <v>1847</v>
      </c>
      <c r="F190" s="8"/>
    </row>
    <row r="191" spans="1:6" x14ac:dyDescent="0.25">
      <c r="A191" s="8" t="s">
        <v>797</v>
      </c>
      <c r="B191" s="8" t="s">
        <v>1687</v>
      </c>
      <c r="C191" s="8"/>
      <c r="D191" s="8" t="s">
        <v>76</v>
      </c>
      <c r="E191" s="8" t="s">
        <v>1847</v>
      </c>
      <c r="F191" s="8"/>
    </row>
    <row r="192" spans="1:6" x14ac:dyDescent="0.25">
      <c r="A192" s="8" t="s">
        <v>798</v>
      </c>
      <c r="B192" s="8" t="s">
        <v>1697</v>
      </c>
      <c r="C192" s="8" t="s">
        <v>664</v>
      </c>
      <c r="D192" s="8" t="s">
        <v>1857</v>
      </c>
      <c r="E192" s="8" t="s">
        <v>1848</v>
      </c>
      <c r="F192" s="8"/>
    </row>
    <row r="193" spans="1:6" x14ac:dyDescent="0.25">
      <c r="A193" s="8" t="s">
        <v>798</v>
      </c>
      <c r="B193" s="8" t="s">
        <v>1700</v>
      </c>
      <c r="C193" s="8"/>
      <c r="D193" s="8" t="s">
        <v>119</v>
      </c>
      <c r="E193" s="8" t="s">
        <v>1847</v>
      </c>
      <c r="F193" s="8"/>
    </row>
    <row r="194" spans="1:6" x14ac:dyDescent="0.25">
      <c r="A194" s="8" t="s">
        <v>802</v>
      </c>
      <c r="B194" s="8" t="s">
        <v>1687</v>
      </c>
      <c r="C194" s="8"/>
      <c r="D194" s="8" t="s">
        <v>44</v>
      </c>
      <c r="E194" s="8" t="s">
        <v>1847</v>
      </c>
      <c r="F194" s="8"/>
    </row>
    <row r="195" spans="1:6" x14ac:dyDescent="0.25">
      <c r="A195" s="8" t="s">
        <v>814</v>
      </c>
      <c r="B195" s="8" t="s">
        <v>1697</v>
      </c>
      <c r="C195" s="8" t="s">
        <v>752</v>
      </c>
      <c r="D195" s="8" t="s">
        <v>333</v>
      </c>
      <c r="E195" s="8" t="s">
        <v>1849</v>
      </c>
      <c r="F195" s="8"/>
    </row>
    <row r="196" spans="1:6" x14ac:dyDescent="0.25">
      <c r="A196" s="8" t="s">
        <v>823</v>
      </c>
      <c r="B196" s="8" t="s">
        <v>1687</v>
      </c>
      <c r="C196" s="8"/>
      <c r="D196" s="8" t="s">
        <v>76</v>
      </c>
      <c r="E196" s="8" t="s">
        <v>1847</v>
      </c>
      <c r="F196" s="8"/>
    </row>
    <row r="197" spans="1:6" x14ac:dyDescent="0.25">
      <c r="A197" s="8" t="s">
        <v>823</v>
      </c>
      <c r="B197" s="8" t="s">
        <v>1697</v>
      </c>
      <c r="C197" s="8"/>
      <c r="D197" s="8" t="s">
        <v>149</v>
      </c>
      <c r="E197" s="8" t="s">
        <v>1847</v>
      </c>
      <c r="F197" s="8"/>
    </row>
    <row r="198" spans="1:6" x14ac:dyDescent="0.25">
      <c r="A198" s="8" t="s">
        <v>824</v>
      </c>
      <c r="B198" s="8" t="s">
        <v>1687</v>
      </c>
      <c r="C198" s="8"/>
      <c r="D198" s="8" t="s">
        <v>76</v>
      </c>
      <c r="E198" s="8" t="s">
        <v>1847</v>
      </c>
      <c r="F198" s="8"/>
    </row>
    <row r="199" spans="1:6" x14ac:dyDescent="0.25">
      <c r="A199" s="8" t="s">
        <v>1179</v>
      </c>
      <c r="B199" s="8" t="s">
        <v>1694</v>
      </c>
      <c r="C199" s="8"/>
      <c r="D199" s="8" t="s">
        <v>57</v>
      </c>
      <c r="E199" s="8" t="s">
        <v>1847</v>
      </c>
      <c r="F199" s="8"/>
    </row>
    <row r="200" spans="1:6" x14ac:dyDescent="0.25">
      <c r="A200" s="8" t="s">
        <v>828</v>
      </c>
      <c r="B200" s="8" t="s">
        <v>1694</v>
      </c>
      <c r="C200" s="8"/>
      <c r="D200" s="8" t="s">
        <v>47</v>
      </c>
      <c r="E200" s="8" t="s">
        <v>1847</v>
      </c>
      <c r="F200" s="8"/>
    </row>
    <row r="201" spans="1:6" x14ac:dyDescent="0.25">
      <c r="A201" s="8" t="s">
        <v>829</v>
      </c>
      <c r="B201" s="8" t="s">
        <v>1700</v>
      </c>
      <c r="C201" s="8" t="s">
        <v>72</v>
      </c>
      <c r="D201" s="8" t="s">
        <v>133</v>
      </c>
      <c r="E201" s="8" t="s">
        <v>1848</v>
      </c>
      <c r="F201" s="8"/>
    </row>
    <row r="202" spans="1:6" x14ac:dyDescent="0.25">
      <c r="A202" s="8" t="s">
        <v>842</v>
      </c>
      <c r="B202" s="8" t="s">
        <v>1687</v>
      </c>
      <c r="C202" s="8"/>
      <c r="D202" s="8" t="s">
        <v>44</v>
      </c>
      <c r="E202" s="8" t="s">
        <v>1847</v>
      </c>
      <c r="F202" s="8"/>
    </row>
    <row r="203" spans="1:6" x14ac:dyDescent="0.25">
      <c r="A203" s="8" t="s">
        <v>76</v>
      </c>
      <c r="B203" s="8" t="s">
        <v>1687</v>
      </c>
      <c r="C203" s="8"/>
      <c r="D203" s="8" t="s">
        <v>76</v>
      </c>
      <c r="E203" s="8" t="s">
        <v>1847</v>
      </c>
      <c r="F203" s="8"/>
    </row>
    <row r="204" spans="1:6" x14ac:dyDescent="0.25">
      <c r="A204" s="8" t="s">
        <v>848</v>
      </c>
      <c r="B204" s="8" t="s">
        <v>1694</v>
      </c>
      <c r="C204" s="8"/>
      <c r="D204" s="8" t="s">
        <v>47</v>
      </c>
      <c r="E204" s="8" t="s">
        <v>1847</v>
      </c>
      <c r="F204" s="8"/>
    </row>
    <row r="205" spans="1:6" x14ac:dyDescent="0.25">
      <c r="A205" s="8" t="s">
        <v>849</v>
      </c>
      <c r="B205" s="8" t="s">
        <v>1687</v>
      </c>
      <c r="C205" s="8"/>
      <c r="D205" s="8" t="s">
        <v>44</v>
      </c>
      <c r="E205" s="8" t="s">
        <v>1847</v>
      </c>
      <c r="F205" s="8"/>
    </row>
    <row r="206" spans="1:6" x14ac:dyDescent="0.25">
      <c r="A206" s="8" t="s">
        <v>1320</v>
      </c>
      <c r="B206" s="8" t="s">
        <v>1687</v>
      </c>
      <c r="C206" s="8"/>
      <c r="D206" s="8" t="s">
        <v>44</v>
      </c>
      <c r="E206" s="8" t="s">
        <v>1847</v>
      </c>
      <c r="F206" s="8" t="s">
        <v>1855</v>
      </c>
    </row>
    <row r="207" spans="1:6" x14ac:dyDescent="0.25">
      <c r="A207" s="8" t="s">
        <v>1320</v>
      </c>
      <c r="B207" s="8" t="s">
        <v>1697</v>
      </c>
      <c r="C207" s="8" t="s">
        <v>272</v>
      </c>
      <c r="D207" s="8" t="s">
        <v>702</v>
      </c>
      <c r="E207" s="8" t="s">
        <v>1848</v>
      </c>
      <c r="F207" s="8"/>
    </row>
    <row r="208" spans="1:6" x14ac:dyDescent="0.25">
      <c r="A208" s="8" t="s">
        <v>851</v>
      </c>
      <c r="B208" s="8" t="s">
        <v>1697</v>
      </c>
      <c r="C208" s="8" t="s">
        <v>1858</v>
      </c>
      <c r="D208" s="8" t="s">
        <v>314</v>
      </c>
      <c r="E208" s="8" t="s">
        <v>1849</v>
      </c>
      <c r="F208" s="8"/>
    </row>
    <row r="209" spans="1:6" x14ac:dyDescent="0.25">
      <c r="A209" s="8" t="s">
        <v>851</v>
      </c>
      <c r="B209" s="8" t="s">
        <v>1700</v>
      </c>
      <c r="C209" s="8" t="s">
        <v>178</v>
      </c>
      <c r="D209" s="8" t="s">
        <v>72</v>
      </c>
      <c r="E209" s="8" t="s">
        <v>1848</v>
      </c>
      <c r="F209" s="8"/>
    </row>
    <row r="210" spans="1:6" x14ac:dyDescent="0.25">
      <c r="A210" s="8" t="s">
        <v>857</v>
      </c>
      <c r="B210" s="8" t="s">
        <v>1687</v>
      </c>
      <c r="C210" s="8"/>
      <c r="D210" s="8" t="s">
        <v>44</v>
      </c>
      <c r="E210" s="8" t="s">
        <v>1847</v>
      </c>
      <c r="F210" s="8"/>
    </row>
    <row r="211" spans="1:6" x14ac:dyDescent="0.25">
      <c r="A211" s="8" t="s">
        <v>857</v>
      </c>
      <c r="B211" s="8" t="s">
        <v>1694</v>
      </c>
      <c r="C211" s="8"/>
      <c r="D211" s="8" t="s">
        <v>57</v>
      </c>
      <c r="E211" s="8" t="s">
        <v>1847</v>
      </c>
      <c r="F211" s="8"/>
    </row>
    <row r="212" spans="1:6" x14ac:dyDescent="0.25">
      <c r="A212" s="8" t="s">
        <v>864</v>
      </c>
      <c r="B212" s="8" t="s">
        <v>1687</v>
      </c>
      <c r="C212" s="8"/>
      <c r="D212" s="8" t="s">
        <v>76</v>
      </c>
      <c r="E212" s="8" t="s">
        <v>1847</v>
      </c>
      <c r="F212" s="8"/>
    </row>
    <row r="213" spans="1:6" x14ac:dyDescent="0.25">
      <c r="A213" s="8" t="s">
        <v>868</v>
      </c>
      <c r="B213" s="8" t="s">
        <v>1687</v>
      </c>
      <c r="C213" s="8"/>
      <c r="D213" s="8" t="s">
        <v>76</v>
      </c>
      <c r="E213" s="8" t="s">
        <v>1847</v>
      </c>
      <c r="F213" s="8"/>
    </row>
    <row r="214" spans="1:6" x14ac:dyDescent="0.25">
      <c r="A214" s="8" t="s">
        <v>868</v>
      </c>
      <c r="B214" s="8" t="s">
        <v>21</v>
      </c>
      <c r="C214" s="8"/>
      <c r="D214" s="8" t="s">
        <v>332</v>
      </c>
      <c r="E214" s="8" t="s">
        <v>1847</v>
      </c>
      <c r="F214" s="8"/>
    </row>
    <row r="215" spans="1:6" x14ac:dyDescent="0.25">
      <c r="A215" s="8" t="s">
        <v>876</v>
      </c>
      <c r="B215" s="8" t="s">
        <v>1687</v>
      </c>
      <c r="C215" s="8"/>
      <c r="D215" s="8" t="s">
        <v>44</v>
      </c>
      <c r="E215" s="8" t="s">
        <v>1847</v>
      </c>
      <c r="F215" s="8"/>
    </row>
    <row r="216" spans="1:6" x14ac:dyDescent="0.25">
      <c r="A216" s="8" t="s">
        <v>876</v>
      </c>
      <c r="B216" s="8" t="s">
        <v>1697</v>
      </c>
      <c r="C216" s="8" t="s">
        <v>881</v>
      </c>
      <c r="D216" s="8" t="s">
        <v>272</v>
      </c>
      <c r="E216" s="8" t="s">
        <v>1849</v>
      </c>
      <c r="F216" s="8"/>
    </row>
    <row r="217" spans="1:6" x14ac:dyDescent="0.25">
      <c r="A217" s="8" t="s">
        <v>886</v>
      </c>
      <c r="B217" s="8" t="s">
        <v>1687</v>
      </c>
      <c r="C217" s="8"/>
      <c r="D217" s="8" t="s">
        <v>44</v>
      </c>
      <c r="E217" s="8" t="s">
        <v>1847</v>
      </c>
      <c r="F217" s="8"/>
    </row>
    <row r="218" spans="1:6" x14ac:dyDescent="0.25">
      <c r="A218" s="8" t="s">
        <v>886</v>
      </c>
      <c r="B218" s="8" t="s">
        <v>1694</v>
      </c>
      <c r="C218" s="8"/>
      <c r="D218" s="8" t="s">
        <v>57</v>
      </c>
      <c r="E218" s="8" t="s">
        <v>1847</v>
      </c>
      <c r="F218" s="8"/>
    </row>
    <row r="219" spans="1:6" x14ac:dyDescent="0.25">
      <c r="A219" s="8" t="s">
        <v>888</v>
      </c>
      <c r="B219" s="8" t="s">
        <v>1687</v>
      </c>
      <c r="C219" s="8"/>
      <c r="D219" s="8" t="s">
        <v>76</v>
      </c>
      <c r="E219" s="8" t="s">
        <v>1847</v>
      </c>
      <c r="F219" s="8"/>
    </row>
    <row r="220" spans="1:6" x14ac:dyDescent="0.25">
      <c r="A220" s="8" t="s">
        <v>893</v>
      </c>
      <c r="B220" s="8" t="s">
        <v>1687</v>
      </c>
      <c r="C220" s="8"/>
      <c r="D220" s="8" t="s">
        <v>76</v>
      </c>
      <c r="E220" s="8" t="s">
        <v>1847</v>
      </c>
      <c r="F220" s="8"/>
    </row>
    <row r="221" spans="1:6" x14ac:dyDescent="0.25">
      <c r="A221" s="8" t="s">
        <v>893</v>
      </c>
      <c r="B221" s="8" t="s">
        <v>1694</v>
      </c>
      <c r="C221" s="8"/>
      <c r="D221" s="8" t="s">
        <v>57</v>
      </c>
      <c r="E221" s="8" t="s">
        <v>1847</v>
      </c>
      <c r="F221" s="8"/>
    </row>
    <row r="222" spans="1:6" x14ac:dyDescent="0.25">
      <c r="A222" s="8" t="s">
        <v>1439</v>
      </c>
      <c r="B222" s="8" t="s">
        <v>1694</v>
      </c>
      <c r="C222" s="8"/>
      <c r="D222" s="8" t="s">
        <v>57</v>
      </c>
      <c r="E222" s="8" t="s">
        <v>1847</v>
      </c>
      <c r="F222" s="8"/>
    </row>
    <row r="223" spans="1:6" x14ac:dyDescent="0.25">
      <c r="A223" s="8" t="s">
        <v>901</v>
      </c>
      <c r="B223" s="8" t="s">
        <v>1687</v>
      </c>
      <c r="C223" s="8"/>
      <c r="D223" s="8" t="s">
        <v>44</v>
      </c>
      <c r="E223" s="8" t="s">
        <v>1847</v>
      </c>
      <c r="F223" s="8"/>
    </row>
    <row r="224" spans="1:6" x14ac:dyDescent="0.25">
      <c r="A224" s="8" t="s">
        <v>901</v>
      </c>
      <c r="B224" s="8" t="s">
        <v>1700</v>
      </c>
      <c r="C224" s="8"/>
      <c r="D224" s="8" t="s">
        <v>119</v>
      </c>
      <c r="E224" s="8" t="s">
        <v>1847</v>
      </c>
      <c r="F224" s="8"/>
    </row>
    <row r="225" spans="1:6" x14ac:dyDescent="0.25">
      <c r="A225" s="8" t="s">
        <v>895</v>
      </c>
      <c r="B225" s="8" t="s">
        <v>1694</v>
      </c>
      <c r="C225" s="8"/>
      <c r="D225" s="8" t="s">
        <v>47</v>
      </c>
      <c r="E225" s="8" t="s">
        <v>1847</v>
      </c>
      <c r="F225" s="8" t="s">
        <v>1850</v>
      </c>
    </row>
    <row r="226" spans="1:6" x14ac:dyDescent="0.25">
      <c r="A226" s="8" t="s">
        <v>895</v>
      </c>
      <c r="B226" s="8" t="s">
        <v>1700</v>
      </c>
      <c r="C226" s="8" t="s">
        <v>49</v>
      </c>
      <c r="D226" s="8" t="s">
        <v>119</v>
      </c>
      <c r="E226" s="8" t="s">
        <v>1848</v>
      </c>
      <c r="F226" s="8"/>
    </row>
    <row r="227" spans="1:6" x14ac:dyDescent="0.25">
      <c r="A227" s="8" t="s">
        <v>905</v>
      </c>
      <c r="B227" s="8" t="s">
        <v>1700</v>
      </c>
      <c r="C227" s="8"/>
      <c r="D227" s="8" t="s">
        <v>123</v>
      </c>
      <c r="E227" s="8" t="s">
        <v>1847</v>
      </c>
      <c r="F227" s="8"/>
    </row>
    <row r="228" spans="1:6" x14ac:dyDescent="0.25">
      <c r="A228" s="8" t="s">
        <v>1013</v>
      </c>
      <c r="B228" s="8" t="s">
        <v>1694</v>
      </c>
      <c r="C228" s="8"/>
      <c r="D228" s="8" t="s">
        <v>47</v>
      </c>
      <c r="E228" s="8" t="s">
        <v>1847</v>
      </c>
      <c r="F228" s="8"/>
    </row>
    <row r="229" spans="1:6" x14ac:dyDescent="0.25">
      <c r="A229" s="8" t="s">
        <v>917</v>
      </c>
      <c r="B229" s="8" t="s">
        <v>1687</v>
      </c>
      <c r="C229" s="8"/>
      <c r="D229" s="8" t="s">
        <v>76</v>
      </c>
      <c r="E229" s="8" t="s">
        <v>1847</v>
      </c>
      <c r="F229" s="8"/>
    </row>
    <row r="230" spans="1:6" x14ac:dyDescent="0.25">
      <c r="A230" s="8" t="s">
        <v>925</v>
      </c>
      <c r="B230" s="8" t="s">
        <v>1687</v>
      </c>
      <c r="C230" s="8"/>
      <c r="D230" s="8" t="s">
        <v>44</v>
      </c>
      <c r="E230" s="8" t="s">
        <v>1847</v>
      </c>
      <c r="F230" s="8"/>
    </row>
    <row r="231" spans="1:6" x14ac:dyDescent="0.25">
      <c r="A231" s="8" t="s">
        <v>925</v>
      </c>
      <c r="B231" s="8" t="s">
        <v>1700</v>
      </c>
      <c r="C231" s="8"/>
      <c r="D231" s="8" t="s">
        <v>91</v>
      </c>
      <c r="E231" s="8" t="s">
        <v>1847</v>
      </c>
      <c r="F231" s="8"/>
    </row>
    <row r="232" spans="1:6" x14ac:dyDescent="0.25">
      <c r="A232" s="8" t="s">
        <v>929</v>
      </c>
      <c r="B232" s="8" t="s">
        <v>1694</v>
      </c>
      <c r="C232" s="8"/>
      <c r="D232" s="8" t="s">
        <v>47</v>
      </c>
      <c r="E232" s="8" t="s">
        <v>1847</v>
      </c>
      <c r="F232" s="8"/>
    </row>
    <row r="233" spans="1:6" x14ac:dyDescent="0.25">
      <c r="A233" s="8" t="s">
        <v>929</v>
      </c>
      <c r="B233" s="8" t="s">
        <v>1700</v>
      </c>
      <c r="C233" s="8"/>
      <c r="D233" s="8" t="s">
        <v>91</v>
      </c>
      <c r="E233" s="8" t="s">
        <v>1847</v>
      </c>
      <c r="F233" s="8"/>
    </row>
    <row r="234" spans="1:6" x14ac:dyDescent="0.25">
      <c r="A234" s="8" t="s">
        <v>934</v>
      </c>
      <c r="B234" s="8" t="s">
        <v>1687</v>
      </c>
      <c r="C234" s="8"/>
      <c r="D234" s="8" t="s">
        <v>76</v>
      </c>
      <c r="E234" s="8" t="s">
        <v>1847</v>
      </c>
      <c r="F234" s="8" t="s">
        <v>1855</v>
      </c>
    </row>
    <row r="235" spans="1:6" x14ac:dyDescent="0.25">
      <c r="A235" s="8" t="s">
        <v>934</v>
      </c>
      <c r="B235" s="8" t="s">
        <v>1694</v>
      </c>
      <c r="C235" s="8"/>
      <c r="D235" s="8" t="s">
        <v>57</v>
      </c>
      <c r="E235" s="8" t="s">
        <v>1847</v>
      </c>
      <c r="F235" s="8"/>
    </row>
    <row r="236" spans="1:6" x14ac:dyDescent="0.25">
      <c r="A236" s="8" t="s">
        <v>934</v>
      </c>
      <c r="B236" s="8" t="s">
        <v>1697</v>
      </c>
      <c r="C236" s="8" t="s">
        <v>58</v>
      </c>
      <c r="D236" s="8" t="s">
        <v>272</v>
      </c>
      <c r="E236" s="8" t="s">
        <v>1848</v>
      </c>
      <c r="F236" s="8"/>
    </row>
    <row r="237" spans="1:6" x14ac:dyDescent="0.25">
      <c r="A237" s="8" t="s">
        <v>950</v>
      </c>
      <c r="B237" s="8" t="s">
        <v>1700</v>
      </c>
      <c r="C237" s="8" t="s">
        <v>72</v>
      </c>
      <c r="D237" s="8" t="s">
        <v>78</v>
      </c>
      <c r="E237" s="8" t="s">
        <v>1848</v>
      </c>
      <c r="F237" s="8"/>
    </row>
    <row r="238" spans="1:6" x14ac:dyDescent="0.25">
      <c r="A238" s="8" t="s">
        <v>956</v>
      </c>
      <c r="B238" s="8" t="s">
        <v>1687</v>
      </c>
      <c r="C238" s="8"/>
      <c r="D238" s="8" t="s">
        <v>76</v>
      </c>
      <c r="E238" s="8" t="s">
        <v>1847</v>
      </c>
      <c r="F238" s="8"/>
    </row>
    <row r="239" spans="1:6" x14ac:dyDescent="0.25">
      <c r="A239" s="8" t="s">
        <v>956</v>
      </c>
      <c r="B239" s="8" t="s">
        <v>1700</v>
      </c>
      <c r="C239" s="8"/>
      <c r="D239" s="8" t="s">
        <v>192</v>
      </c>
      <c r="E239" s="8" t="s">
        <v>1847</v>
      </c>
      <c r="F239" s="8"/>
    </row>
    <row r="240" spans="1:6" x14ac:dyDescent="0.25">
      <c r="A240" s="8" t="s">
        <v>965</v>
      </c>
      <c r="B240" s="8" t="s">
        <v>1694</v>
      </c>
      <c r="C240" s="8"/>
      <c r="D240" s="8" t="s">
        <v>47</v>
      </c>
      <c r="E240" s="8" t="s">
        <v>1847</v>
      </c>
      <c r="F240" s="8"/>
    </row>
    <row r="241" spans="1:6" x14ac:dyDescent="0.25">
      <c r="A241" s="8" t="s">
        <v>968</v>
      </c>
      <c r="B241" s="8" t="s">
        <v>1687</v>
      </c>
      <c r="C241" s="8"/>
      <c r="D241" s="8" t="s">
        <v>76</v>
      </c>
      <c r="E241" s="8" t="s">
        <v>1847</v>
      </c>
      <c r="F241" s="8"/>
    </row>
    <row r="242" spans="1:6" x14ac:dyDescent="0.25">
      <c r="A242" s="8" t="s">
        <v>969</v>
      </c>
      <c r="B242" s="8" t="s">
        <v>1687</v>
      </c>
      <c r="C242" s="8"/>
      <c r="D242" s="8" t="s">
        <v>76</v>
      </c>
      <c r="E242" s="8" t="s">
        <v>1847</v>
      </c>
      <c r="F242" s="8"/>
    </row>
    <row r="243" spans="1:6" x14ac:dyDescent="0.25">
      <c r="A243" s="8" t="s">
        <v>977</v>
      </c>
      <c r="B243" s="8" t="s">
        <v>1687</v>
      </c>
      <c r="C243" s="8"/>
      <c r="D243" s="8" t="s">
        <v>44</v>
      </c>
      <c r="E243" s="8" t="s">
        <v>1847</v>
      </c>
      <c r="F243" s="8"/>
    </row>
    <row r="244" spans="1:6" x14ac:dyDescent="0.25">
      <c r="A244" s="8" t="s">
        <v>977</v>
      </c>
      <c r="B244" s="8" t="s">
        <v>1697</v>
      </c>
      <c r="C244" s="8" t="s">
        <v>96</v>
      </c>
      <c r="D244" s="8" t="s">
        <v>1859</v>
      </c>
      <c r="E244" s="8" t="s">
        <v>1848</v>
      </c>
      <c r="F244" s="8"/>
    </row>
    <row r="245" spans="1:6" x14ac:dyDescent="0.25">
      <c r="A245" s="8" t="s">
        <v>977</v>
      </c>
      <c r="B245" s="8" t="s">
        <v>1700</v>
      </c>
      <c r="C245" s="8"/>
      <c r="D245" s="8" t="s">
        <v>91</v>
      </c>
      <c r="E245" s="8" t="s">
        <v>1847</v>
      </c>
      <c r="F245" s="8"/>
    </row>
    <row r="246" spans="1:6" x14ac:dyDescent="0.25">
      <c r="A246" s="8" t="s">
        <v>981</v>
      </c>
      <c r="B246" s="8" t="s">
        <v>1700</v>
      </c>
      <c r="C246" s="8"/>
      <c r="D246" s="8" t="s">
        <v>192</v>
      </c>
      <c r="E246" s="8" t="s">
        <v>1847</v>
      </c>
      <c r="F246" s="8"/>
    </row>
    <row r="247" spans="1:6" x14ac:dyDescent="0.25">
      <c r="A247" s="8" t="s">
        <v>983</v>
      </c>
      <c r="B247" s="8" t="s">
        <v>1687</v>
      </c>
      <c r="C247" s="8"/>
      <c r="D247" s="8" t="s">
        <v>44</v>
      </c>
      <c r="E247" s="8" t="s">
        <v>1847</v>
      </c>
      <c r="F247" s="8"/>
    </row>
    <row r="248" spans="1:6" x14ac:dyDescent="0.25">
      <c r="A248" s="8" t="s">
        <v>983</v>
      </c>
      <c r="B248" s="8" t="s">
        <v>1694</v>
      </c>
      <c r="C248" s="8"/>
      <c r="D248" s="8" t="s">
        <v>47</v>
      </c>
      <c r="E248" s="8" t="s">
        <v>1847</v>
      </c>
      <c r="F248" s="8"/>
    </row>
    <row r="249" spans="1:6" x14ac:dyDescent="0.25">
      <c r="A249" s="8" t="s">
        <v>985</v>
      </c>
      <c r="B249" s="8" t="s">
        <v>1687</v>
      </c>
      <c r="C249" s="8"/>
      <c r="D249" s="8" t="s">
        <v>44</v>
      </c>
      <c r="E249" s="8" t="s">
        <v>1847</v>
      </c>
      <c r="F249" s="8"/>
    </row>
    <row r="250" spans="1:6" x14ac:dyDescent="0.25">
      <c r="A250" s="8" t="s">
        <v>985</v>
      </c>
      <c r="B250" s="8" t="s">
        <v>1694</v>
      </c>
      <c r="C250" s="8"/>
      <c r="D250" s="8" t="s">
        <v>57</v>
      </c>
      <c r="E250" s="8" t="s">
        <v>1847</v>
      </c>
      <c r="F250" s="8"/>
    </row>
    <row r="251" spans="1:6" x14ac:dyDescent="0.25">
      <c r="A251" s="8" t="s">
        <v>989</v>
      </c>
      <c r="B251" s="8" t="s">
        <v>1700</v>
      </c>
      <c r="C251" s="8" t="s">
        <v>119</v>
      </c>
      <c r="D251" s="8" t="s">
        <v>71</v>
      </c>
      <c r="E251" s="8" t="s">
        <v>1848</v>
      </c>
      <c r="F251" s="8"/>
    </row>
    <row r="252" spans="1:6" x14ac:dyDescent="0.25">
      <c r="A252" s="8" t="s">
        <v>994</v>
      </c>
      <c r="B252" s="8" t="s">
        <v>1687</v>
      </c>
      <c r="C252" s="8"/>
      <c r="D252" s="8" t="s">
        <v>76</v>
      </c>
      <c r="E252" s="8" t="s">
        <v>1847</v>
      </c>
      <c r="F252" s="8"/>
    </row>
    <row r="253" spans="1:6" x14ac:dyDescent="0.25">
      <c r="A253" s="8" t="s">
        <v>994</v>
      </c>
      <c r="B253" s="8" t="s">
        <v>1697</v>
      </c>
      <c r="C253" s="8" t="s">
        <v>998</v>
      </c>
      <c r="D253" s="8" t="s">
        <v>323</v>
      </c>
      <c r="E253" s="8" t="s">
        <v>1849</v>
      </c>
      <c r="F253" s="8"/>
    </row>
    <row r="254" spans="1:6" x14ac:dyDescent="0.25">
      <c r="A254" s="8" t="s">
        <v>994</v>
      </c>
      <c r="B254" s="8" t="s">
        <v>1700</v>
      </c>
      <c r="C254" s="8"/>
      <c r="D254" s="8" t="s">
        <v>71</v>
      </c>
      <c r="E254" s="8" t="s">
        <v>1847</v>
      </c>
      <c r="F254" s="8"/>
    </row>
    <row r="255" spans="1:6" x14ac:dyDescent="0.25">
      <c r="A255" s="8" t="s">
        <v>1002</v>
      </c>
      <c r="B255" s="8" t="s">
        <v>1687</v>
      </c>
      <c r="C255" s="8"/>
      <c r="D255" s="8" t="s">
        <v>44</v>
      </c>
      <c r="E255" s="8" t="s">
        <v>1847</v>
      </c>
      <c r="F255" s="8"/>
    </row>
    <row r="256" spans="1:6" x14ac:dyDescent="0.25">
      <c r="A256" s="8" t="s">
        <v>1002</v>
      </c>
      <c r="B256" s="8" t="s">
        <v>1697</v>
      </c>
      <c r="C256" s="8" t="s">
        <v>58</v>
      </c>
      <c r="D256" s="8" t="s">
        <v>1860</v>
      </c>
      <c r="E256" s="8" t="s">
        <v>1848</v>
      </c>
      <c r="F256" s="8"/>
    </row>
    <row r="257" spans="1:6" x14ac:dyDescent="0.25">
      <c r="A257" s="8" t="s">
        <v>1002</v>
      </c>
      <c r="B257" s="8" t="s">
        <v>1700</v>
      </c>
      <c r="C257" s="8"/>
      <c r="D257" s="8" t="s">
        <v>123</v>
      </c>
      <c r="E257" s="8" t="s">
        <v>1847</v>
      </c>
      <c r="F257" s="8"/>
    </row>
    <row r="258" spans="1:6" x14ac:dyDescent="0.25">
      <c r="A258" s="8" t="s">
        <v>1004</v>
      </c>
      <c r="B258" s="8" t="s">
        <v>1697</v>
      </c>
      <c r="C258" s="8" t="s">
        <v>422</v>
      </c>
      <c r="D258" s="8" t="s">
        <v>77</v>
      </c>
      <c r="E258" s="8" t="s">
        <v>1849</v>
      </c>
      <c r="F258" s="8"/>
    </row>
    <row r="259" spans="1:6" x14ac:dyDescent="0.25">
      <c r="A259" s="8" t="s">
        <v>1004</v>
      </c>
      <c r="B259" s="8" t="s">
        <v>1700</v>
      </c>
      <c r="C259" s="8" t="s">
        <v>59</v>
      </c>
      <c r="D259" s="8" t="s">
        <v>119</v>
      </c>
      <c r="E259" s="8" t="s">
        <v>1848</v>
      </c>
      <c r="F259" s="8"/>
    </row>
    <row r="260" spans="1:6" x14ac:dyDescent="0.25">
      <c r="A260" s="8" t="s">
        <v>1007</v>
      </c>
      <c r="B260" s="8" t="s">
        <v>1687</v>
      </c>
      <c r="C260" s="8"/>
      <c r="D260" s="8" t="s">
        <v>76</v>
      </c>
      <c r="E260" s="8" t="s">
        <v>1847</v>
      </c>
      <c r="F260" s="8"/>
    </row>
    <row r="261" spans="1:6" x14ac:dyDescent="0.25">
      <c r="A261" s="8" t="s">
        <v>1007</v>
      </c>
      <c r="B261" s="8" t="s">
        <v>1697</v>
      </c>
      <c r="C261" s="8" t="s">
        <v>77</v>
      </c>
      <c r="D261" s="8" t="s">
        <v>83</v>
      </c>
      <c r="E261" s="8" t="s">
        <v>1848</v>
      </c>
      <c r="F261" s="8"/>
    </row>
    <row r="262" spans="1:6" x14ac:dyDescent="0.25">
      <c r="A262" s="8" t="s">
        <v>1009</v>
      </c>
      <c r="B262" s="8" t="s">
        <v>1687</v>
      </c>
      <c r="C262" s="8"/>
      <c r="D262" s="8" t="s">
        <v>76</v>
      </c>
      <c r="E262" s="8" t="s">
        <v>1847</v>
      </c>
      <c r="F262" s="8"/>
    </row>
    <row r="263" spans="1:6" x14ac:dyDescent="0.25">
      <c r="A263" s="8" t="s">
        <v>1009</v>
      </c>
      <c r="B263" s="8" t="s">
        <v>1700</v>
      </c>
      <c r="C263" s="8"/>
      <c r="D263" s="8" t="s">
        <v>49</v>
      </c>
      <c r="E263" s="8" t="s">
        <v>1847</v>
      </c>
      <c r="F263" s="8"/>
    </row>
    <row r="264" spans="1:6" x14ac:dyDescent="0.25">
      <c r="A264" s="8" t="s">
        <v>1016</v>
      </c>
      <c r="B264" s="8" t="s">
        <v>1687</v>
      </c>
      <c r="C264" s="8"/>
      <c r="D264" s="8" t="s">
        <v>76</v>
      </c>
      <c r="E264" s="8" t="s">
        <v>1847</v>
      </c>
      <c r="F264" s="8"/>
    </row>
    <row r="265" spans="1:6" x14ac:dyDescent="0.25">
      <c r="A265" s="8" t="s">
        <v>1016</v>
      </c>
      <c r="B265" s="8" t="s">
        <v>1697</v>
      </c>
      <c r="C265" s="8" t="s">
        <v>58</v>
      </c>
      <c r="D265" s="8" t="s">
        <v>77</v>
      </c>
      <c r="E265" s="8" t="s">
        <v>1848</v>
      </c>
      <c r="F265" s="8"/>
    </row>
    <row r="266" spans="1:6" x14ac:dyDescent="0.25">
      <c r="A266" s="8" t="s">
        <v>1016</v>
      </c>
      <c r="B266" s="8" t="s">
        <v>1700</v>
      </c>
      <c r="C266" s="8"/>
      <c r="D266" s="8" t="s">
        <v>91</v>
      </c>
      <c r="E266" s="8" t="s">
        <v>1847</v>
      </c>
      <c r="F266" s="8"/>
    </row>
    <row r="267" spans="1:6" x14ac:dyDescent="0.25">
      <c r="A267" s="8" t="s">
        <v>1019</v>
      </c>
      <c r="B267" s="8" t="s">
        <v>1687</v>
      </c>
      <c r="C267" s="8"/>
      <c r="D267" s="8" t="s">
        <v>44</v>
      </c>
      <c r="E267" s="8" t="s">
        <v>1847</v>
      </c>
      <c r="F267" s="8"/>
    </row>
    <row r="268" spans="1:6" x14ac:dyDescent="0.25">
      <c r="A268" s="8" t="s">
        <v>1019</v>
      </c>
      <c r="B268" s="8" t="s">
        <v>1694</v>
      </c>
      <c r="C268" s="8"/>
      <c r="D268" s="8" t="s">
        <v>47</v>
      </c>
      <c r="E268" s="8" t="s">
        <v>1847</v>
      </c>
      <c r="F268" s="8"/>
    </row>
    <row r="269" spans="1:6" x14ac:dyDescent="0.25">
      <c r="A269" s="8" t="s">
        <v>1019</v>
      </c>
      <c r="B269" s="8" t="s">
        <v>1700</v>
      </c>
      <c r="C269" s="8"/>
      <c r="D269" s="8" t="s">
        <v>119</v>
      </c>
      <c r="E269" s="8" t="s">
        <v>1847</v>
      </c>
      <c r="F269" s="8"/>
    </row>
    <row r="270" spans="1:6" x14ac:dyDescent="0.25">
      <c r="A270" s="8" t="s">
        <v>1025</v>
      </c>
      <c r="B270" s="8" t="s">
        <v>1687</v>
      </c>
      <c r="C270" s="8"/>
      <c r="D270" s="8" t="s">
        <v>76</v>
      </c>
      <c r="E270" s="8" t="s">
        <v>1847</v>
      </c>
      <c r="F270" s="8"/>
    </row>
    <row r="271" spans="1:6" x14ac:dyDescent="0.25">
      <c r="A271" s="8" t="s">
        <v>1025</v>
      </c>
      <c r="B271" s="8" t="s">
        <v>1694</v>
      </c>
      <c r="C271" s="8"/>
      <c r="D271" s="8" t="s">
        <v>57</v>
      </c>
      <c r="E271" s="8" t="s">
        <v>1847</v>
      </c>
      <c r="F271" s="8"/>
    </row>
    <row r="272" spans="1:6" x14ac:dyDescent="0.25">
      <c r="A272" s="8" t="s">
        <v>1025</v>
      </c>
      <c r="B272" s="8" t="s">
        <v>1697</v>
      </c>
      <c r="C272" s="8" t="s">
        <v>700</v>
      </c>
      <c r="D272" s="8" t="s">
        <v>58</v>
      </c>
      <c r="E272" s="8" t="s">
        <v>1848</v>
      </c>
      <c r="F272" s="8"/>
    </row>
    <row r="273" spans="1:6" x14ac:dyDescent="0.25">
      <c r="A273" s="8" t="s">
        <v>1025</v>
      </c>
      <c r="B273" s="8" t="s">
        <v>1700</v>
      </c>
      <c r="C273" s="8"/>
      <c r="D273" s="8" t="s">
        <v>119</v>
      </c>
      <c r="E273" s="8" t="s">
        <v>1847</v>
      </c>
      <c r="F273" s="8"/>
    </row>
    <row r="274" spans="1:6" x14ac:dyDescent="0.25">
      <c r="A274" s="8" t="s">
        <v>1033</v>
      </c>
      <c r="B274" s="8" t="s">
        <v>1687</v>
      </c>
      <c r="C274" s="8"/>
      <c r="D274" s="8" t="s">
        <v>44</v>
      </c>
      <c r="E274" s="8" t="s">
        <v>1847</v>
      </c>
      <c r="F274" s="8"/>
    </row>
    <row r="275" spans="1:6" x14ac:dyDescent="0.25">
      <c r="A275" s="8" t="s">
        <v>1033</v>
      </c>
      <c r="B275" s="8" t="s">
        <v>1700</v>
      </c>
      <c r="C275" s="8" t="s">
        <v>119</v>
      </c>
      <c r="D275" s="8" t="s">
        <v>91</v>
      </c>
      <c r="E275" s="8" t="s">
        <v>1848</v>
      </c>
      <c r="F275" s="8"/>
    </row>
    <row r="276" spans="1:6" x14ac:dyDescent="0.25">
      <c r="A276" s="8" t="s">
        <v>1045</v>
      </c>
      <c r="B276" s="8" t="s">
        <v>1687</v>
      </c>
      <c r="C276" s="8"/>
      <c r="D276" s="8" t="s">
        <v>44</v>
      </c>
      <c r="E276" s="8" t="s">
        <v>1847</v>
      </c>
      <c r="F276" s="8"/>
    </row>
    <row r="277" spans="1:6" x14ac:dyDescent="0.25">
      <c r="A277" s="8" t="s">
        <v>1045</v>
      </c>
      <c r="B277" s="8" t="s">
        <v>1694</v>
      </c>
      <c r="C277" s="8"/>
      <c r="D277" s="8" t="s">
        <v>57</v>
      </c>
      <c r="E277" s="8" t="s">
        <v>1847</v>
      </c>
      <c r="F277" s="8"/>
    </row>
    <row r="278" spans="1:6" x14ac:dyDescent="0.25">
      <c r="A278" s="8" t="s">
        <v>1049</v>
      </c>
      <c r="B278" s="8" t="s">
        <v>1687</v>
      </c>
      <c r="C278" s="8"/>
      <c r="D278" s="8" t="s">
        <v>44</v>
      </c>
      <c r="E278" s="8" t="s">
        <v>1847</v>
      </c>
      <c r="F278" s="8"/>
    </row>
    <row r="279" spans="1:6" x14ac:dyDescent="0.25">
      <c r="A279" s="8" t="s">
        <v>1049</v>
      </c>
      <c r="B279" s="8" t="s">
        <v>1694</v>
      </c>
      <c r="C279" s="8"/>
      <c r="D279" s="8" t="s">
        <v>47</v>
      </c>
      <c r="E279" s="8" t="s">
        <v>1847</v>
      </c>
      <c r="F279" s="8"/>
    </row>
    <row r="280" spans="1:6" x14ac:dyDescent="0.25">
      <c r="A280" s="8" t="s">
        <v>1049</v>
      </c>
      <c r="B280" s="8" t="s">
        <v>1700</v>
      </c>
      <c r="C280" s="8"/>
      <c r="D280" s="8" t="s">
        <v>59</v>
      </c>
      <c r="E280" s="8" t="s">
        <v>1847</v>
      </c>
      <c r="F280" s="8"/>
    </row>
    <row r="281" spans="1:6" x14ac:dyDescent="0.25">
      <c r="A281" s="8" t="s">
        <v>1051</v>
      </c>
      <c r="B281" s="8" t="s">
        <v>21</v>
      </c>
      <c r="C281" s="8"/>
      <c r="D281" s="8" t="s">
        <v>332</v>
      </c>
      <c r="E281" s="8" t="s">
        <v>1847</v>
      </c>
      <c r="F281" s="8"/>
    </row>
    <row r="282" spans="1:6" x14ac:dyDescent="0.25">
      <c r="A282" s="8" t="s">
        <v>1056</v>
      </c>
      <c r="B282" s="8" t="s">
        <v>1694</v>
      </c>
      <c r="C282" s="8"/>
      <c r="D282" s="8" t="s">
        <v>47</v>
      </c>
      <c r="E282" s="8" t="s">
        <v>1847</v>
      </c>
      <c r="F282" s="8"/>
    </row>
    <row r="283" spans="1:6" x14ac:dyDescent="0.25">
      <c r="A283" s="8" t="s">
        <v>1065</v>
      </c>
      <c r="B283" s="8" t="s">
        <v>1694</v>
      </c>
      <c r="C283" s="8"/>
      <c r="D283" s="8" t="s">
        <v>47</v>
      </c>
      <c r="E283" s="8" t="s">
        <v>1847</v>
      </c>
      <c r="F283" s="8"/>
    </row>
    <row r="284" spans="1:6" x14ac:dyDescent="0.25">
      <c r="A284" s="8" t="s">
        <v>1065</v>
      </c>
      <c r="B284" s="8" t="s">
        <v>1700</v>
      </c>
      <c r="C284" s="8"/>
      <c r="D284" s="8" t="s">
        <v>91</v>
      </c>
      <c r="E284" s="8" t="s">
        <v>1847</v>
      </c>
      <c r="F284" s="8"/>
    </row>
    <row r="285" spans="1:6" x14ac:dyDescent="0.25">
      <c r="A285" s="8" t="s">
        <v>439</v>
      </c>
      <c r="B285" s="8" t="s">
        <v>1687</v>
      </c>
      <c r="C285" s="8"/>
      <c r="D285" s="8" t="s">
        <v>44</v>
      </c>
      <c r="E285" s="8" t="s">
        <v>1847</v>
      </c>
      <c r="F285" s="8"/>
    </row>
    <row r="286" spans="1:6" x14ac:dyDescent="0.25">
      <c r="A286" s="8" t="s">
        <v>439</v>
      </c>
      <c r="B286" s="8" t="s">
        <v>1700</v>
      </c>
      <c r="C286" s="8"/>
      <c r="D286" s="8" t="s">
        <v>91</v>
      </c>
      <c r="E286" s="8" t="s">
        <v>1847</v>
      </c>
      <c r="F286" s="8"/>
    </row>
    <row r="287" spans="1:6" x14ac:dyDescent="0.25">
      <c r="A287" s="8" t="s">
        <v>1074</v>
      </c>
      <c r="B287" s="8" t="s">
        <v>1687</v>
      </c>
      <c r="C287" s="8"/>
      <c r="D287" s="8" t="s">
        <v>76</v>
      </c>
      <c r="E287" s="8" t="s">
        <v>1847</v>
      </c>
      <c r="F287" s="8"/>
    </row>
    <row r="288" spans="1:6" x14ac:dyDescent="0.25">
      <c r="A288" s="8" t="s">
        <v>1076</v>
      </c>
      <c r="B288" s="8" t="s">
        <v>1687</v>
      </c>
      <c r="C288" s="8"/>
      <c r="D288" s="8" t="s">
        <v>76</v>
      </c>
      <c r="E288" s="8" t="s">
        <v>1847</v>
      </c>
      <c r="F288" s="8"/>
    </row>
    <row r="289" spans="1:6" x14ac:dyDescent="0.25">
      <c r="A289" s="8" t="s">
        <v>1076</v>
      </c>
      <c r="B289" s="8" t="s">
        <v>1697</v>
      </c>
      <c r="C289" s="8" t="s">
        <v>58</v>
      </c>
      <c r="D289" s="8" t="s">
        <v>333</v>
      </c>
      <c r="E289" s="8" t="s">
        <v>1848</v>
      </c>
      <c r="F289" s="8"/>
    </row>
    <row r="290" spans="1:6" x14ac:dyDescent="0.25">
      <c r="A290" s="8" t="s">
        <v>1080</v>
      </c>
      <c r="B290" s="8" t="s">
        <v>1687</v>
      </c>
      <c r="C290" s="8"/>
      <c r="D290" s="8" t="s">
        <v>44</v>
      </c>
      <c r="E290" s="8" t="s">
        <v>1847</v>
      </c>
      <c r="F290" s="8"/>
    </row>
    <row r="291" spans="1:6" x14ac:dyDescent="0.25">
      <c r="A291" s="8" t="s">
        <v>1080</v>
      </c>
      <c r="B291" s="8" t="s">
        <v>1697</v>
      </c>
      <c r="C291" s="8" t="s">
        <v>96</v>
      </c>
      <c r="D291" s="8" t="s">
        <v>1137</v>
      </c>
      <c r="E291" s="8" t="s">
        <v>1848</v>
      </c>
      <c r="F291" s="8"/>
    </row>
    <row r="292" spans="1:6" x14ac:dyDescent="0.25">
      <c r="A292" s="8" t="s">
        <v>1080</v>
      </c>
      <c r="B292" s="8" t="s">
        <v>1700</v>
      </c>
      <c r="C292" s="8"/>
      <c r="D292" s="8" t="s">
        <v>59</v>
      </c>
      <c r="E292" s="8" t="s">
        <v>1847</v>
      </c>
      <c r="F292" s="8"/>
    </row>
    <row r="293" spans="1:6" x14ac:dyDescent="0.25">
      <c r="A293" s="8" t="s">
        <v>1084</v>
      </c>
      <c r="B293" s="8" t="s">
        <v>1694</v>
      </c>
      <c r="C293" s="8"/>
      <c r="D293" s="8" t="s">
        <v>47</v>
      </c>
      <c r="E293" s="8" t="s">
        <v>1847</v>
      </c>
      <c r="F293" s="8"/>
    </row>
    <row r="294" spans="1:6" x14ac:dyDescent="0.25">
      <c r="A294" s="8" t="s">
        <v>1084</v>
      </c>
      <c r="B294" s="8" t="s">
        <v>1700</v>
      </c>
      <c r="C294" s="8" t="s">
        <v>193</v>
      </c>
      <c r="D294" s="8" t="s">
        <v>59</v>
      </c>
      <c r="E294" s="8" t="s">
        <v>1848</v>
      </c>
      <c r="F294" s="8"/>
    </row>
    <row r="295" spans="1:6" x14ac:dyDescent="0.25">
      <c r="A295" s="8" t="s">
        <v>1092</v>
      </c>
      <c r="B295" s="8" t="s">
        <v>1697</v>
      </c>
      <c r="C295" s="8" t="s">
        <v>422</v>
      </c>
      <c r="D295" s="8" t="s">
        <v>77</v>
      </c>
      <c r="E295" s="8" t="s">
        <v>1849</v>
      </c>
      <c r="F295" s="8"/>
    </row>
    <row r="296" spans="1:6" x14ac:dyDescent="0.25">
      <c r="A296" s="8" t="s">
        <v>1096</v>
      </c>
      <c r="B296" s="8" t="s">
        <v>1687</v>
      </c>
      <c r="C296" s="8"/>
      <c r="D296" s="8" t="s">
        <v>76</v>
      </c>
      <c r="E296" s="8" t="s">
        <v>1847</v>
      </c>
      <c r="F296" s="8" t="s">
        <v>1855</v>
      </c>
    </row>
    <row r="297" spans="1:6" x14ac:dyDescent="0.25">
      <c r="A297" s="8" t="s">
        <v>1115</v>
      </c>
      <c r="B297" s="8" t="s">
        <v>1687</v>
      </c>
      <c r="C297" s="8"/>
      <c r="D297" s="8" t="s">
        <v>44</v>
      </c>
      <c r="E297" s="8" t="s">
        <v>1847</v>
      </c>
      <c r="F297" s="8"/>
    </row>
    <row r="298" spans="1:6" x14ac:dyDescent="0.25">
      <c r="A298" s="8" t="s">
        <v>1115</v>
      </c>
      <c r="B298" s="8" t="s">
        <v>1694</v>
      </c>
      <c r="C298" s="8"/>
      <c r="D298" s="8" t="s">
        <v>57</v>
      </c>
      <c r="E298" s="8" t="s">
        <v>1847</v>
      </c>
      <c r="F298" s="8"/>
    </row>
    <row r="299" spans="1:6" x14ac:dyDescent="0.25">
      <c r="A299" s="8" t="s">
        <v>1119</v>
      </c>
      <c r="B299" s="8" t="s">
        <v>1687</v>
      </c>
      <c r="C299" s="8"/>
      <c r="D299" s="8" t="s">
        <v>76</v>
      </c>
      <c r="E299" s="8" t="s">
        <v>1847</v>
      </c>
      <c r="F299" s="8"/>
    </row>
    <row r="300" spans="1:6" x14ac:dyDescent="0.25">
      <c r="A300" s="8" t="s">
        <v>1119</v>
      </c>
      <c r="B300" s="8" t="s">
        <v>1700</v>
      </c>
      <c r="C300" s="8"/>
      <c r="D300" s="8" t="s">
        <v>71</v>
      </c>
      <c r="E300" s="8" t="s">
        <v>1847</v>
      </c>
      <c r="F300" s="8"/>
    </row>
    <row r="301" spans="1:6" x14ac:dyDescent="0.25">
      <c r="A301" s="8" t="s">
        <v>1125</v>
      </c>
      <c r="B301" s="8" t="s">
        <v>21</v>
      </c>
      <c r="C301" s="8"/>
      <c r="D301" s="8" t="s">
        <v>332</v>
      </c>
      <c r="E301" s="8" t="s">
        <v>1847</v>
      </c>
      <c r="F301" s="8"/>
    </row>
    <row r="302" spans="1:6" x14ac:dyDescent="0.25">
      <c r="A302" s="8" t="s">
        <v>1127</v>
      </c>
      <c r="B302" s="8" t="s">
        <v>1687</v>
      </c>
      <c r="C302" s="8"/>
      <c r="D302" s="8" t="s">
        <v>44</v>
      </c>
      <c r="E302" s="8" t="s">
        <v>1847</v>
      </c>
      <c r="F302" s="8"/>
    </row>
    <row r="303" spans="1:6" x14ac:dyDescent="0.25">
      <c r="A303" s="8" t="s">
        <v>1127</v>
      </c>
      <c r="B303" s="8" t="s">
        <v>1694</v>
      </c>
      <c r="C303" s="8"/>
      <c r="D303" s="8" t="s">
        <v>47</v>
      </c>
      <c r="E303" s="8" t="s">
        <v>1847</v>
      </c>
      <c r="F303" s="8"/>
    </row>
    <row r="304" spans="1:6" x14ac:dyDescent="0.25">
      <c r="A304" s="8" t="s">
        <v>1127</v>
      </c>
      <c r="B304" s="8" t="s">
        <v>1700</v>
      </c>
      <c r="C304" s="8"/>
      <c r="D304" s="8" t="s">
        <v>78</v>
      </c>
      <c r="E304" s="8" t="s">
        <v>1847</v>
      </c>
      <c r="F304" s="8"/>
    </row>
    <row r="305" spans="1:6" x14ac:dyDescent="0.25">
      <c r="A305" s="8" t="s">
        <v>1132</v>
      </c>
      <c r="B305" s="8" t="s">
        <v>1694</v>
      </c>
      <c r="C305" s="8"/>
      <c r="D305" s="8" t="s">
        <v>47</v>
      </c>
      <c r="E305" s="8" t="s">
        <v>1847</v>
      </c>
      <c r="F305" s="8"/>
    </row>
    <row r="306" spans="1:6" x14ac:dyDescent="0.25">
      <c r="A306" s="8" t="s">
        <v>1138</v>
      </c>
      <c r="B306" s="8" t="s">
        <v>1687</v>
      </c>
      <c r="C306" s="8"/>
      <c r="D306" s="8" t="s">
        <v>76</v>
      </c>
      <c r="E306" s="8" t="s">
        <v>1847</v>
      </c>
      <c r="F306" s="8"/>
    </row>
    <row r="307" spans="1:6" x14ac:dyDescent="0.25">
      <c r="A307" s="8" t="s">
        <v>1138</v>
      </c>
      <c r="B307" s="8" t="s">
        <v>1694</v>
      </c>
      <c r="C307" s="8"/>
      <c r="D307" s="8" t="s">
        <v>47</v>
      </c>
      <c r="E307" s="8" t="s">
        <v>1847</v>
      </c>
      <c r="F307" s="8"/>
    </row>
    <row r="308" spans="1:6" x14ac:dyDescent="0.25">
      <c r="A308" s="8" t="s">
        <v>1138</v>
      </c>
      <c r="B308" s="8" t="s">
        <v>1700</v>
      </c>
      <c r="C308" s="8"/>
      <c r="D308" s="8" t="s">
        <v>91</v>
      </c>
      <c r="E308" s="8" t="s">
        <v>1847</v>
      </c>
      <c r="F308" s="8"/>
    </row>
    <row r="309" spans="1:6" x14ac:dyDescent="0.25">
      <c r="A309" s="8" t="s">
        <v>1143</v>
      </c>
      <c r="B309" s="8" t="s">
        <v>1687</v>
      </c>
      <c r="C309" s="8"/>
      <c r="D309" s="8" t="s">
        <v>76</v>
      </c>
      <c r="E309" s="8" t="s">
        <v>1847</v>
      </c>
      <c r="F309" s="8"/>
    </row>
    <row r="310" spans="1:6" x14ac:dyDescent="0.25">
      <c r="A310" s="8" t="s">
        <v>1143</v>
      </c>
      <c r="B310" s="8" t="s">
        <v>1700</v>
      </c>
      <c r="C310" s="8"/>
      <c r="D310" s="8" t="s">
        <v>91</v>
      </c>
      <c r="E310" s="8" t="s">
        <v>1847</v>
      </c>
      <c r="F310" s="8"/>
    </row>
    <row r="311" spans="1:6" x14ac:dyDescent="0.25">
      <c r="A311" s="8" t="s">
        <v>1233</v>
      </c>
      <c r="B311" s="8" t="s">
        <v>1687</v>
      </c>
      <c r="C311" s="8"/>
      <c r="D311" s="8" t="s">
        <v>44</v>
      </c>
      <c r="E311" s="8" t="s">
        <v>1847</v>
      </c>
      <c r="F311" s="8"/>
    </row>
    <row r="312" spans="1:6" x14ac:dyDescent="0.25">
      <c r="A312" s="8" t="s">
        <v>1148</v>
      </c>
      <c r="B312" s="8" t="s">
        <v>1687</v>
      </c>
      <c r="C312" s="8"/>
      <c r="D312" s="8" t="s">
        <v>44</v>
      </c>
      <c r="E312" s="8" t="s">
        <v>1847</v>
      </c>
      <c r="F312" s="8"/>
    </row>
    <row r="313" spans="1:6" x14ac:dyDescent="0.25">
      <c r="A313" s="8" t="s">
        <v>1148</v>
      </c>
      <c r="B313" s="8" t="s">
        <v>1694</v>
      </c>
      <c r="C313" s="8"/>
      <c r="D313" s="8" t="s">
        <v>57</v>
      </c>
      <c r="E313" s="8" t="s">
        <v>1847</v>
      </c>
      <c r="F313" s="8"/>
    </row>
    <row r="314" spans="1:6" x14ac:dyDescent="0.25">
      <c r="A314" s="8" t="s">
        <v>1148</v>
      </c>
      <c r="B314" s="8" t="s">
        <v>1700</v>
      </c>
      <c r="C314" s="8"/>
      <c r="D314" s="8" t="s">
        <v>78</v>
      </c>
      <c r="E314" s="8" t="s">
        <v>1847</v>
      </c>
      <c r="F314" s="8"/>
    </row>
    <row r="315" spans="1:6" x14ac:dyDescent="0.25">
      <c r="A315" s="8" t="s">
        <v>1141</v>
      </c>
      <c r="B315" s="8" t="s">
        <v>1687</v>
      </c>
      <c r="C315" s="8"/>
      <c r="D315" s="8" t="s">
        <v>76</v>
      </c>
      <c r="E315" s="8" t="s">
        <v>1847</v>
      </c>
      <c r="F315" s="8"/>
    </row>
    <row r="316" spans="1:6" x14ac:dyDescent="0.25">
      <c r="A316" s="8" t="s">
        <v>1151</v>
      </c>
      <c r="B316" s="8" t="s">
        <v>1687</v>
      </c>
      <c r="C316" s="8"/>
      <c r="D316" s="8" t="s">
        <v>44</v>
      </c>
      <c r="E316" s="8" t="s">
        <v>1847</v>
      </c>
      <c r="F316" s="8"/>
    </row>
    <row r="317" spans="1:6" x14ac:dyDescent="0.25">
      <c r="A317" s="8" t="s">
        <v>1151</v>
      </c>
      <c r="B317" s="8" t="s">
        <v>1700</v>
      </c>
      <c r="C317" s="8"/>
      <c r="D317" s="8" t="s">
        <v>193</v>
      </c>
      <c r="E317" s="8" t="s">
        <v>1847</v>
      </c>
      <c r="F317" s="8"/>
    </row>
    <row r="318" spans="1:6" x14ac:dyDescent="0.25">
      <c r="A318" s="8" t="s">
        <v>1155</v>
      </c>
      <c r="B318" s="8" t="s">
        <v>1694</v>
      </c>
      <c r="C318" s="8"/>
      <c r="D318" s="8" t="s">
        <v>47</v>
      </c>
      <c r="E318" s="8" t="s">
        <v>1847</v>
      </c>
      <c r="F318" s="8" t="s">
        <v>1850</v>
      </c>
    </row>
    <row r="319" spans="1:6" x14ac:dyDescent="0.25">
      <c r="A319" s="8" t="s">
        <v>1162</v>
      </c>
      <c r="B319" s="8" t="s">
        <v>1694</v>
      </c>
      <c r="C319" s="8"/>
      <c r="D319" s="8" t="s">
        <v>47</v>
      </c>
      <c r="E319" s="8" t="s">
        <v>1847</v>
      </c>
      <c r="F319" s="8"/>
    </row>
    <row r="320" spans="1:6" x14ac:dyDescent="0.25">
      <c r="A320" s="8" t="s">
        <v>1166</v>
      </c>
      <c r="B320" s="8" t="s">
        <v>1687</v>
      </c>
      <c r="C320" s="8"/>
      <c r="D320" s="8" t="s">
        <v>44</v>
      </c>
      <c r="E320" s="8" t="s">
        <v>1847</v>
      </c>
      <c r="F320" s="8"/>
    </row>
    <row r="321" spans="1:6" x14ac:dyDescent="0.25">
      <c r="A321" s="8" t="s">
        <v>1166</v>
      </c>
      <c r="B321" s="8" t="s">
        <v>1694</v>
      </c>
      <c r="C321" s="8"/>
      <c r="D321" s="8" t="s">
        <v>57</v>
      </c>
      <c r="E321" s="8" t="s">
        <v>1847</v>
      </c>
      <c r="F321" s="8"/>
    </row>
    <row r="322" spans="1:6" x14ac:dyDescent="0.25">
      <c r="A322" s="8" t="s">
        <v>1171</v>
      </c>
      <c r="B322" s="8" t="s">
        <v>1687</v>
      </c>
      <c r="C322" s="8"/>
      <c r="D322" s="8" t="s">
        <v>76</v>
      </c>
      <c r="E322" s="8" t="s">
        <v>1847</v>
      </c>
      <c r="F322" s="8"/>
    </row>
    <row r="323" spans="1:6" x14ac:dyDescent="0.25">
      <c r="A323" s="8" t="s">
        <v>1171</v>
      </c>
      <c r="B323" s="8" t="s">
        <v>1700</v>
      </c>
      <c r="C323" s="8"/>
      <c r="D323" s="8" t="s">
        <v>193</v>
      </c>
      <c r="E323" s="8" t="s">
        <v>1847</v>
      </c>
      <c r="F323" s="8"/>
    </row>
    <row r="324" spans="1:6" x14ac:dyDescent="0.25">
      <c r="A324" s="8" t="s">
        <v>1174</v>
      </c>
      <c r="B324" s="8" t="s">
        <v>1687</v>
      </c>
      <c r="C324" s="8"/>
      <c r="D324" s="8" t="s">
        <v>76</v>
      </c>
      <c r="E324" s="8" t="s">
        <v>1847</v>
      </c>
      <c r="F324" s="8"/>
    </row>
    <row r="325" spans="1:6" x14ac:dyDescent="0.25">
      <c r="A325" s="8" t="s">
        <v>1175</v>
      </c>
      <c r="B325" s="8" t="s">
        <v>1687</v>
      </c>
      <c r="C325" s="8"/>
      <c r="D325" s="8" t="s">
        <v>44</v>
      </c>
      <c r="E325" s="8" t="s">
        <v>1847</v>
      </c>
      <c r="F325" s="8"/>
    </row>
    <row r="326" spans="1:6" x14ac:dyDescent="0.25">
      <c r="A326" s="8" t="s">
        <v>1176</v>
      </c>
      <c r="B326" s="8" t="s">
        <v>1700</v>
      </c>
      <c r="C326" s="8"/>
      <c r="D326" s="8" t="s">
        <v>133</v>
      </c>
      <c r="E326" s="8" t="s">
        <v>1847</v>
      </c>
      <c r="F326" s="8"/>
    </row>
    <row r="327" spans="1:6" x14ac:dyDescent="0.25">
      <c r="A327" s="8" t="s">
        <v>1179</v>
      </c>
      <c r="B327" s="8" t="s">
        <v>1697</v>
      </c>
      <c r="C327" s="8" t="s">
        <v>314</v>
      </c>
      <c r="D327" s="8" t="s">
        <v>458</v>
      </c>
      <c r="E327" s="8" t="s">
        <v>1848</v>
      </c>
      <c r="F327" s="8"/>
    </row>
    <row r="328" spans="1:6" x14ac:dyDescent="0.25">
      <c r="A328" s="8" t="s">
        <v>1188</v>
      </c>
      <c r="B328" s="8" t="s">
        <v>1687</v>
      </c>
      <c r="C328" s="8"/>
      <c r="D328" s="8" t="s">
        <v>44</v>
      </c>
      <c r="E328" s="8" t="s">
        <v>1847</v>
      </c>
      <c r="F328" s="8"/>
    </row>
    <row r="329" spans="1:6" x14ac:dyDescent="0.25">
      <c r="A329" s="8" t="s">
        <v>1188</v>
      </c>
      <c r="B329" s="8" t="s">
        <v>1694</v>
      </c>
      <c r="C329" s="8"/>
      <c r="D329" s="8" t="s">
        <v>47</v>
      </c>
      <c r="E329" s="8" t="s">
        <v>1847</v>
      </c>
      <c r="F329" s="8"/>
    </row>
    <row r="330" spans="1:6" x14ac:dyDescent="0.25">
      <c r="A330" s="8" t="s">
        <v>1188</v>
      </c>
      <c r="B330" s="8" t="s">
        <v>1700</v>
      </c>
      <c r="C330" s="8"/>
      <c r="D330" s="8" t="s">
        <v>193</v>
      </c>
      <c r="E330" s="8" t="s">
        <v>1847</v>
      </c>
      <c r="F330" s="8"/>
    </row>
    <row r="331" spans="1:6" x14ac:dyDescent="0.25">
      <c r="A331" s="8" t="s">
        <v>1197</v>
      </c>
      <c r="B331" s="8" t="s">
        <v>1687</v>
      </c>
      <c r="C331" s="8"/>
      <c r="D331" s="8" t="s">
        <v>44</v>
      </c>
      <c r="E331" s="8" t="s">
        <v>1847</v>
      </c>
      <c r="F331" s="8"/>
    </row>
    <row r="332" spans="1:6" x14ac:dyDescent="0.25">
      <c r="A332" s="8" t="s">
        <v>1197</v>
      </c>
      <c r="B332" s="8" t="s">
        <v>1694</v>
      </c>
      <c r="C332" s="8"/>
      <c r="D332" s="8" t="s">
        <v>57</v>
      </c>
      <c r="E332" s="8" t="s">
        <v>1847</v>
      </c>
      <c r="F332" s="8"/>
    </row>
    <row r="333" spans="1:6" x14ac:dyDescent="0.25">
      <c r="A333" s="8" t="s">
        <v>1202</v>
      </c>
      <c r="B333" s="8" t="s">
        <v>1687</v>
      </c>
      <c r="C333" s="8"/>
      <c r="D333" s="8" t="s">
        <v>44</v>
      </c>
      <c r="E333" s="8" t="s">
        <v>1847</v>
      </c>
      <c r="F333" s="8"/>
    </row>
    <row r="334" spans="1:6" x14ac:dyDescent="0.25">
      <c r="A334" s="8" t="s">
        <v>1202</v>
      </c>
      <c r="B334" s="8" t="s">
        <v>1700</v>
      </c>
      <c r="C334" s="8"/>
      <c r="D334" s="8" t="s">
        <v>71</v>
      </c>
      <c r="E334" s="8" t="s">
        <v>1847</v>
      </c>
      <c r="F334" s="8"/>
    </row>
    <row r="335" spans="1:6" x14ac:dyDescent="0.25">
      <c r="A335" s="8" t="s">
        <v>1204</v>
      </c>
      <c r="B335" s="8" t="s">
        <v>1697</v>
      </c>
      <c r="C335" s="8" t="s">
        <v>96</v>
      </c>
      <c r="D335" s="8" t="s">
        <v>1137</v>
      </c>
      <c r="E335" s="8" t="s">
        <v>1848</v>
      </c>
      <c r="F335" s="8"/>
    </row>
    <row r="336" spans="1:6" x14ac:dyDescent="0.25">
      <c r="A336" s="8" t="s">
        <v>1204</v>
      </c>
      <c r="B336" s="8" t="s">
        <v>1700</v>
      </c>
      <c r="C336" s="8" t="s">
        <v>133</v>
      </c>
      <c r="D336" s="8" t="s">
        <v>78</v>
      </c>
      <c r="E336" s="8" t="s">
        <v>1848</v>
      </c>
      <c r="F336" s="8"/>
    </row>
    <row r="337" spans="1:6" x14ac:dyDescent="0.25">
      <c r="A337" s="8" t="s">
        <v>1207</v>
      </c>
      <c r="B337" s="8" t="s">
        <v>1687</v>
      </c>
      <c r="C337" s="8"/>
      <c r="D337" s="8" t="s">
        <v>44</v>
      </c>
      <c r="E337" s="8" t="s">
        <v>1847</v>
      </c>
      <c r="F337" s="8"/>
    </row>
    <row r="338" spans="1:6" x14ac:dyDescent="0.25">
      <c r="A338" s="8" t="s">
        <v>1213</v>
      </c>
      <c r="B338" s="8" t="s">
        <v>1687</v>
      </c>
      <c r="C338" s="8"/>
      <c r="D338" s="8" t="s">
        <v>44</v>
      </c>
      <c r="E338" s="8" t="s">
        <v>1847</v>
      </c>
      <c r="F338" s="8" t="s">
        <v>1855</v>
      </c>
    </row>
    <row r="339" spans="1:6" x14ac:dyDescent="0.25">
      <c r="A339" s="8" t="s">
        <v>1217</v>
      </c>
      <c r="B339" s="8" t="s">
        <v>1687</v>
      </c>
      <c r="C339" s="8"/>
      <c r="D339" s="8" t="s">
        <v>44</v>
      </c>
      <c r="E339" s="8" t="s">
        <v>1847</v>
      </c>
      <c r="F339" s="8" t="s">
        <v>1855</v>
      </c>
    </row>
    <row r="340" spans="1:6" x14ac:dyDescent="0.25">
      <c r="A340" s="8" t="s">
        <v>1217</v>
      </c>
      <c r="B340" s="8" t="s">
        <v>1694</v>
      </c>
      <c r="C340" s="8"/>
      <c r="D340" s="8" t="s">
        <v>57</v>
      </c>
      <c r="E340" s="8" t="s">
        <v>1847</v>
      </c>
      <c r="F340" s="8"/>
    </row>
    <row r="341" spans="1:6" x14ac:dyDescent="0.25">
      <c r="A341" s="8" t="s">
        <v>1217</v>
      </c>
      <c r="B341" s="8" t="s">
        <v>1697</v>
      </c>
      <c r="C341" s="8" t="s">
        <v>58</v>
      </c>
      <c r="D341" s="8" t="s">
        <v>272</v>
      </c>
      <c r="E341" s="8" t="s">
        <v>1848</v>
      </c>
      <c r="F341" s="8"/>
    </row>
    <row r="342" spans="1:6" x14ac:dyDescent="0.25">
      <c r="A342" s="8" t="s">
        <v>1217</v>
      </c>
      <c r="B342" s="8" t="s">
        <v>1700</v>
      </c>
      <c r="C342" s="8"/>
      <c r="D342" s="8" t="s">
        <v>192</v>
      </c>
      <c r="E342" s="8" t="s">
        <v>1847</v>
      </c>
      <c r="F342" s="8"/>
    </row>
    <row r="343" spans="1:6" x14ac:dyDescent="0.25">
      <c r="A343" s="8" t="s">
        <v>1224</v>
      </c>
      <c r="B343" s="8" t="s">
        <v>1687</v>
      </c>
      <c r="C343" s="8"/>
      <c r="D343" s="8" t="s">
        <v>44</v>
      </c>
      <c r="E343" s="8" t="s">
        <v>1847</v>
      </c>
      <c r="F343" s="8"/>
    </row>
    <row r="344" spans="1:6" x14ac:dyDescent="0.25">
      <c r="A344" s="8" t="s">
        <v>1227</v>
      </c>
      <c r="B344" s="8" t="s">
        <v>1687</v>
      </c>
      <c r="C344" s="8"/>
      <c r="D344" s="8" t="s">
        <v>76</v>
      </c>
      <c r="E344" s="8" t="s">
        <v>1847</v>
      </c>
      <c r="F344" s="8"/>
    </row>
    <row r="345" spans="1:6" x14ac:dyDescent="0.25">
      <c r="A345" s="8" t="s">
        <v>1227</v>
      </c>
      <c r="B345" s="8" t="s">
        <v>1697</v>
      </c>
      <c r="C345" s="8"/>
      <c r="D345" s="8" t="s">
        <v>149</v>
      </c>
      <c r="E345" s="8" t="s">
        <v>1847</v>
      </c>
      <c r="F345" s="8"/>
    </row>
    <row r="346" spans="1:6" x14ac:dyDescent="0.25">
      <c r="A346" s="8" t="s">
        <v>1228</v>
      </c>
      <c r="B346" s="8" t="s">
        <v>1687</v>
      </c>
      <c r="C346" s="8"/>
      <c r="D346" s="8" t="s">
        <v>44</v>
      </c>
      <c r="E346" s="8" t="s">
        <v>1847</v>
      </c>
      <c r="F346" s="8"/>
    </row>
    <row r="347" spans="1:6" x14ac:dyDescent="0.25">
      <c r="A347" s="8" t="s">
        <v>1235</v>
      </c>
      <c r="B347" s="8" t="s">
        <v>1687</v>
      </c>
      <c r="C347" s="8"/>
      <c r="D347" s="8" t="s">
        <v>44</v>
      </c>
      <c r="E347" s="8" t="s">
        <v>1847</v>
      </c>
      <c r="F347" s="8"/>
    </row>
    <row r="348" spans="1:6" x14ac:dyDescent="0.25">
      <c r="A348" s="8" t="s">
        <v>1245</v>
      </c>
      <c r="B348" s="8" t="s">
        <v>1694</v>
      </c>
      <c r="C348" s="8"/>
      <c r="D348" s="8" t="s">
        <v>47</v>
      </c>
      <c r="E348" s="8" t="s">
        <v>1847</v>
      </c>
      <c r="F348" s="8"/>
    </row>
    <row r="349" spans="1:6" x14ac:dyDescent="0.25">
      <c r="A349" s="8" t="s">
        <v>1249</v>
      </c>
      <c r="B349" s="8" t="s">
        <v>1687</v>
      </c>
      <c r="C349" s="8"/>
      <c r="D349" s="8" t="s">
        <v>76</v>
      </c>
      <c r="E349" s="8" t="s">
        <v>1847</v>
      </c>
      <c r="F349" s="8"/>
    </row>
    <row r="350" spans="1:6" x14ac:dyDescent="0.25">
      <c r="A350" s="8" t="s">
        <v>1249</v>
      </c>
      <c r="B350" s="8" t="s">
        <v>21</v>
      </c>
      <c r="C350" s="8"/>
      <c r="D350" s="8" t="s">
        <v>332</v>
      </c>
      <c r="E350" s="8" t="s">
        <v>1847</v>
      </c>
      <c r="F350" s="8"/>
    </row>
    <row r="351" spans="1:6" x14ac:dyDescent="0.25">
      <c r="A351" s="8" t="s">
        <v>1249</v>
      </c>
      <c r="B351" s="8" t="s">
        <v>1697</v>
      </c>
      <c r="C351" s="8"/>
      <c r="D351" s="8" t="s">
        <v>77</v>
      </c>
      <c r="E351" s="8" t="s">
        <v>1847</v>
      </c>
      <c r="F351" s="8"/>
    </row>
    <row r="352" spans="1:6" x14ac:dyDescent="0.25">
      <c r="A352" s="8" t="s">
        <v>1254</v>
      </c>
      <c r="B352" s="8" t="s">
        <v>1687</v>
      </c>
      <c r="C352" s="8"/>
      <c r="D352" s="8" t="s">
        <v>76</v>
      </c>
      <c r="E352" s="8" t="s">
        <v>1847</v>
      </c>
      <c r="F352" s="8"/>
    </row>
    <row r="353" spans="1:6" x14ac:dyDescent="0.25">
      <c r="A353" s="8" t="s">
        <v>1258</v>
      </c>
      <c r="B353" s="8" t="s">
        <v>1687</v>
      </c>
      <c r="C353" s="8"/>
      <c r="D353" s="8" t="s">
        <v>76</v>
      </c>
      <c r="E353" s="8" t="s">
        <v>1847</v>
      </c>
      <c r="F353" s="8"/>
    </row>
    <row r="354" spans="1:6" x14ac:dyDescent="0.25">
      <c r="A354" s="8" t="s">
        <v>1258</v>
      </c>
      <c r="B354" s="8" t="s">
        <v>1697</v>
      </c>
      <c r="C354" s="8" t="s">
        <v>58</v>
      </c>
      <c r="D354" s="8" t="s">
        <v>458</v>
      </c>
      <c r="E354" s="8" t="s">
        <v>1848</v>
      </c>
      <c r="F354" s="8"/>
    </row>
    <row r="355" spans="1:6" x14ac:dyDescent="0.25">
      <c r="A355" s="8" t="s">
        <v>1267</v>
      </c>
      <c r="B355" s="8" t="s">
        <v>1694</v>
      </c>
      <c r="C355" s="8"/>
      <c r="D355" s="8" t="s">
        <v>47</v>
      </c>
      <c r="E355" s="8" t="s">
        <v>1847</v>
      </c>
      <c r="F355" s="8"/>
    </row>
    <row r="356" spans="1:6" x14ac:dyDescent="0.25">
      <c r="A356" s="8" t="s">
        <v>1270</v>
      </c>
      <c r="B356" s="8" t="s">
        <v>1687</v>
      </c>
      <c r="C356" s="8"/>
      <c r="D356" s="8" t="s">
        <v>76</v>
      </c>
      <c r="E356" s="8" t="s">
        <v>1847</v>
      </c>
      <c r="F356" s="8"/>
    </row>
    <row r="357" spans="1:6" x14ac:dyDescent="0.25">
      <c r="A357" s="8" t="s">
        <v>1274</v>
      </c>
      <c r="B357" s="8" t="s">
        <v>1687</v>
      </c>
      <c r="C357" s="8"/>
      <c r="D357" s="8" t="s">
        <v>44</v>
      </c>
      <c r="E357" s="8" t="s">
        <v>1847</v>
      </c>
      <c r="F357" s="8"/>
    </row>
    <row r="358" spans="1:6" x14ac:dyDescent="0.25">
      <c r="A358" s="8" t="s">
        <v>1277</v>
      </c>
      <c r="B358" s="8" t="s">
        <v>1687</v>
      </c>
      <c r="C358" s="8"/>
      <c r="D358" s="8" t="s">
        <v>44</v>
      </c>
      <c r="E358" s="8" t="s">
        <v>1847</v>
      </c>
      <c r="F358" s="8"/>
    </row>
    <row r="359" spans="1:6" x14ac:dyDescent="0.25">
      <c r="A359" s="8" t="s">
        <v>1277</v>
      </c>
      <c r="B359" s="8" t="s">
        <v>1694</v>
      </c>
      <c r="C359" s="8"/>
      <c r="D359" s="8" t="s">
        <v>47</v>
      </c>
      <c r="E359" s="8" t="s">
        <v>1847</v>
      </c>
      <c r="F359" s="8"/>
    </row>
    <row r="360" spans="1:6" x14ac:dyDescent="0.25">
      <c r="A360" s="8" t="s">
        <v>1281</v>
      </c>
      <c r="B360" s="8" t="s">
        <v>1694</v>
      </c>
      <c r="C360" s="8"/>
      <c r="D360" s="8" t="s">
        <v>47</v>
      </c>
      <c r="E360" s="8" t="s">
        <v>1847</v>
      </c>
      <c r="F360" s="8"/>
    </row>
    <row r="361" spans="1:6" x14ac:dyDescent="0.25">
      <c r="A361" s="8" t="s">
        <v>1286</v>
      </c>
      <c r="B361" s="8" t="s">
        <v>1687</v>
      </c>
      <c r="C361" s="8"/>
      <c r="D361" s="8" t="s">
        <v>44</v>
      </c>
      <c r="E361" s="8" t="s">
        <v>1847</v>
      </c>
      <c r="F361" s="8"/>
    </row>
    <row r="362" spans="1:6" x14ac:dyDescent="0.25">
      <c r="A362" s="8" t="s">
        <v>1286</v>
      </c>
      <c r="B362" s="8" t="s">
        <v>1694</v>
      </c>
      <c r="C362" s="8"/>
      <c r="D362" s="8" t="s">
        <v>47</v>
      </c>
      <c r="E362" s="8" t="s">
        <v>1847</v>
      </c>
      <c r="F362" s="8" t="s">
        <v>1850</v>
      </c>
    </row>
    <row r="363" spans="1:6" x14ac:dyDescent="0.25">
      <c r="A363" s="8" t="s">
        <v>1294</v>
      </c>
      <c r="B363" s="8" t="s">
        <v>1687</v>
      </c>
      <c r="C363" s="8"/>
      <c r="D363" s="8" t="s">
        <v>245</v>
      </c>
      <c r="E363" s="8" t="s">
        <v>1847</v>
      </c>
      <c r="F363" s="8"/>
    </row>
    <row r="364" spans="1:6" x14ac:dyDescent="0.25">
      <c r="A364" s="8" t="s">
        <v>1294</v>
      </c>
      <c r="B364" s="8" t="s">
        <v>1694</v>
      </c>
      <c r="C364" s="8"/>
      <c r="D364" s="8" t="s">
        <v>47</v>
      </c>
      <c r="E364" s="8" t="s">
        <v>1847</v>
      </c>
      <c r="F364" s="8"/>
    </row>
    <row r="365" spans="1:6" x14ac:dyDescent="0.25">
      <c r="A365" s="8" t="s">
        <v>371</v>
      </c>
      <c r="B365" s="8" t="s">
        <v>1687</v>
      </c>
      <c r="C365" s="8"/>
      <c r="D365" s="8" t="s">
        <v>44</v>
      </c>
      <c r="E365" s="8" t="s">
        <v>1847</v>
      </c>
      <c r="F365" s="8"/>
    </row>
    <row r="366" spans="1:6" x14ac:dyDescent="0.25">
      <c r="A366" s="8" t="s">
        <v>1300</v>
      </c>
      <c r="B366" s="8" t="s">
        <v>1687</v>
      </c>
      <c r="C366" s="8"/>
      <c r="D366" s="8" t="s">
        <v>76</v>
      </c>
      <c r="E366" s="8" t="s">
        <v>1847</v>
      </c>
      <c r="F366" s="8"/>
    </row>
    <row r="367" spans="1:6" x14ac:dyDescent="0.25">
      <c r="A367" s="8" t="s">
        <v>1300</v>
      </c>
      <c r="B367" s="8" t="s">
        <v>1700</v>
      </c>
      <c r="C367" s="8"/>
      <c r="D367" s="8" t="s">
        <v>133</v>
      </c>
      <c r="E367" s="8" t="s">
        <v>1847</v>
      </c>
      <c r="F367" s="8"/>
    </row>
    <row r="368" spans="1:6" x14ac:dyDescent="0.25">
      <c r="A368" s="8" t="s">
        <v>1307</v>
      </c>
      <c r="B368" s="8" t="s">
        <v>1687</v>
      </c>
      <c r="C368" s="8"/>
      <c r="D368" s="8" t="s">
        <v>44</v>
      </c>
      <c r="E368" s="8" t="s">
        <v>1847</v>
      </c>
      <c r="F368" s="8"/>
    </row>
    <row r="369" spans="1:6" x14ac:dyDescent="0.25">
      <c r="A369" s="8" t="s">
        <v>1316</v>
      </c>
      <c r="B369" s="8" t="s">
        <v>1687</v>
      </c>
      <c r="C369" s="8"/>
      <c r="D369" s="8" t="s">
        <v>76</v>
      </c>
      <c r="E369" s="8" t="s">
        <v>1847</v>
      </c>
      <c r="F369" s="8"/>
    </row>
    <row r="370" spans="1:6" x14ac:dyDescent="0.25">
      <c r="A370" s="8" t="s">
        <v>1316</v>
      </c>
      <c r="B370" s="8" t="s">
        <v>1694</v>
      </c>
      <c r="C370" s="8"/>
      <c r="D370" s="8" t="s">
        <v>47</v>
      </c>
      <c r="E370" s="8" t="s">
        <v>1847</v>
      </c>
      <c r="F370" s="8"/>
    </row>
    <row r="371" spans="1:6" x14ac:dyDescent="0.25">
      <c r="A371" s="8" t="s">
        <v>1316</v>
      </c>
      <c r="B371" s="8" t="s">
        <v>1700</v>
      </c>
      <c r="C371" s="8"/>
      <c r="D371" s="8" t="s">
        <v>119</v>
      </c>
      <c r="E371" s="8" t="s">
        <v>1847</v>
      </c>
      <c r="F371" s="8"/>
    </row>
    <row r="372" spans="1:6" x14ac:dyDescent="0.25">
      <c r="A372" s="8" t="s">
        <v>1319</v>
      </c>
      <c r="B372" s="8" t="s">
        <v>1687</v>
      </c>
      <c r="C372" s="8"/>
      <c r="D372" s="8" t="s">
        <v>44</v>
      </c>
      <c r="E372" s="8" t="s">
        <v>1847</v>
      </c>
      <c r="F372" s="8"/>
    </row>
    <row r="373" spans="1:6" x14ac:dyDescent="0.25">
      <c r="A373" s="8" t="s">
        <v>1327</v>
      </c>
      <c r="B373" s="8" t="s">
        <v>1687</v>
      </c>
      <c r="C373" s="8"/>
      <c r="D373" s="8" t="s">
        <v>44</v>
      </c>
      <c r="E373" s="8" t="s">
        <v>1847</v>
      </c>
      <c r="F373" s="8"/>
    </row>
    <row r="374" spans="1:6" x14ac:dyDescent="0.25">
      <c r="A374" s="8" t="s">
        <v>1327</v>
      </c>
      <c r="B374" s="8" t="s">
        <v>1694</v>
      </c>
      <c r="C374" s="8"/>
      <c r="D374" s="8" t="s">
        <v>47</v>
      </c>
      <c r="E374" s="8" t="s">
        <v>1847</v>
      </c>
      <c r="F374" s="8"/>
    </row>
    <row r="375" spans="1:6" x14ac:dyDescent="0.25">
      <c r="A375" s="8" t="s">
        <v>1327</v>
      </c>
      <c r="B375" s="8" t="s">
        <v>1697</v>
      </c>
      <c r="C375" s="8" t="s">
        <v>58</v>
      </c>
      <c r="D375" s="8" t="s">
        <v>1851</v>
      </c>
      <c r="E375" s="8" t="s">
        <v>1848</v>
      </c>
      <c r="F375" s="8"/>
    </row>
    <row r="376" spans="1:6" x14ac:dyDescent="0.25">
      <c r="A376" s="8" t="s">
        <v>1332</v>
      </c>
      <c r="B376" s="8" t="s">
        <v>1687</v>
      </c>
      <c r="C376" s="8"/>
      <c r="D376" s="8" t="s">
        <v>76</v>
      </c>
      <c r="E376" s="8" t="s">
        <v>1847</v>
      </c>
      <c r="F376" s="8"/>
    </row>
    <row r="377" spans="1:6" x14ac:dyDescent="0.25">
      <c r="A377" s="8" t="s">
        <v>1332</v>
      </c>
      <c r="B377" s="8" t="s">
        <v>1700</v>
      </c>
      <c r="C377" s="8"/>
      <c r="D377" s="8" t="s">
        <v>119</v>
      </c>
      <c r="E377" s="8" t="s">
        <v>1847</v>
      </c>
      <c r="F377" s="8"/>
    </row>
    <row r="378" spans="1:6" x14ac:dyDescent="0.25">
      <c r="A378" s="8" t="s">
        <v>1334</v>
      </c>
      <c r="B378" s="8" t="s">
        <v>1687</v>
      </c>
      <c r="C378" s="8"/>
      <c r="D378" s="8" t="s">
        <v>44</v>
      </c>
      <c r="E378" s="8" t="s">
        <v>1847</v>
      </c>
      <c r="F378" s="8"/>
    </row>
    <row r="379" spans="1:6" x14ac:dyDescent="0.25">
      <c r="A379" s="8" t="s">
        <v>1334</v>
      </c>
      <c r="B379" s="8" t="s">
        <v>1700</v>
      </c>
      <c r="C379" s="8"/>
      <c r="D379" s="8" t="s">
        <v>49</v>
      </c>
      <c r="E379" s="8" t="s">
        <v>1847</v>
      </c>
      <c r="F379" s="8"/>
    </row>
    <row r="380" spans="1:6" x14ac:dyDescent="0.25">
      <c r="A380" s="8" t="s">
        <v>1335</v>
      </c>
      <c r="B380" s="8" t="s">
        <v>1687</v>
      </c>
      <c r="C380" s="8"/>
      <c r="D380" s="8" t="s">
        <v>76</v>
      </c>
      <c r="E380" s="8" t="s">
        <v>1847</v>
      </c>
      <c r="F380" s="8"/>
    </row>
    <row r="381" spans="1:6" x14ac:dyDescent="0.25">
      <c r="A381" s="8" t="s">
        <v>1335</v>
      </c>
      <c r="B381" s="8" t="s">
        <v>1694</v>
      </c>
      <c r="C381" s="8"/>
      <c r="D381" s="8" t="s">
        <v>47</v>
      </c>
      <c r="E381" s="8" t="s">
        <v>1847</v>
      </c>
      <c r="F381" s="8"/>
    </row>
    <row r="382" spans="1:6" x14ac:dyDescent="0.25">
      <c r="A382" s="8" t="s">
        <v>1335</v>
      </c>
      <c r="B382" s="8" t="s">
        <v>1700</v>
      </c>
      <c r="C382" s="8"/>
      <c r="D382" s="8" t="s">
        <v>119</v>
      </c>
      <c r="E382" s="8" t="s">
        <v>1847</v>
      </c>
      <c r="F382" s="8"/>
    </row>
    <row r="383" spans="1:6" x14ac:dyDescent="0.25">
      <c r="A383" s="8" t="s">
        <v>1341</v>
      </c>
      <c r="B383" s="8" t="s">
        <v>1687</v>
      </c>
      <c r="C383" s="8"/>
      <c r="D383" s="8" t="s">
        <v>76</v>
      </c>
      <c r="E383" s="8" t="s">
        <v>1847</v>
      </c>
      <c r="F383" s="8" t="s">
        <v>1855</v>
      </c>
    </row>
    <row r="384" spans="1:6" x14ac:dyDescent="0.25">
      <c r="A384" s="8" t="s">
        <v>1341</v>
      </c>
      <c r="B384" s="8" t="s">
        <v>1697</v>
      </c>
      <c r="C384" s="8"/>
      <c r="D384" s="8" t="s">
        <v>83</v>
      </c>
      <c r="E384" s="8" t="s">
        <v>1847</v>
      </c>
      <c r="F384" s="8"/>
    </row>
    <row r="385" spans="1:6" x14ac:dyDescent="0.25">
      <c r="A385" s="8" t="s">
        <v>1341</v>
      </c>
      <c r="B385" s="8" t="s">
        <v>1700</v>
      </c>
      <c r="C385" s="8"/>
      <c r="D385" s="8" t="s">
        <v>192</v>
      </c>
      <c r="E385" s="8" t="s">
        <v>1847</v>
      </c>
      <c r="F385" s="8"/>
    </row>
    <row r="386" spans="1:6" x14ac:dyDescent="0.25">
      <c r="A386" s="8" t="s">
        <v>1345</v>
      </c>
      <c r="B386" s="8" t="s">
        <v>1687</v>
      </c>
      <c r="C386" s="8"/>
      <c r="D386" s="8" t="s">
        <v>44</v>
      </c>
      <c r="E386" s="8" t="s">
        <v>1847</v>
      </c>
      <c r="F386" s="8"/>
    </row>
    <row r="387" spans="1:6" x14ac:dyDescent="0.25">
      <c r="A387" s="8" t="s">
        <v>1345</v>
      </c>
      <c r="B387" s="8" t="s">
        <v>1694</v>
      </c>
      <c r="C387" s="8"/>
      <c r="D387" s="8" t="s">
        <v>47</v>
      </c>
      <c r="E387" s="8" t="s">
        <v>1847</v>
      </c>
      <c r="F387" s="8"/>
    </row>
    <row r="388" spans="1:6" x14ac:dyDescent="0.25">
      <c r="A388" s="8" t="s">
        <v>1346</v>
      </c>
      <c r="B388" s="8" t="s">
        <v>1687</v>
      </c>
      <c r="C388" s="8"/>
      <c r="D388" s="8" t="s">
        <v>76</v>
      </c>
      <c r="E388" s="8" t="s">
        <v>1847</v>
      </c>
      <c r="F388" s="8"/>
    </row>
    <row r="389" spans="1:6" x14ac:dyDescent="0.25">
      <c r="A389" s="8" t="s">
        <v>1356</v>
      </c>
      <c r="B389" s="8" t="s">
        <v>1687</v>
      </c>
      <c r="C389" s="8"/>
      <c r="D389" s="8" t="s">
        <v>44</v>
      </c>
      <c r="E389" s="8" t="s">
        <v>1847</v>
      </c>
      <c r="F389" s="8"/>
    </row>
    <row r="390" spans="1:6" x14ac:dyDescent="0.25">
      <c r="A390" s="8" t="s">
        <v>1356</v>
      </c>
      <c r="B390" s="8" t="s">
        <v>1694</v>
      </c>
      <c r="C390" s="8"/>
      <c r="D390" s="8" t="s">
        <v>57</v>
      </c>
      <c r="E390" s="8" t="s">
        <v>1847</v>
      </c>
      <c r="F390" s="8"/>
    </row>
    <row r="391" spans="1:6" x14ac:dyDescent="0.25">
      <c r="A391" s="8" t="s">
        <v>1356</v>
      </c>
      <c r="B391" s="8" t="s">
        <v>1697</v>
      </c>
      <c r="C391" s="8" t="s">
        <v>96</v>
      </c>
      <c r="D391" s="8" t="s">
        <v>1137</v>
      </c>
      <c r="E391" s="8" t="s">
        <v>1848</v>
      </c>
      <c r="F391" s="8"/>
    </row>
    <row r="392" spans="1:6" x14ac:dyDescent="0.25">
      <c r="A392" s="8" t="s">
        <v>1356</v>
      </c>
      <c r="B392" s="8" t="s">
        <v>1700</v>
      </c>
      <c r="C392" s="8"/>
      <c r="D392" s="8" t="s">
        <v>78</v>
      </c>
      <c r="E392" s="8" t="s">
        <v>1847</v>
      </c>
      <c r="F392" s="8"/>
    </row>
    <row r="393" spans="1:6" x14ac:dyDescent="0.25">
      <c r="A393" s="8" t="s">
        <v>1359</v>
      </c>
      <c r="B393" s="8" t="s">
        <v>1687</v>
      </c>
      <c r="C393" s="8"/>
      <c r="D393" s="8" t="s">
        <v>44</v>
      </c>
      <c r="E393" s="8" t="s">
        <v>1847</v>
      </c>
      <c r="F393" s="8" t="s">
        <v>1855</v>
      </c>
    </row>
    <row r="394" spans="1:6" x14ac:dyDescent="0.25">
      <c r="A394" s="8" t="s">
        <v>1359</v>
      </c>
      <c r="B394" s="8" t="s">
        <v>1694</v>
      </c>
      <c r="C394" s="8"/>
      <c r="D394" s="8" t="s">
        <v>57</v>
      </c>
      <c r="E394" s="8" t="s">
        <v>1847</v>
      </c>
      <c r="F394" s="8"/>
    </row>
    <row r="395" spans="1:6" x14ac:dyDescent="0.25">
      <c r="A395" s="8" t="s">
        <v>1359</v>
      </c>
      <c r="B395" s="8" t="s">
        <v>1697</v>
      </c>
      <c r="C395" s="8" t="s">
        <v>1364</v>
      </c>
      <c r="D395" s="8" t="s">
        <v>574</v>
      </c>
      <c r="E395" s="8" t="s">
        <v>1849</v>
      </c>
      <c r="F395" s="8"/>
    </row>
    <row r="396" spans="1:6" x14ac:dyDescent="0.25">
      <c r="A396" s="8" t="s">
        <v>1370</v>
      </c>
      <c r="B396" s="8" t="s">
        <v>1687</v>
      </c>
      <c r="C396" s="8"/>
      <c r="D396" s="8" t="s">
        <v>76</v>
      </c>
      <c r="E396" s="8" t="s">
        <v>1847</v>
      </c>
      <c r="F396" s="8"/>
    </row>
    <row r="397" spans="1:6" x14ac:dyDescent="0.25">
      <c r="A397" s="8" t="s">
        <v>1370</v>
      </c>
      <c r="B397" s="8" t="s">
        <v>21</v>
      </c>
      <c r="C397" s="8"/>
      <c r="D397" s="8" t="s">
        <v>332</v>
      </c>
      <c r="E397" s="8" t="s">
        <v>1847</v>
      </c>
      <c r="F397" s="8"/>
    </row>
    <row r="398" spans="1:6" x14ac:dyDescent="0.25">
      <c r="A398" s="8" t="s">
        <v>1372</v>
      </c>
      <c r="B398" s="8" t="s">
        <v>1687</v>
      </c>
      <c r="C398" s="8"/>
      <c r="D398" s="8" t="s">
        <v>44</v>
      </c>
      <c r="E398" s="8" t="s">
        <v>1847</v>
      </c>
      <c r="F398" s="8"/>
    </row>
    <row r="399" spans="1:6" x14ac:dyDescent="0.25">
      <c r="A399" s="8" t="s">
        <v>1372</v>
      </c>
      <c r="B399" s="8" t="s">
        <v>1694</v>
      </c>
      <c r="C399" s="8"/>
      <c r="D399" s="8" t="s">
        <v>57</v>
      </c>
      <c r="E399" s="8" t="s">
        <v>1847</v>
      </c>
      <c r="F399" s="8"/>
    </row>
    <row r="400" spans="1:6" x14ac:dyDescent="0.25">
      <c r="A400" s="8" t="s">
        <v>1372</v>
      </c>
      <c r="B400" s="8" t="s">
        <v>1697</v>
      </c>
      <c r="C400" s="8" t="s">
        <v>77</v>
      </c>
      <c r="D400" s="8" t="s">
        <v>1544</v>
      </c>
      <c r="E400" s="8" t="s">
        <v>1848</v>
      </c>
      <c r="F400" s="8"/>
    </row>
    <row r="401" spans="1:6" x14ac:dyDescent="0.25">
      <c r="A401" s="8" t="s">
        <v>1372</v>
      </c>
      <c r="B401" s="8" t="s">
        <v>1700</v>
      </c>
      <c r="C401" s="8"/>
      <c r="D401" s="8" t="s">
        <v>192</v>
      </c>
      <c r="E401" s="8" t="s">
        <v>1847</v>
      </c>
      <c r="F401" s="8"/>
    </row>
    <row r="402" spans="1:6" x14ac:dyDescent="0.25">
      <c r="A402" s="8" t="s">
        <v>1377</v>
      </c>
      <c r="B402" s="8" t="s">
        <v>1697</v>
      </c>
      <c r="C402" s="8" t="s">
        <v>1378</v>
      </c>
      <c r="D402" s="8" t="s">
        <v>1861</v>
      </c>
      <c r="E402" s="8" t="s">
        <v>1848</v>
      </c>
      <c r="F402" s="8"/>
    </row>
    <row r="403" spans="1:6" x14ac:dyDescent="0.25">
      <c r="A403" s="8" t="s">
        <v>1377</v>
      </c>
      <c r="B403" s="8" t="s">
        <v>1700</v>
      </c>
      <c r="C403" s="8"/>
      <c r="D403" s="8" t="s">
        <v>49</v>
      </c>
      <c r="E403" s="8" t="s">
        <v>1847</v>
      </c>
      <c r="F403" s="8"/>
    </row>
    <row r="404" spans="1:6" x14ac:dyDescent="0.25">
      <c r="A404" s="8" t="s">
        <v>1381</v>
      </c>
      <c r="B404" s="8" t="s">
        <v>1687</v>
      </c>
      <c r="C404" s="8"/>
      <c r="D404" s="8" t="s">
        <v>76</v>
      </c>
      <c r="E404" s="8" t="s">
        <v>1847</v>
      </c>
      <c r="F404" s="8"/>
    </row>
    <row r="405" spans="1:6" x14ac:dyDescent="0.25">
      <c r="A405" s="8" t="s">
        <v>1381</v>
      </c>
      <c r="B405" s="8" t="s">
        <v>1694</v>
      </c>
      <c r="C405" s="8"/>
      <c r="D405" s="8" t="s">
        <v>57</v>
      </c>
      <c r="E405" s="8" t="s">
        <v>1847</v>
      </c>
      <c r="F405" s="8"/>
    </row>
    <row r="406" spans="1:6" x14ac:dyDescent="0.25">
      <c r="A406" s="8" t="s">
        <v>1381</v>
      </c>
      <c r="B406" s="8" t="s">
        <v>1700</v>
      </c>
      <c r="C406" s="8"/>
      <c r="D406" s="8" t="s">
        <v>78</v>
      </c>
      <c r="E406" s="8" t="s">
        <v>1847</v>
      </c>
      <c r="F406" s="8"/>
    </row>
    <row r="407" spans="1:6" x14ac:dyDescent="0.25">
      <c r="A407" s="8" t="s">
        <v>1385</v>
      </c>
      <c r="B407" s="8" t="s">
        <v>1694</v>
      </c>
      <c r="C407" s="8"/>
      <c r="D407" s="8" t="s">
        <v>47</v>
      </c>
      <c r="E407" s="8" t="s">
        <v>1847</v>
      </c>
      <c r="F407" s="8"/>
    </row>
    <row r="408" spans="1:6" x14ac:dyDescent="0.25">
      <c r="A408" s="8" t="s">
        <v>1386</v>
      </c>
      <c r="B408" s="8" t="s">
        <v>1694</v>
      </c>
      <c r="C408" s="8"/>
      <c r="D408" s="8" t="s">
        <v>47</v>
      </c>
      <c r="E408" s="8" t="s">
        <v>1847</v>
      </c>
      <c r="F408" s="8"/>
    </row>
    <row r="409" spans="1:6" x14ac:dyDescent="0.25">
      <c r="A409" s="8" t="s">
        <v>1389</v>
      </c>
      <c r="B409" s="8" t="s">
        <v>1687</v>
      </c>
      <c r="C409" s="8"/>
      <c r="D409" s="8" t="s">
        <v>44</v>
      </c>
      <c r="E409" s="8" t="s">
        <v>1847</v>
      </c>
      <c r="F409" s="8"/>
    </row>
    <row r="410" spans="1:6" x14ac:dyDescent="0.25">
      <c r="A410" s="8" t="s">
        <v>1389</v>
      </c>
      <c r="B410" s="8" t="s">
        <v>1694</v>
      </c>
      <c r="C410" s="8"/>
      <c r="D410" s="8" t="s">
        <v>47</v>
      </c>
      <c r="E410" s="8" t="s">
        <v>1847</v>
      </c>
      <c r="F410" s="8"/>
    </row>
    <row r="411" spans="1:6" x14ac:dyDescent="0.25">
      <c r="A411" s="8" t="s">
        <v>1389</v>
      </c>
      <c r="B411" s="8" t="s">
        <v>1700</v>
      </c>
      <c r="C411" s="8"/>
      <c r="D411" s="8" t="s">
        <v>91</v>
      </c>
      <c r="E411" s="8" t="s">
        <v>1847</v>
      </c>
      <c r="F411" s="8"/>
    </row>
    <row r="412" spans="1:6" x14ac:dyDescent="0.25">
      <c r="A412" s="8" t="s">
        <v>1391</v>
      </c>
      <c r="B412" s="8" t="s">
        <v>1700</v>
      </c>
      <c r="C412" s="8"/>
      <c r="D412" s="8" t="s">
        <v>49</v>
      </c>
      <c r="E412" s="8" t="s">
        <v>1847</v>
      </c>
      <c r="F412" s="8"/>
    </row>
    <row r="413" spans="1:6" x14ac:dyDescent="0.25">
      <c r="A413" s="8" t="s">
        <v>1395</v>
      </c>
      <c r="B413" s="8" t="s">
        <v>1694</v>
      </c>
      <c r="C413" s="8"/>
      <c r="D413" s="8" t="s">
        <v>57</v>
      </c>
      <c r="E413" s="8" t="s">
        <v>1847</v>
      </c>
      <c r="F413" s="8"/>
    </row>
    <row r="414" spans="1:6" x14ac:dyDescent="0.25">
      <c r="A414" s="8" t="s">
        <v>1395</v>
      </c>
      <c r="B414" s="8" t="s">
        <v>1697</v>
      </c>
      <c r="C414" s="8" t="s">
        <v>1133</v>
      </c>
      <c r="D414" s="8" t="s">
        <v>664</v>
      </c>
      <c r="E414" s="8" t="s">
        <v>1848</v>
      </c>
      <c r="F414" s="8"/>
    </row>
    <row r="415" spans="1:6" x14ac:dyDescent="0.25">
      <c r="A415" s="8" t="s">
        <v>1395</v>
      </c>
      <c r="B415" s="8" t="s">
        <v>1700</v>
      </c>
      <c r="C415" s="8" t="s">
        <v>119</v>
      </c>
      <c r="D415" s="8" t="s">
        <v>91</v>
      </c>
      <c r="E415" s="8" t="s">
        <v>1848</v>
      </c>
      <c r="F415" s="8"/>
    </row>
    <row r="416" spans="1:6" x14ac:dyDescent="0.25">
      <c r="A416" s="8" t="s">
        <v>1399</v>
      </c>
      <c r="B416" s="8" t="s">
        <v>1687</v>
      </c>
      <c r="C416" s="8"/>
      <c r="D416" s="8" t="s">
        <v>76</v>
      </c>
      <c r="E416" s="8" t="s">
        <v>1847</v>
      </c>
      <c r="F416" s="8"/>
    </row>
    <row r="417" spans="1:6" x14ac:dyDescent="0.25">
      <c r="A417" s="8" t="s">
        <v>1399</v>
      </c>
      <c r="B417" s="8" t="s">
        <v>1700</v>
      </c>
      <c r="C417" s="8"/>
      <c r="D417" s="8" t="s">
        <v>91</v>
      </c>
      <c r="E417" s="8" t="s">
        <v>1847</v>
      </c>
      <c r="F417" s="8"/>
    </row>
    <row r="418" spans="1:6" x14ac:dyDescent="0.25">
      <c r="A418" s="8" t="s">
        <v>1401</v>
      </c>
      <c r="B418" s="8" t="s">
        <v>1694</v>
      </c>
      <c r="C418" s="8"/>
      <c r="D418" s="8" t="s">
        <v>57</v>
      </c>
      <c r="E418" s="8" t="s">
        <v>1847</v>
      </c>
      <c r="F418" s="8"/>
    </row>
    <row r="419" spans="1:6" x14ac:dyDescent="0.25">
      <c r="A419" s="8" t="s">
        <v>1405</v>
      </c>
      <c r="B419" s="8" t="s">
        <v>1694</v>
      </c>
      <c r="C419" s="8"/>
      <c r="D419" s="8" t="s">
        <v>47</v>
      </c>
      <c r="E419" s="8" t="s">
        <v>1847</v>
      </c>
      <c r="F419" s="8"/>
    </row>
    <row r="420" spans="1:6" x14ac:dyDescent="0.25">
      <c r="A420" s="8" t="s">
        <v>1406</v>
      </c>
      <c r="B420" s="8" t="s">
        <v>1687</v>
      </c>
      <c r="C420" s="8"/>
      <c r="D420" s="8" t="s">
        <v>44</v>
      </c>
      <c r="E420" s="8" t="s">
        <v>1847</v>
      </c>
      <c r="F420" s="8"/>
    </row>
    <row r="421" spans="1:6" x14ac:dyDescent="0.25">
      <c r="A421" s="8" t="s">
        <v>1406</v>
      </c>
      <c r="B421" s="8" t="s">
        <v>1694</v>
      </c>
      <c r="C421" s="8"/>
      <c r="D421" s="8" t="s">
        <v>57</v>
      </c>
      <c r="E421" s="8" t="s">
        <v>1847</v>
      </c>
      <c r="F421" s="8"/>
    </row>
    <row r="422" spans="1:6" x14ac:dyDescent="0.25">
      <c r="A422" s="8" t="s">
        <v>1409</v>
      </c>
      <c r="B422" s="8" t="s">
        <v>1687</v>
      </c>
      <c r="C422" s="8"/>
      <c r="D422" s="8" t="s">
        <v>44</v>
      </c>
      <c r="E422" s="8" t="s">
        <v>1847</v>
      </c>
      <c r="F422" s="8"/>
    </row>
    <row r="423" spans="1:6" x14ac:dyDescent="0.25">
      <c r="A423" s="8" t="s">
        <v>1409</v>
      </c>
      <c r="B423" s="8" t="s">
        <v>1694</v>
      </c>
      <c r="C423" s="8"/>
      <c r="D423" s="8" t="s">
        <v>47</v>
      </c>
      <c r="E423" s="8" t="s">
        <v>1847</v>
      </c>
      <c r="F423" s="8"/>
    </row>
    <row r="424" spans="1:6" x14ac:dyDescent="0.25">
      <c r="A424" s="8" t="s">
        <v>1409</v>
      </c>
      <c r="B424" s="8" t="s">
        <v>1700</v>
      </c>
      <c r="C424" s="8"/>
      <c r="D424" s="8" t="s">
        <v>91</v>
      </c>
      <c r="E424" s="8" t="s">
        <v>1847</v>
      </c>
      <c r="F424" s="8"/>
    </row>
    <row r="425" spans="1:6" x14ac:dyDescent="0.25">
      <c r="A425" s="8" t="s">
        <v>1417</v>
      </c>
      <c r="B425" s="8" t="s">
        <v>1687</v>
      </c>
      <c r="C425" s="8"/>
      <c r="D425" s="8" t="s">
        <v>76</v>
      </c>
      <c r="E425" s="8" t="s">
        <v>1847</v>
      </c>
      <c r="F425" s="8"/>
    </row>
    <row r="426" spans="1:6" x14ac:dyDescent="0.25">
      <c r="A426" s="8" t="s">
        <v>1417</v>
      </c>
      <c r="B426" s="8" t="s">
        <v>1700</v>
      </c>
      <c r="C426" s="8"/>
      <c r="D426" s="8" t="s">
        <v>91</v>
      </c>
      <c r="E426" s="8" t="s">
        <v>1847</v>
      </c>
      <c r="F426" s="8"/>
    </row>
    <row r="427" spans="1:6" x14ac:dyDescent="0.25">
      <c r="A427" s="8" t="s">
        <v>1424</v>
      </c>
      <c r="B427" s="8" t="s">
        <v>1687</v>
      </c>
      <c r="C427" s="8"/>
      <c r="D427" s="8" t="s">
        <v>76</v>
      </c>
      <c r="E427" s="8" t="s">
        <v>1847</v>
      </c>
      <c r="F427" s="8"/>
    </row>
    <row r="428" spans="1:6" x14ac:dyDescent="0.25">
      <c r="A428" s="8" t="s">
        <v>1424</v>
      </c>
      <c r="B428" s="8" t="s">
        <v>1697</v>
      </c>
      <c r="C428" s="8"/>
      <c r="D428" s="8" t="s">
        <v>77</v>
      </c>
      <c r="E428" s="8" t="s">
        <v>1847</v>
      </c>
      <c r="F428" s="8"/>
    </row>
    <row r="429" spans="1:6" x14ac:dyDescent="0.25">
      <c r="A429" s="8" t="s">
        <v>1424</v>
      </c>
      <c r="B429" s="8" t="s">
        <v>1700</v>
      </c>
      <c r="C429" s="8"/>
      <c r="D429" s="8" t="s">
        <v>71</v>
      </c>
      <c r="E429" s="8" t="s">
        <v>1847</v>
      </c>
      <c r="F429" s="8"/>
    </row>
    <row r="430" spans="1:6" x14ac:dyDescent="0.25">
      <c r="A430" s="8" t="s">
        <v>1427</v>
      </c>
      <c r="B430" s="8" t="s">
        <v>1700</v>
      </c>
      <c r="C430" s="8" t="s">
        <v>192</v>
      </c>
      <c r="D430" s="8" t="s">
        <v>72</v>
      </c>
      <c r="E430" s="8" t="s">
        <v>1848</v>
      </c>
      <c r="F430" s="8"/>
    </row>
    <row r="431" spans="1:6" x14ac:dyDescent="0.25">
      <c r="A431" s="8" t="s">
        <v>1432</v>
      </c>
      <c r="B431" s="8" t="s">
        <v>1687</v>
      </c>
      <c r="C431" s="8"/>
      <c r="D431" s="8" t="s">
        <v>44</v>
      </c>
      <c r="E431" s="8" t="s">
        <v>1847</v>
      </c>
      <c r="F431" s="8"/>
    </row>
    <row r="432" spans="1:6" x14ac:dyDescent="0.25">
      <c r="A432" s="8" t="s">
        <v>1449</v>
      </c>
      <c r="B432" s="8" t="s">
        <v>1687</v>
      </c>
      <c r="C432" s="8"/>
      <c r="D432" s="8" t="s">
        <v>76</v>
      </c>
      <c r="E432" s="8" t="s">
        <v>1847</v>
      </c>
      <c r="F432" s="8" t="s">
        <v>1855</v>
      </c>
    </row>
    <row r="433" spans="1:6" x14ac:dyDescent="0.25">
      <c r="A433" s="8" t="s">
        <v>1449</v>
      </c>
      <c r="B433" s="8" t="s">
        <v>1697</v>
      </c>
      <c r="C433" s="8" t="s">
        <v>1454</v>
      </c>
      <c r="D433" s="8" t="s">
        <v>272</v>
      </c>
      <c r="E433" s="8" t="s">
        <v>1849</v>
      </c>
      <c r="F433" s="8"/>
    </row>
    <row r="434" spans="1:6" x14ac:dyDescent="0.25">
      <c r="A434" s="8" t="s">
        <v>1456</v>
      </c>
      <c r="B434" s="8" t="s">
        <v>1697</v>
      </c>
      <c r="C434" s="8" t="s">
        <v>58</v>
      </c>
      <c r="D434" s="8" t="s">
        <v>285</v>
      </c>
      <c r="E434" s="8" t="s">
        <v>1848</v>
      </c>
      <c r="F434" s="8"/>
    </row>
    <row r="435" spans="1:6" x14ac:dyDescent="0.25">
      <c r="A435" s="8" t="s">
        <v>1483</v>
      </c>
      <c r="B435" s="8" t="s">
        <v>1687</v>
      </c>
      <c r="C435" s="8"/>
      <c r="D435" s="8" t="s">
        <v>76</v>
      </c>
      <c r="E435" s="8" t="s">
        <v>1847</v>
      </c>
      <c r="F435" s="8"/>
    </row>
    <row r="436" spans="1:6" x14ac:dyDescent="0.25">
      <c r="A436" s="8" t="s">
        <v>1484</v>
      </c>
      <c r="B436" s="8" t="s">
        <v>1687</v>
      </c>
      <c r="C436" s="8"/>
      <c r="D436" s="8" t="s">
        <v>44</v>
      </c>
      <c r="E436" s="8" t="s">
        <v>1847</v>
      </c>
      <c r="F436" s="8"/>
    </row>
    <row r="437" spans="1:6" x14ac:dyDescent="0.25">
      <c r="A437" s="8" t="s">
        <v>1484</v>
      </c>
      <c r="B437" s="8" t="s">
        <v>1700</v>
      </c>
      <c r="C437" s="8"/>
      <c r="D437" s="8" t="s">
        <v>119</v>
      </c>
      <c r="E437" s="8" t="s">
        <v>1847</v>
      </c>
      <c r="F437" s="8"/>
    </row>
    <row r="438" spans="1:6" x14ac:dyDescent="0.25">
      <c r="A438" s="8" t="s">
        <v>1491</v>
      </c>
      <c r="B438" s="8" t="s">
        <v>1687</v>
      </c>
      <c r="C438" s="8"/>
      <c r="D438" s="8" t="s">
        <v>44</v>
      </c>
      <c r="E438" s="8" t="s">
        <v>1847</v>
      </c>
      <c r="F438" s="8"/>
    </row>
    <row r="439" spans="1:6" x14ac:dyDescent="0.25">
      <c r="A439" s="8" t="s">
        <v>1491</v>
      </c>
      <c r="B439" s="8" t="s">
        <v>1700</v>
      </c>
      <c r="C439" s="8"/>
      <c r="D439" s="8" t="s">
        <v>192</v>
      </c>
      <c r="E439" s="8" t="s">
        <v>1847</v>
      </c>
      <c r="F439" s="8"/>
    </row>
    <row r="440" spans="1:6" x14ac:dyDescent="0.25">
      <c r="A440" s="8" t="s">
        <v>1494</v>
      </c>
      <c r="B440" s="8" t="s">
        <v>1687</v>
      </c>
      <c r="C440" s="8"/>
      <c r="D440" s="8" t="s">
        <v>44</v>
      </c>
      <c r="E440" s="8" t="s">
        <v>1847</v>
      </c>
      <c r="F440" s="8"/>
    </row>
    <row r="441" spans="1:6" x14ac:dyDescent="0.25">
      <c r="A441" s="8" t="s">
        <v>1494</v>
      </c>
      <c r="B441" s="8" t="s">
        <v>1694</v>
      </c>
      <c r="C441" s="8"/>
      <c r="D441" s="8" t="s">
        <v>57</v>
      </c>
      <c r="E441" s="8" t="s">
        <v>1847</v>
      </c>
      <c r="F441" s="8"/>
    </row>
    <row r="442" spans="1:6" x14ac:dyDescent="0.25">
      <c r="A442" s="8" t="s">
        <v>1496</v>
      </c>
      <c r="B442" s="8" t="s">
        <v>1687</v>
      </c>
      <c r="C442" s="8"/>
      <c r="D442" s="8" t="s">
        <v>76</v>
      </c>
      <c r="E442" s="8" t="s">
        <v>1847</v>
      </c>
      <c r="F442" s="8"/>
    </row>
    <row r="443" spans="1:6" x14ac:dyDescent="0.25">
      <c r="A443" s="8" t="s">
        <v>1496</v>
      </c>
      <c r="B443" s="8" t="s">
        <v>1697</v>
      </c>
      <c r="C443" s="8" t="s">
        <v>115</v>
      </c>
      <c r="D443" s="8" t="s">
        <v>77</v>
      </c>
      <c r="E443" s="8" t="s">
        <v>1849</v>
      </c>
      <c r="F443" s="8"/>
    </row>
    <row r="444" spans="1:6" x14ac:dyDescent="0.25">
      <c r="A444" s="8" t="s">
        <v>1498</v>
      </c>
      <c r="B444" s="8" t="s">
        <v>1694</v>
      </c>
      <c r="C444" s="8"/>
      <c r="D444" s="8" t="s">
        <v>47</v>
      </c>
      <c r="E444" s="8" t="s">
        <v>1847</v>
      </c>
      <c r="F444" s="8"/>
    </row>
    <row r="445" spans="1:6" x14ac:dyDescent="0.25">
      <c r="A445" s="8" t="s">
        <v>1504</v>
      </c>
      <c r="B445" s="8" t="s">
        <v>1687</v>
      </c>
      <c r="C445" s="8"/>
      <c r="D445" s="8" t="s">
        <v>44</v>
      </c>
      <c r="E445" s="8" t="s">
        <v>1847</v>
      </c>
      <c r="F445" s="8"/>
    </row>
    <row r="446" spans="1:6" x14ac:dyDescent="0.25">
      <c r="A446" s="8" t="s">
        <v>1505</v>
      </c>
      <c r="B446" s="8" t="s">
        <v>1687</v>
      </c>
      <c r="C446" s="8"/>
      <c r="D446" s="8" t="s">
        <v>44</v>
      </c>
      <c r="E446" s="8" t="s">
        <v>1847</v>
      </c>
      <c r="F446" s="8" t="s">
        <v>1855</v>
      </c>
    </row>
    <row r="447" spans="1:6" x14ac:dyDescent="0.25">
      <c r="A447" s="8" t="s">
        <v>1505</v>
      </c>
      <c r="B447" s="8" t="s">
        <v>1697</v>
      </c>
      <c r="C447" s="8" t="s">
        <v>647</v>
      </c>
      <c r="D447" s="8" t="s">
        <v>83</v>
      </c>
      <c r="E447" s="8" t="s">
        <v>1848</v>
      </c>
      <c r="F447" s="8"/>
    </row>
    <row r="448" spans="1:6" x14ac:dyDescent="0.25">
      <c r="A448" s="8" t="s">
        <v>1505</v>
      </c>
      <c r="B448" s="8" t="s">
        <v>1700</v>
      </c>
      <c r="C448" s="8"/>
      <c r="D448" s="8" t="s">
        <v>192</v>
      </c>
      <c r="E448" s="8" t="s">
        <v>1847</v>
      </c>
      <c r="F448" s="8"/>
    </row>
    <row r="449" spans="1:6" x14ac:dyDescent="0.25">
      <c r="A449" s="8" t="s">
        <v>1508</v>
      </c>
      <c r="B449" s="8" t="s">
        <v>1687</v>
      </c>
      <c r="C449" s="8"/>
      <c r="D449" s="8" t="s">
        <v>76</v>
      </c>
      <c r="E449" s="8" t="s">
        <v>1847</v>
      </c>
      <c r="F449" s="8"/>
    </row>
    <row r="450" spans="1:6" x14ac:dyDescent="0.25">
      <c r="A450" s="8" t="s">
        <v>1508</v>
      </c>
      <c r="B450" s="8" t="s">
        <v>1694</v>
      </c>
      <c r="C450" s="8"/>
      <c r="D450" s="8" t="s">
        <v>47</v>
      </c>
      <c r="E450" s="8" t="s">
        <v>1847</v>
      </c>
      <c r="F450" s="8"/>
    </row>
    <row r="451" spans="1:6" x14ac:dyDescent="0.25">
      <c r="A451" s="8" t="s">
        <v>1513</v>
      </c>
      <c r="B451" s="8" t="s">
        <v>1687</v>
      </c>
      <c r="C451" s="8"/>
      <c r="D451" s="8" t="s">
        <v>44</v>
      </c>
      <c r="E451" s="8" t="s">
        <v>1847</v>
      </c>
      <c r="F451" s="8"/>
    </row>
    <row r="452" spans="1:6" x14ac:dyDescent="0.25">
      <c r="A452" s="8" t="s">
        <v>1516</v>
      </c>
      <c r="B452" s="8" t="s">
        <v>1687</v>
      </c>
      <c r="C452" s="8"/>
      <c r="D452" s="8" t="s">
        <v>44</v>
      </c>
      <c r="E452" s="8" t="s">
        <v>1847</v>
      </c>
      <c r="F452" s="8"/>
    </row>
    <row r="453" spans="1:6" x14ac:dyDescent="0.25">
      <c r="A453" s="8" t="s">
        <v>1516</v>
      </c>
      <c r="B453" s="8" t="s">
        <v>1697</v>
      </c>
      <c r="C453" s="8" t="s">
        <v>96</v>
      </c>
      <c r="D453" s="8" t="s">
        <v>1137</v>
      </c>
      <c r="E453" s="8" t="s">
        <v>1848</v>
      </c>
      <c r="F453" s="8"/>
    </row>
    <row r="454" spans="1:6" x14ac:dyDescent="0.25">
      <c r="A454" s="8" t="s">
        <v>1516</v>
      </c>
      <c r="B454" s="8" t="s">
        <v>1700</v>
      </c>
      <c r="C454" s="8"/>
      <c r="D454" s="8" t="s">
        <v>91</v>
      </c>
      <c r="E454" s="8" t="s">
        <v>1847</v>
      </c>
      <c r="F454" s="8"/>
    </row>
    <row r="455" spans="1:6" x14ac:dyDescent="0.25">
      <c r="A455" s="8" t="s">
        <v>1521</v>
      </c>
      <c r="B455" s="8" t="s">
        <v>1687</v>
      </c>
      <c r="C455" s="8"/>
      <c r="D455" s="8" t="s">
        <v>76</v>
      </c>
      <c r="E455" s="8" t="s">
        <v>1847</v>
      </c>
      <c r="F455" s="8"/>
    </row>
    <row r="456" spans="1:6" x14ac:dyDescent="0.25">
      <c r="A456" s="8" t="s">
        <v>1524</v>
      </c>
      <c r="B456" s="8" t="s">
        <v>1687</v>
      </c>
      <c r="C456" s="8"/>
      <c r="D456" s="8" t="s">
        <v>44</v>
      </c>
      <c r="E456" s="8" t="s">
        <v>1847</v>
      </c>
      <c r="F456" s="8"/>
    </row>
    <row r="457" spans="1:6" x14ac:dyDescent="0.25">
      <c r="A457" s="8" t="s">
        <v>1524</v>
      </c>
      <c r="B457" s="8" t="s">
        <v>1694</v>
      </c>
      <c r="C457" s="8"/>
      <c r="D457" s="8" t="s">
        <v>47</v>
      </c>
      <c r="E457" s="8" t="s">
        <v>1847</v>
      </c>
      <c r="F457" s="8"/>
    </row>
    <row r="458" spans="1:6" x14ac:dyDescent="0.25">
      <c r="A458" s="8" t="s">
        <v>1529</v>
      </c>
      <c r="B458" s="8" t="s">
        <v>21</v>
      </c>
      <c r="C458" s="8" t="s">
        <v>45</v>
      </c>
      <c r="D458" s="8" t="s">
        <v>332</v>
      </c>
      <c r="E458" s="8" t="s">
        <v>1854</v>
      </c>
      <c r="F458" s="8"/>
    </row>
    <row r="459" spans="1:6" x14ac:dyDescent="0.25">
      <c r="A459" s="8" t="s">
        <v>1533</v>
      </c>
      <c r="B459" s="8" t="s">
        <v>1687</v>
      </c>
      <c r="C459" s="8"/>
      <c r="D459" s="8" t="s">
        <v>44</v>
      </c>
      <c r="E459" s="8" t="s">
        <v>1847</v>
      </c>
      <c r="F459" s="8"/>
    </row>
    <row r="460" spans="1:6" x14ac:dyDescent="0.25">
      <c r="A460" s="8" t="s">
        <v>1533</v>
      </c>
      <c r="B460" s="8" t="s">
        <v>1694</v>
      </c>
      <c r="C460" s="8"/>
      <c r="D460" s="8" t="s">
        <v>57</v>
      </c>
      <c r="E460" s="8" t="s">
        <v>1847</v>
      </c>
      <c r="F460" s="8"/>
    </row>
    <row r="461" spans="1:6" x14ac:dyDescent="0.25">
      <c r="A461" s="8" t="s">
        <v>1533</v>
      </c>
      <c r="B461" s="8" t="s">
        <v>1700</v>
      </c>
      <c r="C461" s="8" t="s">
        <v>119</v>
      </c>
      <c r="D461" s="8" t="s">
        <v>91</v>
      </c>
      <c r="E461" s="8" t="s">
        <v>1848</v>
      </c>
      <c r="F461" s="8"/>
    </row>
    <row r="462" spans="1:6" x14ac:dyDescent="0.25">
      <c r="A462" s="8" t="s">
        <v>1540</v>
      </c>
      <c r="B462" s="8" t="s">
        <v>1687</v>
      </c>
      <c r="C462" s="8"/>
      <c r="D462" s="8" t="s">
        <v>44</v>
      </c>
      <c r="E462" s="8" t="s">
        <v>1847</v>
      </c>
      <c r="F462" s="8"/>
    </row>
    <row r="463" spans="1:6" x14ac:dyDescent="0.25">
      <c r="A463" s="8" t="s">
        <v>1378</v>
      </c>
      <c r="B463" s="8" t="s">
        <v>1687</v>
      </c>
      <c r="C463" s="8"/>
      <c r="D463" s="8" t="s">
        <v>44</v>
      </c>
      <c r="E463" s="8" t="s">
        <v>1847</v>
      </c>
      <c r="F463" s="8"/>
    </row>
    <row r="464" spans="1:6" x14ac:dyDescent="0.25">
      <c r="A464" s="8" t="s">
        <v>1378</v>
      </c>
      <c r="B464" s="8" t="s">
        <v>1697</v>
      </c>
      <c r="C464" s="8"/>
      <c r="D464" s="8" t="s">
        <v>1544</v>
      </c>
      <c r="E464" s="8" t="s">
        <v>1847</v>
      </c>
      <c r="F464" s="8"/>
    </row>
    <row r="465" spans="1:6" x14ac:dyDescent="0.25">
      <c r="A465" s="8" t="s">
        <v>1378</v>
      </c>
      <c r="B465" s="8" t="s">
        <v>1700</v>
      </c>
      <c r="C465" s="8"/>
      <c r="D465" s="8" t="s">
        <v>192</v>
      </c>
      <c r="E465" s="8" t="s">
        <v>1847</v>
      </c>
      <c r="F465" s="8"/>
    </row>
    <row r="466" spans="1:6" x14ac:dyDescent="0.25">
      <c r="A466" s="8" t="s">
        <v>1547</v>
      </c>
      <c r="B466" s="8" t="s">
        <v>1697</v>
      </c>
      <c r="C466" s="8" t="s">
        <v>83</v>
      </c>
      <c r="D466" s="8" t="s">
        <v>77</v>
      </c>
      <c r="E466" s="8" t="s">
        <v>1848</v>
      </c>
      <c r="F466" s="8"/>
    </row>
    <row r="467" spans="1:6" x14ac:dyDescent="0.25">
      <c r="A467" s="8" t="s">
        <v>1560</v>
      </c>
      <c r="B467" s="8" t="s">
        <v>1687</v>
      </c>
      <c r="C467" s="8"/>
      <c r="D467" s="8" t="s">
        <v>76</v>
      </c>
      <c r="E467" s="8" t="s">
        <v>1847</v>
      </c>
      <c r="F467" s="8"/>
    </row>
    <row r="468" spans="1:6" x14ac:dyDescent="0.25">
      <c r="A468" s="8" t="s">
        <v>1560</v>
      </c>
      <c r="B468" s="8" t="s">
        <v>1700</v>
      </c>
      <c r="C468" s="8"/>
      <c r="D468" s="8" t="s">
        <v>192</v>
      </c>
      <c r="E468" s="8" t="s">
        <v>1847</v>
      </c>
      <c r="F468" s="8"/>
    </row>
    <row r="469" spans="1:6" x14ac:dyDescent="0.25">
      <c r="A469" s="8" t="s">
        <v>1567</v>
      </c>
      <c r="B469" s="8" t="s">
        <v>1687</v>
      </c>
      <c r="C469" s="8"/>
      <c r="D469" s="8" t="s">
        <v>44</v>
      </c>
      <c r="E469" s="8" t="s">
        <v>1847</v>
      </c>
      <c r="F469" s="8"/>
    </row>
    <row r="470" spans="1:6" x14ac:dyDescent="0.25">
      <c r="A470" s="8" t="s">
        <v>1567</v>
      </c>
      <c r="B470" s="8" t="s">
        <v>1700</v>
      </c>
      <c r="C470" s="8"/>
      <c r="D470" s="8" t="s">
        <v>91</v>
      </c>
      <c r="E470" s="8" t="s">
        <v>1847</v>
      </c>
      <c r="F470" s="8"/>
    </row>
    <row r="471" spans="1:6" x14ac:dyDescent="0.25">
      <c r="A471" s="8" t="s">
        <v>1574</v>
      </c>
      <c r="B471" s="8" t="s">
        <v>1687</v>
      </c>
      <c r="C471" s="8"/>
      <c r="D471" s="8" t="s">
        <v>44</v>
      </c>
      <c r="E471" s="8" t="s">
        <v>1847</v>
      </c>
      <c r="F471" s="8"/>
    </row>
    <row r="472" spans="1:6" x14ac:dyDescent="0.25">
      <c r="A472" s="8" t="s">
        <v>1579</v>
      </c>
      <c r="B472" s="8" t="s">
        <v>1687</v>
      </c>
      <c r="C472" s="8"/>
      <c r="D472" s="8" t="s">
        <v>44</v>
      </c>
      <c r="E472" s="8" t="s">
        <v>1847</v>
      </c>
      <c r="F472" s="8"/>
    </row>
    <row r="473" spans="1:6" x14ac:dyDescent="0.25">
      <c r="A473" s="8" t="s">
        <v>1596</v>
      </c>
      <c r="B473" s="8" t="s">
        <v>1687</v>
      </c>
      <c r="C473" s="8"/>
      <c r="D473" s="8" t="s">
        <v>44</v>
      </c>
      <c r="E473" s="8" t="s">
        <v>1847</v>
      </c>
      <c r="F473" s="8"/>
    </row>
    <row r="474" spans="1:6" x14ac:dyDescent="0.25">
      <c r="A474" s="8" t="s">
        <v>1596</v>
      </c>
      <c r="B474" s="8" t="s">
        <v>1694</v>
      </c>
      <c r="C474" s="8"/>
      <c r="D474" s="8" t="s">
        <v>47</v>
      </c>
      <c r="E474" s="8" t="s">
        <v>1847</v>
      </c>
      <c r="F474" s="8"/>
    </row>
    <row r="475" spans="1:6" x14ac:dyDescent="0.25">
      <c r="A475" s="8" t="s">
        <v>1596</v>
      </c>
      <c r="B475" s="8" t="s">
        <v>1700</v>
      </c>
      <c r="C475" s="8"/>
      <c r="D475" s="8" t="s">
        <v>72</v>
      </c>
      <c r="E475" s="8" t="s">
        <v>1847</v>
      </c>
      <c r="F475" s="8"/>
    </row>
    <row r="476" spans="1:6" x14ac:dyDescent="0.25">
      <c r="A476" s="8" t="s">
        <v>1602</v>
      </c>
      <c r="B476" s="8" t="s">
        <v>1694</v>
      </c>
      <c r="C476" s="8"/>
      <c r="D476" s="8" t="s">
        <v>47</v>
      </c>
      <c r="E476" s="8" t="s">
        <v>1847</v>
      </c>
      <c r="F476" s="8"/>
    </row>
    <row r="477" spans="1:6" x14ac:dyDescent="0.25">
      <c r="A477" s="8" t="s">
        <v>1608</v>
      </c>
      <c r="B477" s="8" t="s">
        <v>1687</v>
      </c>
      <c r="C477" s="8"/>
      <c r="D477" s="8" t="s">
        <v>76</v>
      </c>
      <c r="E477" s="8" t="s">
        <v>1847</v>
      </c>
      <c r="F477" s="8"/>
    </row>
    <row r="478" spans="1:6" x14ac:dyDescent="0.25">
      <c r="A478" s="8" t="s">
        <v>1608</v>
      </c>
      <c r="B478" s="8" t="s">
        <v>1700</v>
      </c>
      <c r="C478" s="8"/>
      <c r="D478" s="8" t="s">
        <v>192</v>
      </c>
      <c r="E478" s="8" t="s">
        <v>1847</v>
      </c>
      <c r="F478" s="8"/>
    </row>
    <row r="479" spans="1:6" x14ac:dyDescent="0.25">
      <c r="A479" s="8" t="s">
        <v>1610</v>
      </c>
      <c r="B479" s="8" t="s">
        <v>1687</v>
      </c>
      <c r="C479" s="8"/>
      <c r="D479" s="8" t="s">
        <v>76</v>
      </c>
      <c r="E479" s="8" t="s">
        <v>1847</v>
      </c>
      <c r="F479" s="8"/>
    </row>
    <row r="480" spans="1:6" x14ac:dyDescent="0.25">
      <c r="A480" s="8" t="s">
        <v>1610</v>
      </c>
      <c r="B480" s="8" t="s">
        <v>1694</v>
      </c>
      <c r="C480" s="8"/>
      <c r="D480" s="8" t="s">
        <v>57</v>
      </c>
      <c r="E480" s="8" t="s">
        <v>1847</v>
      </c>
      <c r="F480" s="8"/>
    </row>
    <row r="481" spans="1:6" x14ac:dyDescent="0.25">
      <c r="A481" s="8" t="s">
        <v>1612</v>
      </c>
      <c r="B481" s="8" t="s">
        <v>1694</v>
      </c>
      <c r="C481" s="8"/>
      <c r="D481" s="8" t="s">
        <v>57</v>
      </c>
      <c r="E481" s="8" t="s">
        <v>1847</v>
      </c>
      <c r="F481" s="8"/>
    </row>
    <row r="482" spans="1:6" x14ac:dyDescent="0.25">
      <c r="A482" s="8" t="s">
        <v>1612</v>
      </c>
      <c r="B482" s="8" t="s">
        <v>1700</v>
      </c>
      <c r="C482" s="8" t="s">
        <v>192</v>
      </c>
      <c r="D482" s="8" t="s">
        <v>193</v>
      </c>
      <c r="E482" s="8" t="s">
        <v>1848</v>
      </c>
      <c r="F482" s="8"/>
    </row>
    <row r="483" spans="1:6" x14ac:dyDescent="0.25">
      <c r="A483" s="8" t="s">
        <v>762</v>
      </c>
      <c r="B483" s="8" t="s">
        <v>1697</v>
      </c>
      <c r="C483" s="8" t="s">
        <v>58</v>
      </c>
      <c r="D483" s="8" t="s">
        <v>1338</v>
      </c>
      <c r="E483" s="8" t="s">
        <v>1848</v>
      </c>
      <c r="F483" s="8"/>
    </row>
    <row r="484" spans="1:6" x14ac:dyDescent="0.25">
      <c r="A484" s="8" t="s">
        <v>1617</v>
      </c>
      <c r="B484" s="8" t="s">
        <v>1687</v>
      </c>
      <c r="C484" s="8"/>
      <c r="D484" s="8" t="s">
        <v>76</v>
      </c>
      <c r="E484" s="8" t="s">
        <v>1847</v>
      </c>
      <c r="F484" s="8"/>
    </row>
    <row r="485" spans="1:6" x14ac:dyDescent="0.25">
      <c r="A485" s="8" t="s">
        <v>1617</v>
      </c>
      <c r="B485" s="8" t="s">
        <v>1697</v>
      </c>
      <c r="C485" s="8" t="s">
        <v>77</v>
      </c>
      <c r="D485" s="8" t="s">
        <v>83</v>
      </c>
      <c r="E485" s="8" t="s">
        <v>1848</v>
      </c>
      <c r="F485" s="8"/>
    </row>
    <row r="486" spans="1:6" x14ac:dyDescent="0.25">
      <c r="A486" s="8" t="s">
        <v>1617</v>
      </c>
      <c r="B486" s="8" t="s">
        <v>1700</v>
      </c>
      <c r="C486" s="8"/>
      <c r="D486" s="8" t="s">
        <v>72</v>
      </c>
      <c r="E486" s="8" t="s">
        <v>1847</v>
      </c>
      <c r="F486" s="8"/>
    </row>
    <row r="487" spans="1:6" x14ac:dyDescent="0.25">
      <c r="A487" s="8" t="s">
        <v>1631</v>
      </c>
      <c r="B487" s="8" t="s">
        <v>1687</v>
      </c>
      <c r="C487" s="8"/>
      <c r="D487" s="8" t="s">
        <v>44</v>
      </c>
      <c r="E487" s="8" t="s">
        <v>1847</v>
      </c>
      <c r="F487" s="8"/>
    </row>
    <row r="488" spans="1:6" x14ac:dyDescent="0.25">
      <c r="A488" s="8" t="s">
        <v>1631</v>
      </c>
      <c r="B488" s="8" t="s">
        <v>1700</v>
      </c>
      <c r="C488" s="8"/>
      <c r="D488" s="8" t="s">
        <v>91</v>
      </c>
      <c r="E488" s="8" t="s">
        <v>1847</v>
      </c>
      <c r="F488" s="8"/>
    </row>
    <row r="489" spans="1:6" x14ac:dyDescent="0.25">
      <c r="A489" s="8" t="s">
        <v>1633</v>
      </c>
      <c r="B489" s="8" t="s">
        <v>1687</v>
      </c>
      <c r="C489" s="8"/>
      <c r="D489" s="8" t="s">
        <v>44</v>
      </c>
      <c r="E489" s="8" t="s">
        <v>1847</v>
      </c>
      <c r="F489" s="8"/>
    </row>
    <row r="490" spans="1:6" x14ac:dyDescent="0.25">
      <c r="A490" s="8" t="s">
        <v>1633</v>
      </c>
      <c r="B490" s="8" t="s">
        <v>1694</v>
      </c>
      <c r="C490" s="8"/>
      <c r="D490" s="8" t="s">
        <v>57</v>
      </c>
      <c r="E490" s="8" t="s">
        <v>1847</v>
      </c>
      <c r="F490" s="8"/>
    </row>
    <row r="491" spans="1:6" x14ac:dyDescent="0.25">
      <c r="A491" s="8" t="s">
        <v>1633</v>
      </c>
      <c r="B491" s="8" t="s">
        <v>1697</v>
      </c>
      <c r="C491" s="8" t="s">
        <v>96</v>
      </c>
      <c r="D491" s="8" t="s">
        <v>1137</v>
      </c>
      <c r="E491" s="8" t="s">
        <v>1848</v>
      </c>
      <c r="F491" s="8"/>
    </row>
    <row r="492" spans="1:6" x14ac:dyDescent="0.25">
      <c r="A492" s="8" t="s">
        <v>1633</v>
      </c>
      <c r="B492" s="8" t="s">
        <v>1700</v>
      </c>
      <c r="C492" s="8"/>
      <c r="D492" s="8" t="s">
        <v>133</v>
      </c>
      <c r="E492" s="8" t="s">
        <v>1847</v>
      </c>
      <c r="F492" s="8"/>
    </row>
    <row r="493" spans="1:6" x14ac:dyDescent="0.25">
      <c r="A493" s="8" t="s">
        <v>1635</v>
      </c>
      <c r="B493" s="8" t="s">
        <v>1687</v>
      </c>
      <c r="C493" s="8"/>
      <c r="D493" s="8" t="s">
        <v>76</v>
      </c>
      <c r="E493" s="8" t="s">
        <v>1847</v>
      </c>
      <c r="F493" s="8"/>
    </row>
    <row r="494" spans="1:6" x14ac:dyDescent="0.25">
      <c r="A494" s="8" t="s">
        <v>1640</v>
      </c>
      <c r="B494" s="8" t="s">
        <v>1697</v>
      </c>
      <c r="C494" s="8" t="s">
        <v>1644</v>
      </c>
      <c r="D494" s="8" t="s">
        <v>83</v>
      </c>
      <c r="E494" s="8" t="s">
        <v>1849</v>
      </c>
      <c r="F494" s="8"/>
    </row>
    <row r="495" spans="1:6" x14ac:dyDescent="0.25">
      <c r="A495" s="8" t="s">
        <v>1646</v>
      </c>
      <c r="B495" s="8" t="s">
        <v>1694</v>
      </c>
      <c r="C495" s="8"/>
      <c r="D495" s="8" t="s">
        <v>47</v>
      </c>
      <c r="E495" s="8" t="s">
        <v>1847</v>
      </c>
      <c r="F495" s="8"/>
    </row>
    <row r="496" spans="1:6" x14ac:dyDescent="0.25">
      <c r="A496" s="8" t="s">
        <v>1647</v>
      </c>
      <c r="B496" s="8" t="s">
        <v>1687</v>
      </c>
      <c r="C496" s="8"/>
      <c r="D496" s="8" t="s">
        <v>76</v>
      </c>
      <c r="E496" s="8" t="s">
        <v>1847</v>
      </c>
      <c r="F496" s="8"/>
    </row>
    <row r="497" spans="1:6" x14ac:dyDescent="0.25">
      <c r="A497" s="8" t="s">
        <v>1649</v>
      </c>
      <c r="B497" s="8" t="s">
        <v>1687</v>
      </c>
      <c r="C497" s="8"/>
      <c r="D497" s="8" t="s">
        <v>76</v>
      </c>
      <c r="E497" s="8" t="s">
        <v>1847</v>
      </c>
      <c r="F497" s="8"/>
    </row>
    <row r="498" spans="1:6" x14ac:dyDescent="0.25">
      <c r="A498" s="8" t="s">
        <v>1652</v>
      </c>
      <c r="B498" s="8" t="s">
        <v>1687</v>
      </c>
      <c r="C498" s="8"/>
      <c r="D498" s="8" t="s">
        <v>44</v>
      </c>
      <c r="E498" s="8" t="s">
        <v>1847</v>
      </c>
      <c r="F498" s="8"/>
    </row>
    <row r="499" spans="1:6" x14ac:dyDescent="0.25">
      <c r="A499" s="8" t="s">
        <v>1652</v>
      </c>
      <c r="B499" s="8" t="s">
        <v>1697</v>
      </c>
      <c r="C499" s="8" t="s">
        <v>58</v>
      </c>
      <c r="D499" s="8" t="s">
        <v>1097</v>
      </c>
      <c r="E499" s="8" t="s">
        <v>1848</v>
      </c>
      <c r="F499" s="8"/>
    </row>
    <row r="500" spans="1:6" x14ac:dyDescent="0.25">
      <c r="A500" s="8" t="s">
        <v>1652</v>
      </c>
      <c r="B500" s="8" t="s">
        <v>1700</v>
      </c>
      <c r="C500" s="8"/>
      <c r="D500" s="8" t="s">
        <v>49</v>
      </c>
      <c r="E500" s="8" t="s">
        <v>1847</v>
      </c>
      <c r="F500" s="8"/>
    </row>
    <row r="501" spans="1:6" x14ac:dyDescent="0.25">
      <c r="A501" s="8" t="s">
        <v>1449</v>
      </c>
      <c r="B501" s="8" t="s">
        <v>1694</v>
      </c>
      <c r="C501" s="8"/>
      <c r="D501" s="8" t="s">
        <v>57</v>
      </c>
      <c r="E501" s="8" t="s">
        <v>1847</v>
      </c>
      <c r="F501" s="8"/>
    </row>
    <row r="502" spans="1:6" x14ac:dyDescent="0.25">
      <c r="A502" s="8" t="s">
        <v>1449</v>
      </c>
      <c r="B502" s="8" t="s">
        <v>1697</v>
      </c>
      <c r="C502" s="8" t="s">
        <v>272</v>
      </c>
      <c r="D502" s="8" t="s">
        <v>83</v>
      </c>
      <c r="E502" s="8" t="s">
        <v>1848</v>
      </c>
      <c r="F502" s="8"/>
    </row>
    <row r="503" spans="1:6" x14ac:dyDescent="0.25">
      <c r="A503" s="8" t="s">
        <v>1657</v>
      </c>
      <c r="B503" s="8" t="s">
        <v>1694</v>
      </c>
      <c r="C503" s="8"/>
      <c r="D503" s="8" t="s">
        <v>57</v>
      </c>
      <c r="E503" s="8" t="s">
        <v>1847</v>
      </c>
      <c r="F503" s="8"/>
    </row>
    <row r="504" spans="1:6" x14ac:dyDescent="0.25">
      <c r="A504" s="8" t="s">
        <v>1657</v>
      </c>
      <c r="B504" s="8" t="s">
        <v>1697</v>
      </c>
      <c r="C504" s="8" t="s">
        <v>752</v>
      </c>
      <c r="D504" s="8" t="s">
        <v>333</v>
      </c>
      <c r="E504" s="8" t="s">
        <v>1849</v>
      </c>
      <c r="F504" s="8"/>
    </row>
    <row r="505" spans="1:6" x14ac:dyDescent="0.25">
      <c r="A505" s="8" t="s">
        <v>1664</v>
      </c>
      <c r="B505" s="8" t="s">
        <v>1687</v>
      </c>
      <c r="C505" s="8"/>
      <c r="D505" s="8" t="s">
        <v>44</v>
      </c>
      <c r="E505" s="8" t="s">
        <v>1847</v>
      </c>
      <c r="F505" s="8"/>
    </row>
    <row r="506" spans="1:6" x14ac:dyDescent="0.25">
      <c r="A506" s="8" t="s">
        <v>1664</v>
      </c>
      <c r="B506" s="8" t="s">
        <v>1694</v>
      </c>
      <c r="C506" s="8"/>
      <c r="D506" s="8" t="s">
        <v>47</v>
      </c>
      <c r="E506" s="8" t="s">
        <v>1847</v>
      </c>
      <c r="F506" s="8"/>
    </row>
    <row r="507" spans="1:6" x14ac:dyDescent="0.25">
      <c r="A507" s="8" t="s">
        <v>1664</v>
      </c>
      <c r="B507" s="8" t="s">
        <v>1700</v>
      </c>
      <c r="C507" s="8"/>
      <c r="D507" s="8" t="s">
        <v>78</v>
      </c>
      <c r="E507" s="8" t="s">
        <v>1847</v>
      </c>
      <c r="F507" s="8"/>
    </row>
    <row r="508" spans="1:6" x14ac:dyDescent="0.25">
      <c r="A508" s="8" t="s">
        <v>1670</v>
      </c>
      <c r="B508" s="8" t="s">
        <v>1687</v>
      </c>
      <c r="C508" s="8"/>
      <c r="D508" s="8" t="s">
        <v>44</v>
      </c>
      <c r="E508" s="8" t="s">
        <v>1847</v>
      </c>
      <c r="F508" s="8"/>
    </row>
    <row r="509" spans="1:6" x14ac:dyDescent="0.25">
      <c r="A509" s="8" t="s">
        <v>1670</v>
      </c>
      <c r="B509" s="8" t="s">
        <v>1694</v>
      </c>
      <c r="C509" s="8"/>
      <c r="D509" s="8" t="s">
        <v>47</v>
      </c>
      <c r="E509" s="8" t="s">
        <v>1847</v>
      </c>
      <c r="F509" s="8"/>
    </row>
    <row r="510" spans="1:6" x14ac:dyDescent="0.25">
      <c r="A510" s="8" t="s">
        <v>1670</v>
      </c>
      <c r="B510" s="8" t="s">
        <v>1700</v>
      </c>
      <c r="C510" s="8"/>
      <c r="D510" s="8" t="s">
        <v>91</v>
      </c>
      <c r="E510" s="8" t="s">
        <v>1847</v>
      </c>
      <c r="F510" s="8"/>
    </row>
    <row r="511" spans="1:6" x14ac:dyDescent="0.25">
      <c r="A511" s="8" t="s">
        <v>1674</v>
      </c>
      <c r="B511" s="8" t="s">
        <v>1687</v>
      </c>
      <c r="C511" s="8"/>
      <c r="D511" s="8" t="s">
        <v>76</v>
      </c>
      <c r="E511" s="8" t="s">
        <v>1847</v>
      </c>
      <c r="F511" s="8"/>
    </row>
    <row r="512" spans="1:6" x14ac:dyDescent="0.25">
      <c r="A512" s="8" t="s">
        <v>1674</v>
      </c>
      <c r="B512" s="8" t="s">
        <v>1700</v>
      </c>
      <c r="C512" s="8"/>
      <c r="D512" s="8" t="s">
        <v>59</v>
      </c>
      <c r="E512" s="8" t="s">
        <v>1847</v>
      </c>
      <c r="F512" s="8"/>
    </row>
    <row r="513" spans="1:6" x14ac:dyDescent="0.25">
      <c r="A513" s="8" t="s">
        <v>1564</v>
      </c>
      <c r="B513" s="8" t="s">
        <v>1700</v>
      </c>
      <c r="C513" s="8"/>
      <c r="D513" s="8" t="s">
        <v>91</v>
      </c>
      <c r="E513" s="8" t="s">
        <v>1847</v>
      </c>
      <c r="F513" s="8"/>
    </row>
  </sheetData>
  <autoFilter ref="A1:F513" xr:uid="{00000000-0009-0000-0000-00000A000000}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3"/>
  <sheetViews>
    <sheetView zoomScaleNormal="100" workbookViewId="0"/>
  </sheetViews>
  <sheetFormatPr defaultColWidth="8.7109375" defaultRowHeight="15" x14ac:dyDescent="0.25"/>
  <cols>
    <col min="1" max="9" width="18" customWidth="1"/>
  </cols>
  <sheetData>
    <row r="1" spans="1:9" x14ac:dyDescent="0.25">
      <c r="A1" s="16" t="s">
        <v>1687</v>
      </c>
      <c r="B1" s="16" t="s">
        <v>21</v>
      </c>
      <c r="C1" s="16" t="s">
        <v>22</v>
      </c>
      <c r="D1" s="16" t="s">
        <v>1694</v>
      </c>
      <c r="E1" s="16" t="s">
        <v>1700</v>
      </c>
      <c r="F1" s="16" t="s">
        <v>1862</v>
      </c>
      <c r="G1" s="16" t="s">
        <v>19</v>
      </c>
      <c r="H1" s="16" t="s">
        <v>1863</v>
      </c>
      <c r="I1" s="16" t="s">
        <v>1864</v>
      </c>
    </row>
    <row r="2" spans="1:9" x14ac:dyDescent="0.25">
      <c r="A2" s="8" t="s">
        <v>76</v>
      </c>
      <c r="B2" s="8" t="s">
        <v>45</v>
      </c>
      <c r="C2" s="8" t="s">
        <v>46</v>
      </c>
      <c r="D2" s="8" t="s">
        <v>57</v>
      </c>
      <c r="E2" s="8" t="s">
        <v>71</v>
      </c>
      <c r="F2" s="8" t="s">
        <v>708</v>
      </c>
      <c r="G2" s="8" t="s">
        <v>43</v>
      </c>
      <c r="H2" s="8">
        <v>1</v>
      </c>
      <c r="I2" s="8" t="s">
        <v>1812</v>
      </c>
    </row>
    <row r="3" spans="1:9" x14ac:dyDescent="0.25">
      <c r="A3" s="8" t="s">
        <v>44</v>
      </c>
      <c r="B3" s="8" t="s">
        <v>332</v>
      </c>
      <c r="C3" s="8" t="s">
        <v>107</v>
      </c>
      <c r="D3" s="8" t="s">
        <v>47</v>
      </c>
      <c r="E3" s="8" t="s">
        <v>91</v>
      </c>
      <c r="F3" s="8" t="s">
        <v>1865</v>
      </c>
      <c r="G3" s="8" t="s">
        <v>128</v>
      </c>
      <c r="H3" s="8">
        <v>2</v>
      </c>
      <c r="I3" s="8" t="s">
        <v>1838</v>
      </c>
    </row>
    <row r="4" spans="1:9" x14ac:dyDescent="0.25">
      <c r="A4" s="8" t="s">
        <v>245</v>
      </c>
      <c r="B4" s="8" t="s">
        <v>253</v>
      </c>
      <c r="C4" s="8" t="s">
        <v>446</v>
      </c>
      <c r="D4" s="8" t="s">
        <v>1866</v>
      </c>
      <c r="E4" s="8" t="s">
        <v>72</v>
      </c>
      <c r="G4" s="8" t="s">
        <v>1867</v>
      </c>
      <c r="H4" s="8">
        <v>3</v>
      </c>
      <c r="I4" s="8" t="s">
        <v>1868</v>
      </c>
    </row>
    <row r="5" spans="1:9" x14ac:dyDescent="0.25">
      <c r="B5" s="8" t="s">
        <v>1869</v>
      </c>
      <c r="C5" s="8" t="s">
        <v>1866</v>
      </c>
      <c r="E5" s="8" t="s">
        <v>59</v>
      </c>
      <c r="G5" s="8" t="s">
        <v>70</v>
      </c>
      <c r="I5" s="8" t="s">
        <v>1870</v>
      </c>
    </row>
    <row r="6" spans="1:9" x14ac:dyDescent="0.25">
      <c r="B6" s="8" t="s">
        <v>595</v>
      </c>
      <c r="E6" s="8" t="s">
        <v>192</v>
      </c>
    </row>
    <row r="7" spans="1:9" x14ac:dyDescent="0.25">
      <c r="E7" s="8" t="s">
        <v>123</v>
      </c>
    </row>
    <row r="8" spans="1:9" x14ac:dyDescent="0.25">
      <c r="E8" s="8" t="s">
        <v>119</v>
      </c>
    </row>
    <row r="9" spans="1:9" x14ac:dyDescent="0.25">
      <c r="E9" s="8" t="s">
        <v>49</v>
      </c>
    </row>
    <row r="10" spans="1:9" x14ac:dyDescent="0.25">
      <c r="E10" s="8" t="s">
        <v>78</v>
      </c>
    </row>
    <row r="11" spans="1:9" x14ac:dyDescent="0.25">
      <c r="E11" s="8" t="s">
        <v>178</v>
      </c>
    </row>
    <row r="12" spans="1:9" x14ac:dyDescent="0.25">
      <c r="E12" s="8" t="s">
        <v>133</v>
      </c>
    </row>
    <row r="13" spans="1:9" x14ac:dyDescent="0.25">
      <c r="E13" s="8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Roster</vt:lpstr>
      <vt:lpstr>Clue Ladder</vt:lpstr>
      <vt:lpstr>Power Classes</vt:lpstr>
      <vt:lpstr>Settings</vt:lpstr>
      <vt:lpstr>Rules</vt:lpstr>
      <vt:lpstr>Edge Cases</vt:lpstr>
      <vt:lpstr>Sources</vt:lpstr>
      <vt:lpstr>Roadmap</vt:lpstr>
      <vt:lpstr>Open Questions</vt:lpstr>
      <vt:lpstr>Reference Merge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Raunak Sarbajna</cp:lastModifiedBy>
  <cp:revision>0</cp:revision>
  <dcterms:created xsi:type="dcterms:W3CDTF">2026-10-12T18:10:12Z</dcterms:created>
  <dcterms:modified xsi:type="dcterms:W3CDTF">2026-10-18T01:27:23Z</dcterms:modified>
  <dc:language>en-US</dc:language>
</cp:coreProperties>
</file>